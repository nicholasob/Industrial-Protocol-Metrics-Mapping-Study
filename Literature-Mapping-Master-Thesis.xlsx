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queryTables/queryTable1.xml" ContentType="application/vnd.openxmlformats-officedocument.spreadsheetml.queryTable+xml"/>
  <Override PartName="/xl/tables/table16.xml" ContentType="application/vnd.openxmlformats-officedocument.spreadsheetml.table+xml"/>
  <Override PartName="/xl/queryTables/queryTable2.xml" ContentType="application/vnd.openxmlformats-officedocument.spreadsheetml.queryTable+xml"/>
  <Override PartName="/xl/tables/table17.xml" ContentType="application/vnd.openxmlformats-officedocument.spreadsheetml.table+xml"/>
  <Override PartName="/xl/queryTables/queryTable3.xml" ContentType="application/vnd.openxmlformats-officedocument.spreadsheetml.queryTable+xml"/>
  <Override PartName="/xl/tables/table18.xml" ContentType="application/vnd.openxmlformats-officedocument.spreadsheetml.table+xml"/>
  <Override PartName="/xl/queryTables/queryTable4.xml" ContentType="application/vnd.openxmlformats-officedocument.spreadsheetml.queryTable+xml"/>
  <Override PartName="/xl/tables/table19.xml" ContentType="application/vnd.openxmlformats-officedocument.spreadsheetml.table+xml"/>
  <Override PartName="/xl/queryTables/queryTable5.xml" ContentType="application/vnd.openxmlformats-officedocument.spreadsheetml.queryTable+xml"/>
  <Override PartName="/xl/tables/table20.xml" ContentType="application/vnd.openxmlformats-officedocument.spreadsheetml.table+xml"/>
  <Override PartName="/xl/queryTables/queryTable6.xml" ContentType="application/vnd.openxmlformats-officedocument.spreadsheetml.queryTable+xml"/>
  <Override PartName="/xl/tables/table21.xml" ContentType="application/vnd.openxmlformats-officedocument.spreadsheetml.table+xml"/>
  <Override PartName="/xl/queryTables/queryTable7.xml" ContentType="application/vnd.openxmlformats-officedocument.spreadsheetml.queryTable+xml"/>
  <Override PartName="/xl/tables/table22.xml" ContentType="application/vnd.openxmlformats-officedocument.spreadsheetml.table+xml"/>
  <Override PartName="/xl/queryTables/queryTable8.xml" ContentType="application/vnd.openxmlformats-officedocument.spreadsheetml.queryTable+xml"/>
  <Override PartName="/xl/tables/table23.xml" ContentType="application/vnd.openxmlformats-officedocument.spreadsheetml.table+xml"/>
  <Override PartName="/xl/queryTables/queryTable9.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6DD0D9DD-2E6D-49DF-B9B8-1AC4DC9B28F5}" xr6:coauthVersionLast="47" xr6:coauthVersionMax="47" xr10:uidLastSave="{00000000-0000-0000-0000-000000000000}"/>
  <bookViews>
    <workbookView xWindow="28680" yWindow="-120" windowWidth="29040" windowHeight="15720" activeTab="4" xr2:uid="{01B1E72B-5336-4561-ACF1-819786852B9B}"/>
  </bookViews>
  <sheets>
    <sheet name="Search Strings" sheetId="3" r:id="rId1"/>
    <sheet name="Results before duplicates" sheetId="2" r:id="rId2"/>
    <sheet name="Results after duplicates" sheetId="4" r:id="rId3"/>
    <sheet name="Title_and_Abstract_Screening" sheetId="18" r:id="rId4"/>
    <sheet name="Fulltext_Screening" sheetId="20" r:id="rId5"/>
    <sheet name="Snowballing-it1-before-duplicat" sheetId="24" r:id="rId6"/>
    <sheet name="Snowballing-it1-after-duplicate" sheetId="25" r:id="rId7"/>
    <sheet name="Snowballing-it1-filtering" sheetId="27" r:id="rId8"/>
    <sheet name="Snowballing-it1-screening" sheetId="28" r:id="rId9"/>
    <sheet name="Snowballing-it1-fultxtscreening" sheetId="30" r:id="rId10"/>
    <sheet name="Snowballing-it2-before-dupl" sheetId="33" r:id="rId11"/>
    <sheet name="Snowballing-it2-after-dupl" sheetId="35" r:id="rId12"/>
    <sheet name="Snowballing-it2-filtering" sheetId="36" r:id="rId13"/>
    <sheet name="Snowballing-it2-screening" sheetId="37" r:id="rId14"/>
    <sheet name="Snowballing-it2-fultxtscree" sheetId="38" r:id="rId15"/>
    <sheet name="Snowballing-it3-before-dupl" sheetId="41" r:id="rId16"/>
    <sheet name="Snowballing-it3-after-dupl" sheetId="42" r:id="rId17"/>
    <sheet name="Snowballing-it3-filtering" sheetId="43" r:id="rId18"/>
    <sheet name="Snowballing-it3-screening" sheetId="44" r:id="rId19"/>
    <sheet name="Snowballing-it3-fultxtscreen" sheetId="45" r:id="rId20"/>
    <sheet name="Final Papers" sheetId="59" r:id="rId21"/>
    <sheet name="RAW_DATA -&gt;" sheetId="61" r:id="rId22"/>
    <sheet name="citations-it1-studies" sheetId="23" r:id="rId23"/>
    <sheet name="references-it1-studies" sheetId="22" r:id="rId24"/>
    <sheet name="citations-it2-studies" sheetId="31" r:id="rId25"/>
    <sheet name="references-it2-studies" sheetId="32" r:id="rId26"/>
    <sheet name="citations-it3-studies" sheetId="39" r:id="rId27"/>
    <sheet name="references-it3-studies" sheetId="40" r:id="rId28"/>
    <sheet name="ALL_DOI" sheetId="60" r:id="rId29"/>
    <sheet name="IEEE_NEW" sheetId="13" r:id="rId30"/>
    <sheet name="SCOPUS_NEW" sheetId="15" r:id="rId31"/>
    <sheet name="WoS_NEW" sheetId="16" r:id="rId32"/>
    <sheet name="ACM_NEW" sheetId="17" r:id="rId33"/>
  </sheets>
  <definedNames>
    <definedName name="_xlnm._FilterDatabase" localSheetId="4" hidden="1">Fulltext_Screening!$A$1:$R$26</definedName>
    <definedName name="_xlnm._FilterDatabase" localSheetId="1" hidden="1">'Results before duplicates'!$A$1:$D$253</definedName>
    <definedName name="_xlnm._FilterDatabase" localSheetId="6" hidden="1">'Snowballing-it1-after-duplicate'!$A$1:$D$407</definedName>
    <definedName name="_xlnm._FilterDatabase" localSheetId="5" hidden="1">'Snowballing-it1-before-duplicat'!$A$1:$D$410</definedName>
    <definedName name="_xlnm._FilterDatabase" localSheetId="7" hidden="1">'Snowballing-it1-filtering'!$A$1:$D$336</definedName>
    <definedName name="_xlnm._FilterDatabase" localSheetId="9" hidden="1">'Snowballing-it1-fultxtscreening'!$A$1:$S$25</definedName>
    <definedName name="_xlnm._FilterDatabase" localSheetId="8" hidden="1">'Snowballing-it1-screening'!$A$1:$O$336</definedName>
    <definedName name="_xlnm._FilterDatabase" localSheetId="11" hidden="1">'Snowballing-it2-after-dupl'!$A$1:$D$217</definedName>
    <definedName name="_xlnm._FilterDatabase" localSheetId="10" hidden="1">'Snowballing-it2-before-dupl'!$A$1:$D$217</definedName>
    <definedName name="_xlnm._FilterDatabase" localSheetId="12" hidden="1">'Snowballing-it2-filtering'!$A$1:$D$170</definedName>
    <definedName name="_xlnm._FilterDatabase" localSheetId="14" hidden="1">'Snowballing-it2-fultxtscree'!$A$1:$S$13</definedName>
    <definedName name="_xlnm._FilterDatabase" localSheetId="13" hidden="1">'Snowballing-it2-screening'!$A$1:$O$170</definedName>
    <definedName name="_xlnm._FilterDatabase" localSheetId="16" hidden="1">'Snowballing-it3-after-dupl'!$A$1:$D$32</definedName>
    <definedName name="_xlnm._FilterDatabase" localSheetId="15" hidden="1">'Snowballing-it3-before-dupl'!$A$1:$D$34</definedName>
    <definedName name="_xlnm._FilterDatabase" localSheetId="17" hidden="1">'Snowballing-it3-filtering'!$A$1:$E$20</definedName>
    <definedName name="_xlnm._FilterDatabase" localSheetId="19" hidden="1">'Snowballing-it3-fultxtscreen'!$A$1:$S$19</definedName>
    <definedName name="_xlnm._FilterDatabase" localSheetId="18" hidden="1">'Snowballing-it3-screening'!$A$1:$O$25</definedName>
    <definedName name="_xlnm._FilterDatabase" localSheetId="3" hidden="1">Title_and_Abstract_Screening!$A$1:$O$162</definedName>
    <definedName name="ExternalData_1" localSheetId="32" hidden="1">ACM_NEW!$A$1:$I$42</definedName>
    <definedName name="ExternalData_1" localSheetId="29" hidden="1">IEEE_NEW!$A$1:$AB$108</definedName>
    <definedName name="ExternalData_1" localSheetId="23" hidden="1">'references-it1-studies'!$A$1:$I$200</definedName>
    <definedName name="ExternalData_1" localSheetId="30" hidden="1">SCOPUS_NEW!$A$1:$U$33</definedName>
    <definedName name="ExternalData_2" localSheetId="22" hidden="1">'citations-it1-studies'!$A$1:$I$211</definedName>
    <definedName name="ExternalData_2" localSheetId="24" hidden="1">'citations-it2-studies'!$A$1:$I$178</definedName>
    <definedName name="ExternalData_3" localSheetId="25" hidden="1">'references-it2-studies'!$A$1:$I$42</definedName>
    <definedName name="ExternalData_4" localSheetId="26" hidden="1">'citations-it3-studies'!$A$1:$I$24</definedName>
    <definedName name="ExternalData_5" localSheetId="27" hidden="1">'references-it3-studies'!$A$1:$I$20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1" i="30" l="1"/>
  <c r="AA4" i="20"/>
  <c r="N26" i="44"/>
  <c r="N27" i="44"/>
  <c r="D27" i="44"/>
  <c r="C27" i="44"/>
  <c r="B27" i="44"/>
  <c r="D26" i="44"/>
  <c r="C26" i="44"/>
  <c r="B26" i="44"/>
  <c r="J24" i="39"/>
  <c r="J23" i="39"/>
  <c r="J22" i="39"/>
  <c r="J21" i="39"/>
  <c r="J20" i="39"/>
  <c r="J19" i="39"/>
  <c r="B26" i="43" l="1"/>
  <c r="C26" i="43"/>
  <c r="D26" i="43"/>
  <c r="B27" i="43"/>
  <c r="C27" i="43"/>
  <c r="D27" i="43"/>
  <c r="B35" i="42"/>
  <c r="C35" i="42"/>
  <c r="D35" i="42"/>
  <c r="B36" i="42"/>
  <c r="C36" i="42"/>
  <c r="D36" i="42"/>
  <c r="B37" i="42"/>
  <c r="C37" i="42"/>
  <c r="D37" i="42"/>
  <c r="D35" i="41"/>
  <c r="D36" i="41"/>
  <c r="D37" i="41"/>
  <c r="B35" i="41"/>
  <c r="B36" i="41"/>
  <c r="B37" i="41"/>
  <c r="C36" i="41"/>
  <c r="C37" i="41"/>
  <c r="C35" i="41"/>
  <c r="J20" i="40"/>
  <c r="J19" i="40"/>
  <c r="J18" i="40"/>
  <c r="N23" i="44"/>
  <c r="D23" i="44"/>
  <c r="C23" i="44"/>
  <c r="B23" i="44"/>
  <c r="N22" i="44"/>
  <c r="D22" i="44"/>
  <c r="C22" i="44"/>
  <c r="B22" i="44"/>
  <c r="D23" i="43"/>
  <c r="C23" i="43"/>
  <c r="B23" i="43"/>
  <c r="D22" i="43"/>
  <c r="C22" i="43"/>
  <c r="B22" i="43"/>
  <c r="B24" i="43"/>
  <c r="C24" i="43"/>
  <c r="D24" i="43"/>
  <c r="B25" i="43"/>
  <c r="C25" i="43"/>
  <c r="D25" i="43"/>
  <c r="D34" i="42"/>
  <c r="C34" i="42"/>
  <c r="B34" i="42"/>
  <c r="D33" i="42"/>
  <c r="C33" i="42"/>
  <c r="B33" i="42"/>
  <c r="D32" i="42"/>
  <c r="C32" i="42"/>
  <c r="B32" i="42"/>
  <c r="D31" i="42"/>
  <c r="C31" i="42"/>
  <c r="B31" i="42"/>
  <c r="R22" i="30"/>
  <c r="R23" i="30"/>
  <c r="R24" i="30"/>
  <c r="R25" i="30"/>
  <c r="V30" i="30"/>
  <c r="R13" i="38"/>
  <c r="B13" i="38"/>
  <c r="V8" i="15"/>
  <c r="Y8" i="15"/>
  <c r="C147" i="2"/>
  <c r="D147" i="2"/>
  <c r="J193" i="22"/>
  <c r="V5" i="28"/>
  <c r="B199" i="28"/>
  <c r="B334" i="28"/>
  <c r="B329" i="28"/>
  <c r="B327" i="28"/>
  <c r="B163" i="27"/>
  <c r="B164" i="27"/>
  <c r="B165" i="27"/>
  <c r="B166" i="27"/>
  <c r="B167" i="27"/>
  <c r="B168" i="27"/>
  <c r="B169" i="27"/>
  <c r="B170" i="27"/>
  <c r="B171" i="27"/>
  <c r="B172" i="27"/>
  <c r="B173" i="27"/>
  <c r="B174" i="27"/>
  <c r="B175" i="27"/>
  <c r="B176" i="27"/>
  <c r="B177" i="27"/>
  <c r="B178" i="27"/>
  <c r="B179" i="27"/>
  <c r="B180" i="27"/>
  <c r="B181" i="27"/>
  <c r="B182" i="27"/>
  <c r="B183" i="27"/>
  <c r="B184" i="27"/>
  <c r="B185" i="27"/>
  <c r="B186" i="27"/>
  <c r="B187" i="27"/>
  <c r="B188" i="27"/>
  <c r="B189" i="27"/>
  <c r="B190" i="27"/>
  <c r="B191" i="27"/>
  <c r="B192" i="27"/>
  <c r="B193" i="27"/>
  <c r="B194" i="27"/>
  <c r="B195" i="27"/>
  <c r="B196" i="27"/>
  <c r="B197" i="27"/>
  <c r="B198" i="27"/>
  <c r="B199" i="27"/>
  <c r="B200" i="27"/>
  <c r="B322" i="27"/>
  <c r="B323" i="27"/>
  <c r="B324" i="27"/>
  <c r="B325" i="27"/>
  <c r="B326" i="27"/>
  <c r="B327" i="27"/>
  <c r="B328" i="27"/>
  <c r="B329" i="27"/>
  <c r="B330" i="27"/>
  <c r="B331" i="27"/>
  <c r="B332" i="27"/>
  <c r="B333" i="27"/>
  <c r="B334" i="27"/>
  <c r="B335" i="27"/>
  <c r="B336" i="27"/>
  <c r="B25" i="30"/>
  <c r="B24" i="30"/>
  <c r="B23" i="30"/>
  <c r="B22" i="30"/>
  <c r="N163" i="28"/>
  <c r="N164" i="28"/>
  <c r="N165" i="28"/>
  <c r="N166" i="28"/>
  <c r="N167" i="28"/>
  <c r="N168" i="28"/>
  <c r="N169" i="28"/>
  <c r="N170" i="28"/>
  <c r="N171" i="28"/>
  <c r="N172" i="28"/>
  <c r="N173" i="28"/>
  <c r="N174" i="28"/>
  <c r="N175" i="28"/>
  <c r="N176" i="28"/>
  <c r="N177" i="28"/>
  <c r="N178" i="28"/>
  <c r="N179" i="28"/>
  <c r="N180" i="28"/>
  <c r="N181" i="28"/>
  <c r="N182" i="28"/>
  <c r="N183" i="28"/>
  <c r="N184" i="28"/>
  <c r="N185" i="28"/>
  <c r="N186" i="28"/>
  <c r="N187" i="28"/>
  <c r="N188" i="28"/>
  <c r="N189" i="28"/>
  <c r="N190" i="28"/>
  <c r="N191" i="28"/>
  <c r="N192" i="28"/>
  <c r="N193" i="28"/>
  <c r="N194" i="28"/>
  <c r="N195" i="28"/>
  <c r="N196" i="28"/>
  <c r="N197" i="28"/>
  <c r="N198" i="28"/>
  <c r="N199" i="28"/>
  <c r="N200" i="28"/>
  <c r="N322" i="28"/>
  <c r="N323" i="28"/>
  <c r="N324" i="28"/>
  <c r="N325" i="28"/>
  <c r="N326" i="28"/>
  <c r="N327" i="28"/>
  <c r="N328" i="28"/>
  <c r="N329" i="28"/>
  <c r="N330" i="28"/>
  <c r="N331" i="28"/>
  <c r="N332" i="28"/>
  <c r="N333" i="28"/>
  <c r="N334" i="28"/>
  <c r="N335" i="28"/>
  <c r="N336" i="28"/>
  <c r="B163" i="28"/>
  <c r="B164" i="28"/>
  <c r="B165" i="28"/>
  <c r="B166" i="28"/>
  <c r="B167" i="28"/>
  <c r="B168" i="28"/>
  <c r="B169" i="28"/>
  <c r="B170" i="28"/>
  <c r="B171" i="28"/>
  <c r="B172" i="28"/>
  <c r="B173" i="28"/>
  <c r="B174" i="28"/>
  <c r="B175" i="28"/>
  <c r="B176" i="28"/>
  <c r="B177" i="28"/>
  <c r="B178" i="28"/>
  <c r="B179" i="28"/>
  <c r="B180" i="28"/>
  <c r="B181" i="28"/>
  <c r="B182" i="28"/>
  <c r="B183" i="28"/>
  <c r="B184" i="28"/>
  <c r="B185" i="28"/>
  <c r="B186" i="28"/>
  <c r="B187" i="28"/>
  <c r="B188" i="28"/>
  <c r="B189" i="28"/>
  <c r="B190" i="28"/>
  <c r="B191" i="28"/>
  <c r="B192" i="28"/>
  <c r="B193" i="28"/>
  <c r="B194" i="28"/>
  <c r="B195" i="28"/>
  <c r="B196" i="28"/>
  <c r="B197" i="28"/>
  <c r="B198" i="28"/>
  <c r="B200" i="28"/>
  <c r="B322" i="28"/>
  <c r="B323" i="28"/>
  <c r="B324" i="28"/>
  <c r="B325" i="28"/>
  <c r="B326" i="28"/>
  <c r="B328" i="28"/>
  <c r="B330" i="28"/>
  <c r="B331" i="28"/>
  <c r="B332" i="28"/>
  <c r="B333" i="28"/>
  <c r="B335" i="28"/>
  <c r="B336" i="28"/>
  <c r="B4" i="38"/>
  <c r="B2" i="38"/>
  <c r="B20" i="30"/>
  <c r="B18" i="30"/>
  <c r="B17" i="30"/>
  <c r="B14" i="30"/>
  <c r="B13" i="30"/>
  <c r="B12" i="30"/>
  <c r="B11" i="30"/>
  <c r="B10" i="30"/>
  <c r="B7" i="30"/>
  <c r="B6" i="30"/>
  <c r="B3" i="30"/>
  <c r="B2" i="30"/>
  <c r="C25" i="20"/>
  <c r="C24" i="20"/>
  <c r="C23" i="20"/>
  <c r="C22" i="20"/>
  <c r="C21" i="20"/>
  <c r="C20" i="20"/>
  <c r="C17" i="20"/>
  <c r="C12" i="20"/>
  <c r="C11" i="20"/>
  <c r="C10" i="20"/>
  <c r="C8" i="20"/>
  <c r="C7" i="20"/>
  <c r="C6" i="20"/>
  <c r="C5" i="20"/>
  <c r="C4" i="20"/>
  <c r="C3" i="20"/>
  <c r="C2" i="20"/>
  <c r="V18" i="38"/>
  <c r="V21" i="45"/>
  <c r="V33" i="38"/>
  <c r="V36" i="30"/>
  <c r="V20" i="45"/>
  <c r="V19" i="45"/>
  <c r="V18" i="45"/>
  <c r="V17" i="45"/>
  <c r="V16" i="45"/>
  <c r="W16" i="45" s="1"/>
  <c r="V15" i="45"/>
  <c r="V14" i="45"/>
  <c r="V13" i="45"/>
  <c r="V12" i="45"/>
  <c r="V11" i="45"/>
  <c r="V10" i="45"/>
  <c r="V6" i="45"/>
  <c r="V32" i="38"/>
  <c r="V31" i="38"/>
  <c r="V30" i="38"/>
  <c r="V29" i="38"/>
  <c r="V28" i="38"/>
  <c r="V27" i="38"/>
  <c r="V26" i="38"/>
  <c r="V25" i="38"/>
  <c r="V24" i="38"/>
  <c r="V23" i="38"/>
  <c r="V22" i="38"/>
  <c r="V35" i="30"/>
  <c r="V34" i="30"/>
  <c r="V33" i="30"/>
  <c r="V32" i="30"/>
  <c r="V31" i="30"/>
  <c r="V29" i="30"/>
  <c r="V27" i="30"/>
  <c r="V26" i="30"/>
  <c r="V25" i="30"/>
  <c r="V38" i="44"/>
  <c r="AD37" i="44"/>
  <c r="Z37" i="44"/>
  <c r="V37" i="44"/>
  <c r="AD36" i="44"/>
  <c r="Z36" i="44"/>
  <c r="V36" i="44"/>
  <c r="AD35" i="44"/>
  <c r="Z35" i="44"/>
  <c r="V35" i="44"/>
  <c r="AD34" i="44"/>
  <c r="Z34" i="44"/>
  <c r="V34" i="44"/>
  <c r="AD33" i="44"/>
  <c r="Z33" i="44"/>
  <c r="V33" i="44"/>
  <c r="AD32" i="44"/>
  <c r="Z32" i="44"/>
  <c r="V32" i="44"/>
  <c r="AD31" i="44"/>
  <c r="Z31" i="44"/>
  <c r="V31" i="44"/>
  <c r="Z29" i="44"/>
  <c r="AD27" i="44" s="1"/>
  <c r="Z27" i="44"/>
  <c r="V27" i="44"/>
  <c r="V8" i="37"/>
  <c r="V19" i="37"/>
  <c r="AD18" i="37"/>
  <c r="Z18" i="37"/>
  <c r="V18" i="37"/>
  <c r="AD17" i="37"/>
  <c r="Z17" i="37"/>
  <c r="V17" i="37"/>
  <c r="AD16" i="37"/>
  <c r="Z16" i="37"/>
  <c r="V16" i="37"/>
  <c r="AD15" i="37"/>
  <c r="Z15" i="37"/>
  <c r="V15" i="37"/>
  <c r="AD14" i="37"/>
  <c r="Z14" i="37"/>
  <c r="V14" i="37"/>
  <c r="AD13" i="37"/>
  <c r="Z13" i="37"/>
  <c r="V13" i="37"/>
  <c r="AD12" i="37"/>
  <c r="Z12" i="37"/>
  <c r="V12" i="37"/>
  <c r="Z10" i="37"/>
  <c r="Z8" i="37"/>
  <c r="Z5" i="28"/>
  <c r="AD15" i="28"/>
  <c r="AD14" i="28"/>
  <c r="AD13" i="28"/>
  <c r="AD12" i="28"/>
  <c r="AD11" i="28"/>
  <c r="AD10" i="28"/>
  <c r="AD9" i="28"/>
  <c r="Z15" i="28"/>
  <c r="Z14" i="28"/>
  <c r="Z13" i="28"/>
  <c r="Z12" i="28"/>
  <c r="Z11" i="28"/>
  <c r="Z10" i="28"/>
  <c r="Z9" i="28"/>
  <c r="Z7" i="28"/>
  <c r="AD5" i="28" s="1"/>
  <c r="V16" i="28"/>
  <c r="V15" i="28"/>
  <c r="V13" i="28"/>
  <c r="V14" i="28"/>
  <c r="V12" i="28"/>
  <c r="V11" i="28"/>
  <c r="V10" i="28"/>
  <c r="V9" i="28"/>
  <c r="AA8" i="20"/>
  <c r="AB8" i="20" s="1"/>
  <c r="AA9" i="20"/>
  <c r="AB9" i="20" s="1"/>
  <c r="AA10" i="20"/>
  <c r="AA12" i="20"/>
  <c r="AA13" i="20"/>
  <c r="AB13" i="20" s="1"/>
  <c r="AA14" i="20"/>
  <c r="AB14" i="20" s="1"/>
  <c r="AA15" i="20"/>
  <c r="AB15" i="20" s="1"/>
  <c r="AA16" i="20"/>
  <c r="AA17" i="20"/>
  <c r="AA18" i="20"/>
  <c r="N3" i="37"/>
  <c r="N141" i="37"/>
  <c r="N142" i="37"/>
  <c r="N143" i="37"/>
  <c r="N144" i="37"/>
  <c r="N145" i="37"/>
  <c r="N146" i="37"/>
  <c r="N147" i="37"/>
  <c r="N148" i="37"/>
  <c r="N149" i="37"/>
  <c r="N150" i="37"/>
  <c r="N151" i="37"/>
  <c r="N152" i="37"/>
  <c r="N153" i="37"/>
  <c r="N154" i="37"/>
  <c r="N155" i="37"/>
  <c r="N156" i="37"/>
  <c r="N157" i="37"/>
  <c r="N158" i="37"/>
  <c r="N159" i="37"/>
  <c r="N160" i="37"/>
  <c r="N161" i="37"/>
  <c r="N162" i="37"/>
  <c r="N163" i="37"/>
  <c r="N164" i="37"/>
  <c r="N165" i="37"/>
  <c r="N166" i="37"/>
  <c r="N167" i="37"/>
  <c r="N168" i="37"/>
  <c r="N169" i="37"/>
  <c r="N170" i="37"/>
  <c r="D148" i="37"/>
  <c r="C148" i="37"/>
  <c r="B148" i="37"/>
  <c r="D147" i="37"/>
  <c r="C147" i="37"/>
  <c r="B147" i="37"/>
  <c r="D146" i="37"/>
  <c r="C146" i="37"/>
  <c r="B146" i="37"/>
  <c r="D145" i="37"/>
  <c r="C145" i="37"/>
  <c r="B145" i="37"/>
  <c r="D144" i="37"/>
  <c r="C144" i="37"/>
  <c r="B144" i="37"/>
  <c r="D143" i="37"/>
  <c r="C143" i="37"/>
  <c r="B143" i="37"/>
  <c r="D142" i="37"/>
  <c r="C142" i="37"/>
  <c r="B142" i="37"/>
  <c r="D141" i="37"/>
  <c r="C141" i="37"/>
  <c r="B141" i="37"/>
  <c r="D3" i="37"/>
  <c r="C3" i="37"/>
  <c r="B3" i="37"/>
  <c r="D170" i="36"/>
  <c r="C170" i="36"/>
  <c r="B170" i="36"/>
  <c r="D169" i="36"/>
  <c r="C169" i="36"/>
  <c r="B169" i="36"/>
  <c r="D168" i="36"/>
  <c r="C168" i="36"/>
  <c r="B168" i="36"/>
  <c r="D167" i="36"/>
  <c r="C167" i="36"/>
  <c r="B167" i="36"/>
  <c r="D166" i="36"/>
  <c r="C166" i="36"/>
  <c r="B166" i="36"/>
  <c r="D165" i="36"/>
  <c r="C165" i="36"/>
  <c r="B165" i="36"/>
  <c r="D164" i="36"/>
  <c r="C164" i="36"/>
  <c r="B164" i="36"/>
  <c r="D163" i="36"/>
  <c r="C163" i="36"/>
  <c r="B163" i="36"/>
  <c r="D162" i="36"/>
  <c r="C162" i="36"/>
  <c r="B162" i="36"/>
  <c r="D161" i="36"/>
  <c r="C161" i="36"/>
  <c r="B161" i="36"/>
  <c r="D160" i="36"/>
  <c r="C160" i="36"/>
  <c r="B160" i="36"/>
  <c r="D159" i="36"/>
  <c r="C159" i="36"/>
  <c r="B159" i="36"/>
  <c r="D158" i="36"/>
  <c r="C158" i="36"/>
  <c r="B158" i="36"/>
  <c r="D157" i="36"/>
  <c r="C157" i="36"/>
  <c r="B157" i="36"/>
  <c r="D156" i="36"/>
  <c r="C156" i="36"/>
  <c r="B156" i="36"/>
  <c r="D155" i="36"/>
  <c r="C155" i="36"/>
  <c r="B155" i="36"/>
  <c r="D154" i="36"/>
  <c r="C154" i="36"/>
  <c r="B154" i="36"/>
  <c r="D153" i="36"/>
  <c r="C153" i="36"/>
  <c r="B153" i="36"/>
  <c r="D152" i="36"/>
  <c r="C152" i="36"/>
  <c r="B152" i="36"/>
  <c r="D151" i="36"/>
  <c r="C151" i="36"/>
  <c r="B151" i="36"/>
  <c r="D150" i="36"/>
  <c r="C150" i="36"/>
  <c r="B150" i="36"/>
  <c r="D149" i="36"/>
  <c r="C149" i="36"/>
  <c r="B149" i="36"/>
  <c r="D148" i="36"/>
  <c r="C148" i="36"/>
  <c r="B148" i="36"/>
  <c r="D147" i="36"/>
  <c r="C147" i="36"/>
  <c r="B147" i="36"/>
  <c r="D146" i="36"/>
  <c r="C146" i="36"/>
  <c r="B146" i="36"/>
  <c r="D145" i="36"/>
  <c r="C145" i="36"/>
  <c r="B145" i="36"/>
  <c r="D144" i="36"/>
  <c r="C144" i="36"/>
  <c r="B144" i="36"/>
  <c r="D143" i="36"/>
  <c r="C143" i="36"/>
  <c r="B143" i="36"/>
  <c r="D142" i="36"/>
  <c r="C142" i="36"/>
  <c r="B142" i="36"/>
  <c r="D141" i="36"/>
  <c r="C141" i="36"/>
  <c r="B141" i="36"/>
  <c r="D140" i="36"/>
  <c r="C140" i="36"/>
  <c r="B140" i="36"/>
  <c r="D139" i="36"/>
  <c r="C139" i="36"/>
  <c r="B139" i="36"/>
  <c r="D138" i="36"/>
  <c r="C138" i="36"/>
  <c r="B138" i="36"/>
  <c r="D137" i="36"/>
  <c r="C137" i="36"/>
  <c r="B137" i="36"/>
  <c r="D136" i="36"/>
  <c r="C136" i="36"/>
  <c r="B136" i="36"/>
  <c r="D135" i="36"/>
  <c r="C135" i="36"/>
  <c r="B135" i="36"/>
  <c r="D134" i="36"/>
  <c r="C134" i="36"/>
  <c r="B134" i="36"/>
  <c r="D133" i="36"/>
  <c r="C133" i="36"/>
  <c r="B133" i="36"/>
  <c r="D132" i="36"/>
  <c r="C132" i="36"/>
  <c r="B132" i="36"/>
  <c r="D131" i="36"/>
  <c r="C131" i="36"/>
  <c r="B131" i="36"/>
  <c r="D130" i="36"/>
  <c r="C130" i="36"/>
  <c r="B130" i="36"/>
  <c r="D129" i="36"/>
  <c r="C129" i="36"/>
  <c r="B129" i="36"/>
  <c r="D128" i="36"/>
  <c r="C128" i="36"/>
  <c r="B128" i="36"/>
  <c r="D127" i="36"/>
  <c r="C127" i="36"/>
  <c r="B127" i="36"/>
  <c r="D126" i="36"/>
  <c r="C126" i="36"/>
  <c r="B126" i="36"/>
  <c r="D125" i="36"/>
  <c r="C125" i="36"/>
  <c r="B125" i="36"/>
  <c r="D124" i="36"/>
  <c r="C124" i="36"/>
  <c r="B124" i="36"/>
  <c r="D123" i="36"/>
  <c r="C123" i="36"/>
  <c r="B123" i="36"/>
  <c r="D122" i="36"/>
  <c r="C122" i="36"/>
  <c r="B122" i="36"/>
  <c r="D121" i="36"/>
  <c r="C121" i="36"/>
  <c r="B121" i="36"/>
  <c r="D120" i="36"/>
  <c r="C120" i="36"/>
  <c r="B120" i="36"/>
  <c r="D119" i="36"/>
  <c r="C119" i="36"/>
  <c r="B119" i="36"/>
  <c r="D118" i="36"/>
  <c r="C118" i="36"/>
  <c r="B118" i="36"/>
  <c r="D117" i="36"/>
  <c r="C117" i="36"/>
  <c r="B117" i="36"/>
  <c r="D116" i="36"/>
  <c r="C116" i="36"/>
  <c r="B116" i="36"/>
  <c r="D115" i="36"/>
  <c r="C115" i="36"/>
  <c r="B115" i="36"/>
  <c r="D114" i="36"/>
  <c r="C114" i="36"/>
  <c r="B114" i="36"/>
  <c r="D113" i="36"/>
  <c r="C113" i="36"/>
  <c r="B113" i="36"/>
  <c r="D112" i="36"/>
  <c r="C112" i="36"/>
  <c r="B112" i="36"/>
  <c r="D111" i="36"/>
  <c r="C111" i="36"/>
  <c r="B111" i="36"/>
  <c r="D110" i="36"/>
  <c r="C110" i="36"/>
  <c r="B110" i="36"/>
  <c r="D109" i="36"/>
  <c r="C109" i="36"/>
  <c r="B109" i="36"/>
  <c r="D108" i="36"/>
  <c r="C108" i="36"/>
  <c r="B108" i="36"/>
  <c r="D107" i="36"/>
  <c r="C107" i="36"/>
  <c r="B107" i="36"/>
  <c r="D106" i="36"/>
  <c r="C106" i="36"/>
  <c r="B106" i="36"/>
  <c r="D105" i="36"/>
  <c r="C105" i="36"/>
  <c r="B105" i="36"/>
  <c r="D104" i="36"/>
  <c r="C104" i="36"/>
  <c r="B104" i="36"/>
  <c r="D103" i="36"/>
  <c r="C103" i="36"/>
  <c r="B103" i="36"/>
  <c r="D102" i="36"/>
  <c r="C102" i="36"/>
  <c r="B102" i="36"/>
  <c r="D101" i="36"/>
  <c r="C101" i="36"/>
  <c r="B101" i="36"/>
  <c r="D100" i="36"/>
  <c r="C100" i="36"/>
  <c r="B100" i="36"/>
  <c r="D99" i="36"/>
  <c r="C99" i="36"/>
  <c r="B99" i="36"/>
  <c r="D98" i="36"/>
  <c r="C98" i="36"/>
  <c r="B98" i="36"/>
  <c r="D97" i="36"/>
  <c r="C97" i="36"/>
  <c r="B97" i="36"/>
  <c r="D96" i="36"/>
  <c r="C96" i="36"/>
  <c r="B96" i="36"/>
  <c r="D95" i="36"/>
  <c r="C95" i="36"/>
  <c r="B95" i="36"/>
  <c r="D94" i="36"/>
  <c r="C94" i="36"/>
  <c r="B94" i="36"/>
  <c r="D93" i="36"/>
  <c r="C93" i="36"/>
  <c r="B93" i="36"/>
  <c r="D92" i="36"/>
  <c r="C92" i="36"/>
  <c r="B92" i="36"/>
  <c r="D91" i="36"/>
  <c r="C91" i="36"/>
  <c r="B91" i="36"/>
  <c r="D90" i="36"/>
  <c r="C90" i="36"/>
  <c r="B90" i="36"/>
  <c r="D89" i="36"/>
  <c r="C89" i="36"/>
  <c r="B89" i="36"/>
  <c r="D88" i="36"/>
  <c r="C88" i="36"/>
  <c r="B88" i="36"/>
  <c r="D87" i="36"/>
  <c r="C87" i="36"/>
  <c r="B87" i="36"/>
  <c r="D86" i="36"/>
  <c r="C86" i="36"/>
  <c r="B86" i="36"/>
  <c r="D85" i="36"/>
  <c r="C85" i="36"/>
  <c r="B85" i="36"/>
  <c r="D84" i="36"/>
  <c r="C84" i="36"/>
  <c r="B84" i="36"/>
  <c r="D83" i="36"/>
  <c r="C83" i="36"/>
  <c r="B83" i="36"/>
  <c r="D82" i="36"/>
  <c r="C82" i="36"/>
  <c r="B82" i="36"/>
  <c r="D81" i="36"/>
  <c r="C81" i="36"/>
  <c r="B81" i="36"/>
  <c r="D80" i="36"/>
  <c r="C80" i="36"/>
  <c r="B80" i="36"/>
  <c r="D79" i="36"/>
  <c r="C79" i="36"/>
  <c r="B79" i="36"/>
  <c r="D78" i="36"/>
  <c r="C78" i="36"/>
  <c r="B78" i="36"/>
  <c r="D77" i="36"/>
  <c r="C77" i="36"/>
  <c r="B77" i="36"/>
  <c r="D76" i="36"/>
  <c r="C76" i="36"/>
  <c r="B76" i="36"/>
  <c r="D75" i="36"/>
  <c r="C75" i="36"/>
  <c r="B75" i="36"/>
  <c r="D74" i="36"/>
  <c r="C74" i="36"/>
  <c r="B74" i="36"/>
  <c r="D73" i="36"/>
  <c r="C73" i="36"/>
  <c r="B73" i="36"/>
  <c r="D72" i="36"/>
  <c r="C72" i="36"/>
  <c r="B72" i="36"/>
  <c r="D71" i="36"/>
  <c r="C71" i="36"/>
  <c r="B71" i="36"/>
  <c r="D70" i="36"/>
  <c r="C70" i="36"/>
  <c r="B70" i="36"/>
  <c r="D69" i="36"/>
  <c r="C69" i="36"/>
  <c r="B69" i="36"/>
  <c r="D68" i="36"/>
  <c r="C68" i="36"/>
  <c r="B68" i="36"/>
  <c r="D67" i="36"/>
  <c r="C67" i="36"/>
  <c r="B67" i="36"/>
  <c r="D66" i="36"/>
  <c r="C66" i="36"/>
  <c r="B66" i="36"/>
  <c r="D65" i="36"/>
  <c r="C65" i="36"/>
  <c r="B65" i="36"/>
  <c r="D64" i="36"/>
  <c r="C64" i="36"/>
  <c r="B64" i="36"/>
  <c r="D63" i="36"/>
  <c r="C63" i="36"/>
  <c r="B63" i="36"/>
  <c r="D62" i="36"/>
  <c r="C62" i="36"/>
  <c r="B62" i="36"/>
  <c r="D61" i="36"/>
  <c r="C61" i="36"/>
  <c r="B61" i="36"/>
  <c r="D60" i="36"/>
  <c r="C60" i="36"/>
  <c r="B60" i="36"/>
  <c r="D59" i="36"/>
  <c r="C59" i="36"/>
  <c r="B59" i="36"/>
  <c r="D58" i="36"/>
  <c r="C58" i="36"/>
  <c r="B58" i="36"/>
  <c r="D57" i="36"/>
  <c r="C57" i="36"/>
  <c r="B57" i="36"/>
  <c r="D56" i="36"/>
  <c r="C56" i="36"/>
  <c r="B56" i="36"/>
  <c r="D55" i="36"/>
  <c r="C55" i="36"/>
  <c r="B55" i="36"/>
  <c r="D54" i="36"/>
  <c r="C54" i="36"/>
  <c r="B54" i="36"/>
  <c r="D53" i="36"/>
  <c r="C53" i="36"/>
  <c r="B53" i="36"/>
  <c r="D52" i="36"/>
  <c r="C52" i="36"/>
  <c r="B52" i="36"/>
  <c r="D51" i="36"/>
  <c r="C51" i="36"/>
  <c r="B51" i="36"/>
  <c r="D50" i="36"/>
  <c r="C50" i="36"/>
  <c r="B50" i="36"/>
  <c r="D49" i="36"/>
  <c r="C49" i="36"/>
  <c r="B49" i="36"/>
  <c r="D48" i="36"/>
  <c r="C48" i="36"/>
  <c r="B48" i="36"/>
  <c r="D47" i="36"/>
  <c r="C47" i="36"/>
  <c r="B47" i="36"/>
  <c r="D46" i="36"/>
  <c r="C46" i="36"/>
  <c r="B46" i="36"/>
  <c r="D45" i="36"/>
  <c r="C45" i="36"/>
  <c r="B45" i="36"/>
  <c r="D44" i="36"/>
  <c r="C44" i="36"/>
  <c r="B44" i="36"/>
  <c r="D43" i="36"/>
  <c r="C43" i="36"/>
  <c r="B43" i="36"/>
  <c r="D42" i="36"/>
  <c r="C42" i="36"/>
  <c r="B42" i="36"/>
  <c r="D41" i="36"/>
  <c r="C41" i="36"/>
  <c r="B41" i="36"/>
  <c r="D40" i="36"/>
  <c r="C40" i="36"/>
  <c r="B40" i="36"/>
  <c r="D39" i="36"/>
  <c r="C39" i="36"/>
  <c r="B39" i="36"/>
  <c r="D38" i="36"/>
  <c r="C38" i="36"/>
  <c r="B38" i="36"/>
  <c r="D37" i="36"/>
  <c r="C37" i="36"/>
  <c r="B37" i="36"/>
  <c r="D36" i="36"/>
  <c r="C36" i="36"/>
  <c r="B36" i="36"/>
  <c r="D35" i="36"/>
  <c r="C35" i="36"/>
  <c r="B35" i="36"/>
  <c r="D34" i="36"/>
  <c r="C34" i="36"/>
  <c r="B34" i="36"/>
  <c r="D33" i="36"/>
  <c r="C33" i="36"/>
  <c r="B33" i="36"/>
  <c r="D32" i="36"/>
  <c r="C32" i="36"/>
  <c r="B32" i="36"/>
  <c r="D31" i="36"/>
  <c r="C31" i="36"/>
  <c r="B31" i="36"/>
  <c r="D30" i="36"/>
  <c r="C30" i="36"/>
  <c r="B30" i="36"/>
  <c r="D29" i="36"/>
  <c r="C29" i="36"/>
  <c r="B29" i="36"/>
  <c r="D28" i="36"/>
  <c r="C28" i="36"/>
  <c r="B28" i="36"/>
  <c r="D27" i="36"/>
  <c r="C27" i="36"/>
  <c r="B27" i="36"/>
  <c r="D26" i="36"/>
  <c r="C26" i="36"/>
  <c r="B26" i="36"/>
  <c r="D25" i="36"/>
  <c r="C25" i="36"/>
  <c r="B25" i="36"/>
  <c r="D24" i="36"/>
  <c r="C24" i="36"/>
  <c r="B24" i="36"/>
  <c r="D23" i="36"/>
  <c r="C23" i="36"/>
  <c r="B23" i="36"/>
  <c r="D22" i="36"/>
  <c r="C22" i="36"/>
  <c r="B22" i="36"/>
  <c r="D21" i="36"/>
  <c r="C21" i="36"/>
  <c r="B21" i="36"/>
  <c r="D20" i="36"/>
  <c r="C20" i="36"/>
  <c r="B20" i="36"/>
  <c r="D19" i="36"/>
  <c r="C19" i="36"/>
  <c r="B19" i="36"/>
  <c r="D18" i="36"/>
  <c r="C18" i="36"/>
  <c r="B18" i="36"/>
  <c r="D17" i="36"/>
  <c r="C17" i="36"/>
  <c r="B17" i="36"/>
  <c r="D16" i="36"/>
  <c r="C16" i="36"/>
  <c r="B16" i="36"/>
  <c r="D15" i="36"/>
  <c r="C15" i="36"/>
  <c r="B15" i="36"/>
  <c r="D14" i="36"/>
  <c r="C14" i="36"/>
  <c r="B14" i="36"/>
  <c r="D13" i="36"/>
  <c r="C13" i="36"/>
  <c r="B13" i="36"/>
  <c r="D12" i="36"/>
  <c r="C12" i="36"/>
  <c r="B12" i="36"/>
  <c r="D11" i="36"/>
  <c r="C11" i="36"/>
  <c r="B11" i="36"/>
  <c r="D10" i="36"/>
  <c r="C10" i="36"/>
  <c r="B10" i="36"/>
  <c r="D9" i="36"/>
  <c r="C9" i="36"/>
  <c r="B9" i="36"/>
  <c r="D8" i="36"/>
  <c r="C8" i="36"/>
  <c r="B8" i="36"/>
  <c r="D7" i="36"/>
  <c r="C7" i="36"/>
  <c r="B7" i="36"/>
  <c r="D6" i="36"/>
  <c r="C6" i="36"/>
  <c r="B6" i="36"/>
  <c r="D5" i="36"/>
  <c r="C5" i="36"/>
  <c r="B5" i="36"/>
  <c r="D4" i="36"/>
  <c r="C4" i="36"/>
  <c r="B4" i="36"/>
  <c r="D3" i="36"/>
  <c r="C3" i="36"/>
  <c r="B3" i="36"/>
  <c r="D2" i="36"/>
  <c r="C2" i="36"/>
  <c r="B2" i="36"/>
  <c r="D217" i="35"/>
  <c r="C217" i="35"/>
  <c r="B217" i="35"/>
  <c r="D216" i="35"/>
  <c r="C216" i="35"/>
  <c r="B216" i="35"/>
  <c r="D215" i="35"/>
  <c r="C215" i="35"/>
  <c r="B215" i="35"/>
  <c r="D214" i="35"/>
  <c r="C214" i="35"/>
  <c r="B214" i="35"/>
  <c r="D213" i="35"/>
  <c r="C213" i="35"/>
  <c r="B213" i="35"/>
  <c r="D212" i="35"/>
  <c r="C212" i="35"/>
  <c r="B212" i="35"/>
  <c r="D211" i="35"/>
  <c r="C211" i="35"/>
  <c r="B211" i="35"/>
  <c r="D210" i="35"/>
  <c r="C210" i="35"/>
  <c r="B210" i="35"/>
  <c r="D209" i="35"/>
  <c r="C209" i="35"/>
  <c r="B209" i="35"/>
  <c r="D208" i="35"/>
  <c r="C208" i="35"/>
  <c r="B208" i="35"/>
  <c r="D207" i="35"/>
  <c r="C207" i="35"/>
  <c r="B207" i="35"/>
  <c r="D206" i="35"/>
  <c r="C206" i="35"/>
  <c r="B206" i="35"/>
  <c r="D205" i="35"/>
  <c r="C205" i="35"/>
  <c r="B205" i="35"/>
  <c r="D204" i="35"/>
  <c r="C204" i="35"/>
  <c r="B204" i="35"/>
  <c r="D203" i="35"/>
  <c r="C203" i="35"/>
  <c r="B203" i="35"/>
  <c r="D202" i="35"/>
  <c r="C202" i="35"/>
  <c r="B202" i="35"/>
  <c r="D201" i="35"/>
  <c r="C201" i="35"/>
  <c r="B201" i="35"/>
  <c r="D200" i="35"/>
  <c r="C200" i="35"/>
  <c r="B200" i="35"/>
  <c r="D199" i="35"/>
  <c r="C199" i="35"/>
  <c r="B199" i="35"/>
  <c r="D198" i="35"/>
  <c r="C198" i="35"/>
  <c r="B198" i="35"/>
  <c r="D197" i="35"/>
  <c r="C197" i="35"/>
  <c r="B197" i="35"/>
  <c r="D196" i="35"/>
  <c r="C196" i="35"/>
  <c r="B196" i="35"/>
  <c r="D195" i="35"/>
  <c r="C195" i="35"/>
  <c r="B195" i="35"/>
  <c r="D194" i="35"/>
  <c r="C194" i="35"/>
  <c r="B194" i="35"/>
  <c r="D193" i="35"/>
  <c r="C193" i="35"/>
  <c r="B193" i="35"/>
  <c r="D192" i="35"/>
  <c r="C192" i="35"/>
  <c r="B192" i="35"/>
  <c r="D191" i="35"/>
  <c r="C191" i="35"/>
  <c r="B191" i="35"/>
  <c r="D190" i="35"/>
  <c r="C190" i="35"/>
  <c r="B190" i="35"/>
  <c r="D189" i="35"/>
  <c r="C189" i="35"/>
  <c r="B189" i="35"/>
  <c r="D188" i="35"/>
  <c r="C188" i="35"/>
  <c r="B188" i="35"/>
  <c r="D187" i="35"/>
  <c r="C187" i="35"/>
  <c r="B187" i="35"/>
  <c r="D186" i="35"/>
  <c r="C186" i="35"/>
  <c r="B186" i="35"/>
  <c r="D185" i="35"/>
  <c r="C185" i="35"/>
  <c r="B185" i="35"/>
  <c r="D184" i="35"/>
  <c r="C184" i="35"/>
  <c r="B184" i="35"/>
  <c r="D183" i="35"/>
  <c r="C183" i="35"/>
  <c r="B183" i="35"/>
  <c r="D182" i="35"/>
  <c r="C182" i="35"/>
  <c r="B182" i="35"/>
  <c r="D181" i="35"/>
  <c r="C181" i="35"/>
  <c r="B181" i="35"/>
  <c r="D180" i="35"/>
  <c r="C180" i="35"/>
  <c r="B180" i="35"/>
  <c r="D179" i="35"/>
  <c r="C179" i="35"/>
  <c r="B179" i="35"/>
  <c r="D178" i="35"/>
  <c r="C178" i="35"/>
  <c r="B178" i="35"/>
  <c r="D177" i="35"/>
  <c r="C177" i="35"/>
  <c r="B177" i="35"/>
  <c r="D176" i="35"/>
  <c r="C176" i="35"/>
  <c r="B176" i="35"/>
  <c r="D175" i="35"/>
  <c r="C175" i="35"/>
  <c r="B175" i="35"/>
  <c r="D174" i="35"/>
  <c r="C174" i="35"/>
  <c r="B174" i="35"/>
  <c r="D173" i="35"/>
  <c r="C173" i="35"/>
  <c r="B173" i="35"/>
  <c r="D172" i="35"/>
  <c r="C172" i="35"/>
  <c r="B172" i="35"/>
  <c r="D171" i="35"/>
  <c r="C171" i="35"/>
  <c r="B171" i="35"/>
  <c r="D170" i="35"/>
  <c r="C170" i="35"/>
  <c r="B170" i="35"/>
  <c r="D169" i="35"/>
  <c r="C169" i="35"/>
  <c r="B169" i="35"/>
  <c r="D168" i="35"/>
  <c r="C168" i="35"/>
  <c r="B168" i="35"/>
  <c r="D167" i="35"/>
  <c r="C167" i="35"/>
  <c r="B167" i="35"/>
  <c r="D166" i="35"/>
  <c r="C166" i="35"/>
  <c r="B166" i="35"/>
  <c r="D165" i="35"/>
  <c r="C165" i="35"/>
  <c r="B165" i="35"/>
  <c r="D164" i="35"/>
  <c r="C164" i="35"/>
  <c r="B164" i="35"/>
  <c r="D163" i="35"/>
  <c r="C163" i="35"/>
  <c r="B163" i="35"/>
  <c r="D162" i="35"/>
  <c r="C162" i="35"/>
  <c r="B162" i="35"/>
  <c r="D161" i="35"/>
  <c r="C161" i="35"/>
  <c r="B161" i="35"/>
  <c r="D160" i="35"/>
  <c r="C160" i="35"/>
  <c r="B160" i="35"/>
  <c r="D159" i="35"/>
  <c r="C159" i="35"/>
  <c r="B159" i="35"/>
  <c r="D158" i="35"/>
  <c r="C158" i="35"/>
  <c r="B158" i="35"/>
  <c r="D157" i="35"/>
  <c r="C157" i="35"/>
  <c r="B157" i="35"/>
  <c r="D156" i="35"/>
  <c r="C156" i="35"/>
  <c r="B156" i="35"/>
  <c r="D155" i="35"/>
  <c r="C155" i="35"/>
  <c r="B155" i="35"/>
  <c r="D154" i="35"/>
  <c r="C154" i="35"/>
  <c r="B154" i="35"/>
  <c r="D153" i="35"/>
  <c r="C153" i="35"/>
  <c r="B153" i="35"/>
  <c r="D152" i="35"/>
  <c r="C152" i="35"/>
  <c r="B152" i="35"/>
  <c r="D151" i="35"/>
  <c r="C151" i="35"/>
  <c r="B151" i="35"/>
  <c r="D150" i="35"/>
  <c r="C150" i="35"/>
  <c r="B150" i="35"/>
  <c r="D149" i="35"/>
  <c r="C149" i="35"/>
  <c r="B149" i="35"/>
  <c r="D148" i="35"/>
  <c r="C148" i="35"/>
  <c r="B148" i="35"/>
  <c r="D147" i="35"/>
  <c r="C147" i="35"/>
  <c r="B147" i="35"/>
  <c r="D146" i="35"/>
  <c r="C146" i="35"/>
  <c r="B146" i="35"/>
  <c r="D145" i="35"/>
  <c r="C145" i="35"/>
  <c r="B145" i="35"/>
  <c r="D144" i="35"/>
  <c r="C144" i="35"/>
  <c r="B144" i="35"/>
  <c r="D143" i="35"/>
  <c r="C143" i="35"/>
  <c r="B143" i="35"/>
  <c r="D142" i="35"/>
  <c r="C142" i="35"/>
  <c r="B142" i="35"/>
  <c r="D141" i="35"/>
  <c r="C141" i="35"/>
  <c r="B141" i="35"/>
  <c r="D140" i="35"/>
  <c r="C140" i="35"/>
  <c r="B140" i="35"/>
  <c r="D139" i="35"/>
  <c r="C139" i="35"/>
  <c r="B139" i="35"/>
  <c r="D138" i="35"/>
  <c r="C138" i="35"/>
  <c r="B138" i="35"/>
  <c r="D137" i="35"/>
  <c r="C137" i="35"/>
  <c r="B137" i="35"/>
  <c r="D136" i="35"/>
  <c r="C136" i="35"/>
  <c r="B136" i="35"/>
  <c r="D135" i="35"/>
  <c r="C135" i="35"/>
  <c r="B135" i="35"/>
  <c r="D134" i="35"/>
  <c r="C134" i="35"/>
  <c r="B134" i="35"/>
  <c r="D133" i="35"/>
  <c r="C133" i="35"/>
  <c r="B133" i="35"/>
  <c r="D132" i="35"/>
  <c r="C132" i="35"/>
  <c r="B132" i="35"/>
  <c r="D131" i="35"/>
  <c r="C131" i="35"/>
  <c r="B131" i="35"/>
  <c r="D130" i="35"/>
  <c r="C130" i="35"/>
  <c r="B130" i="35"/>
  <c r="D129" i="35"/>
  <c r="C129" i="35"/>
  <c r="B129" i="35"/>
  <c r="D128" i="35"/>
  <c r="C128" i="35"/>
  <c r="B128" i="35"/>
  <c r="D127" i="35"/>
  <c r="C127" i="35"/>
  <c r="B127" i="35"/>
  <c r="D126" i="35"/>
  <c r="C126" i="35"/>
  <c r="B126" i="35"/>
  <c r="D125" i="35"/>
  <c r="C125" i="35"/>
  <c r="B125" i="35"/>
  <c r="D124" i="35"/>
  <c r="C124" i="35"/>
  <c r="B124" i="35"/>
  <c r="D123" i="35"/>
  <c r="C123" i="35"/>
  <c r="B123" i="35"/>
  <c r="D122" i="35"/>
  <c r="C122" i="35"/>
  <c r="B122" i="35"/>
  <c r="D121" i="35"/>
  <c r="C121" i="35"/>
  <c r="B121" i="35"/>
  <c r="D120" i="35"/>
  <c r="C120" i="35"/>
  <c r="B120" i="35"/>
  <c r="D119" i="35"/>
  <c r="C119" i="35"/>
  <c r="B119" i="35"/>
  <c r="D118" i="35"/>
  <c r="C118" i="35"/>
  <c r="B118" i="35"/>
  <c r="D117" i="35"/>
  <c r="C117" i="35"/>
  <c r="B117" i="35"/>
  <c r="D116" i="35"/>
  <c r="C116" i="35"/>
  <c r="B116" i="35"/>
  <c r="D115" i="35"/>
  <c r="C115" i="35"/>
  <c r="B115" i="35"/>
  <c r="D114" i="35"/>
  <c r="C114" i="35"/>
  <c r="B114" i="35"/>
  <c r="D113" i="35"/>
  <c r="C113" i="35"/>
  <c r="B113" i="35"/>
  <c r="D112" i="35"/>
  <c r="C112" i="35"/>
  <c r="B112" i="35"/>
  <c r="D111" i="35"/>
  <c r="C111" i="35"/>
  <c r="B111" i="35"/>
  <c r="D110" i="35"/>
  <c r="C110" i="35"/>
  <c r="B110" i="35"/>
  <c r="D109" i="35"/>
  <c r="C109" i="35"/>
  <c r="B109" i="35"/>
  <c r="D108" i="35"/>
  <c r="C108" i="35"/>
  <c r="B108" i="35"/>
  <c r="D107" i="35"/>
  <c r="C107" i="35"/>
  <c r="B107" i="35"/>
  <c r="D106" i="35"/>
  <c r="C106" i="35"/>
  <c r="B106" i="35"/>
  <c r="D105" i="35"/>
  <c r="C105" i="35"/>
  <c r="B105" i="35"/>
  <c r="D104" i="35"/>
  <c r="C104" i="35"/>
  <c r="B104" i="35"/>
  <c r="D103" i="35"/>
  <c r="C103" i="35"/>
  <c r="B103" i="35"/>
  <c r="D102" i="35"/>
  <c r="C102" i="35"/>
  <c r="B102" i="35"/>
  <c r="D101" i="35"/>
  <c r="C101" i="35"/>
  <c r="B101" i="35"/>
  <c r="D100" i="35"/>
  <c r="C100" i="35"/>
  <c r="B100" i="35"/>
  <c r="D99" i="35"/>
  <c r="C99" i="35"/>
  <c r="B99" i="35"/>
  <c r="D98" i="35"/>
  <c r="C98" i="35"/>
  <c r="B98" i="35"/>
  <c r="D97" i="35"/>
  <c r="C97" i="35"/>
  <c r="B97" i="35"/>
  <c r="D96" i="35"/>
  <c r="C96" i="35"/>
  <c r="B96" i="35"/>
  <c r="D95" i="35"/>
  <c r="C95" i="35"/>
  <c r="B95" i="35"/>
  <c r="D94" i="35"/>
  <c r="C94" i="35"/>
  <c r="B94" i="35"/>
  <c r="D93" i="35"/>
  <c r="C93" i="35"/>
  <c r="B93" i="35"/>
  <c r="D92" i="35"/>
  <c r="C92" i="35"/>
  <c r="B92" i="35"/>
  <c r="D91" i="35"/>
  <c r="C91" i="35"/>
  <c r="B91" i="35"/>
  <c r="D90" i="35"/>
  <c r="C90" i="35"/>
  <c r="B90" i="35"/>
  <c r="D89" i="35"/>
  <c r="C89" i="35"/>
  <c r="B89" i="35"/>
  <c r="D88" i="35"/>
  <c r="C88" i="35"/>
  <c r="B88" i="35"/>
  <c r="D87" i="35"/>
  <c r="C87" i="35"/>
  <c r="B87" i="35"/>
  <c r="D86" i="35"/>
  <c r="C86" i="35"/>
  <c r="B86" i="35"/>
  <c r="D85" i="35"/>
  <c r="C85" i="35"/>
  <c r="B85" i="35"/>
  <c r="D84" i="35"/>
  <c r="C84" i="35"/>
  <c r="B84" i="35"/>
  <c r="D83" i="35"/>
  <c r="C83" i="35"/>
  <c r="B83" i="35"/>
  <c r="D82" i="35"/>
  <c r="C82" i="35"/>
  <c r="B82" i="35"/>
  <c r="D81" i="35"/>
  <c r="C81" i="35"/>
  <c r="B81" i="35"/>
  <c r="D80" i="35"/>
  <c r="C80" i="35"/>
  <c r="B80" i="35"/>
  <c r="D79" i="35"/>
  <c r="C79" i="35"/>
  <c r="B79" i="35"/>
  <c r="D78" i="35"/>
  <c r="C78" i="35"/>
  <c r="B78" i="35"/>
  <c r="D77" i="35"/>
  <c r="C77" i="35"/>
  <c r="B77" i="35"/>
  <c r="D76" i="35"/>
  <c r="C76" i="35"/>
  <c r="B76" i="35"/>
  <c r="D75" i="35"/>
  <c r="C75" i="35"/>
  <c r="B75" i="35"/>
  <c r="D74" i="35"/>
  <c r="C74" i="35"/>
  <c r="B74" i="35"/>
  <c r="D73" i="35"/>
  <c r="C73" i="35"/>
  <c r="B73" i="35"/>
  <c r="D72" i="35"/>
  <c r="C72" i="35"/>
  <c r="B72" i="35"/>
  <c r="D71" i="35"/>
  <c r="C71" i="35"/>
  <c r="B71" i="35"/>
  <c r="D70" i="35"/>
  <c r="C70" i="35"/>
  <c r="B70" i="35"/>
  <c r="D69" i="35"/>
  <c r="C69" i="35"/>
  <c r="B69" i="35"/>
  <c r="D68" i="35"/>
  <c r="C68" i="35"/>
  <c r="B68" i="35"/>
  <c r="D67" i="35"/>
  <c r="C67" i="35"/>
  <c r="B67" i="35"/>
  <c r="D66" i="35"/>
  <c r="C66" i="35"/>
  <c r="B66" i="35"/>
  <c r="D65" i="35"/>
  <c r="C65" i="35"/>
  <c r="B65" i="35"/>
  <c r="D64" i="35"/>
  <c r="C64" i="35"/>
  <c r="B64" i="35"/>
  <c r="D63" i="35"/>
  <c r="C63" i="35"/>
  <c r="B63" i="35"/>
  <c r="D62" i="35"/>
  <c r="C62" i="35"/>
  <c r="B62" i="35"/>
  <c r="D61" i="35"/>
  <c r="C61" i="35"/>
  <c r="B61" i="35"/>
  <c r="D60" i="35"/>
  <c r="C60" i="35"/>
  <c r="B60" i="35"/>
  <c r="D59" i="35"/>
  <c r="C59" i="35"/>
  <c r="B59" i="35"/>
  <c r="D58" i="35"/>
  <c r="C58" i="35"/>
  <c r="B58" i="35"/>
  <c r="D57" i="35"/>
  <c r="C57" i="35"/>
  <c r="B57" i="35"/>
  <c r="D56" i="35"/>
  <c r="C56" i="35"/>
  <c r="B56" i="35"/>
  <c r="D55" i="35"/>
  <c r="C55" i="35"/>
  <c r="B55" i="35"/>
  <c r="D54" i="35"/>
  <c r="C54" i="35"/>
  <c r="B54" i="35"/>
  <c r="D53" i="35"/>
  <c r="C53" i="35"/>
  <c r="B53" i="35"/>
  <c r="D52" i="35"/>
  <c r="C52" i="35"/>
  <c r="B52" i="35"/>
  <c r="D51" i="35"/>
  <c r="C51" i="35"/>
  <c r="B51" i="35"/>
  <c r="D50" i="35"/>
  <c r="C50" i="35"/>
  <c r="B50" i="35"/>
  <c r="D49" i="35"/>
  <c r="C49" i="35"/>
  <c r="B49" i="35"/>
  <c r="D48" i="35"/>
  <c r="C48" i="35"/>
  <c r="B48" i="35"/>
  <c r="D47" i="35"/>
  <c r="C47" i="35"/>
  <c r="B47" i="35"/>
  <c r="D46" i="35"/>
  <c r="C46" i="35"/>
  <c r="B46" i="35"/>
  <c r="D45" i="35"/>
  <c r="C45" i="35"/>
  <c r="B45" i="35"/>
  <c r="D44" i="35"/>
  <c r="C44" i="35"/>
  <c r="B44" i="35"/>
  <c r="D43" i="35"/>
  <c r="C43" i="35"/>
  <c r="B43" i="35"/>
  <c r="D42" i="35"/>
  <c r="C42" i="35"/>
  <c r="B42" i="35"/>
  <c r="D41" i="35"/>
  <c r="C41" i="35"/>
  <c r="B41" i="35"/>
  <c r="D40" i="35"/>
  <c r="C40" i="35"/>
  <c r="B40" i="35"/>
  <c r="D39" i="35"/>
  <c r="C39" i="35"/>
  <c r="B39" i="35"/>
  <c r="D38" i="35"/>
  <c r="C38" i="35"/>
  <c r="B38" i="35"/>
  <c r="D37" i="35"/>
  <c r="C37" i="35"/>
  <c r="B37" i="35"/>
  <c r="D36" i="35"/>
  <c r="C36" i="35"/>
  <c r="B36" i="35"/>
  <c r="D35" i="35"/>
  <c r="C35" i="35"/>
  <c r="B35" i="35"/>
  <c r="D34" i="35"/>
  <c r="C34" i="35"/>
  <c r="B34" i="35"/>
  <c r="D33" i="35"/>
  <c r="C33" i="35"/>
  <c r="B33" i="35"/>
  <c r="D32" i="35"/>
  <c r="C32" i="35"/>
  <c r="B32" i="35"/>
  <c r="D31" i="35"/>
  <c r="C31" i="35"/>
  <c r="B31" i="35"/>
  <c r="D30" i="35"/>
  <c r="C30" i="35"/>
  <c r="B30" i="35"/>
  <c r="D29" i="35"/>
  <c r="C29" i="35"/>
  <c r="B29" i="35"/>
  <c r="D28" i="35"/>
  <c r="C28" i="35"/>
  <c r="B28" i="35"/>
  <c r="D27" i="35"/>
  <c r="C27" i="35"/>
  <c r="B27" i="35"/>
  <c r="D26" i="35"/>
  <c r="C26" i="35"/>
  <c r="B26" i="35"/>
  <c r="D25" i="35"/>
  <c r="C25" i="35"/>
  <c r="B25" i="35"/>
  <c r="D24" i="35"/>
  <c r="C24" i="35"/>
  <c r="B24" i="35"/>
  <c r="D23" i="35"/>
  <c r="C23" i="35"/>
  <c r="B23" i="35"/>
  <c r="D22" i="35"/>
  <c r="C22" i="35"/>
  <c r="B22" i="35"/>
  <c r="D21" i="35"/>
  <c r="C21" i="35"/>
  <c r="B21" i="35"/>
  <c r="D20" i="35"/>
  <c r="C20" i="35"/>
  <c r="B20" i="35"/>
  <c r="D19" i="35"/>
  <c r="C19" i="35"/>
  <c r="B19" i="35"/>
  <c r="D18" i="35"/>
  <c r="C18" i="35"/>
  <c r="B18" i="35"/>
  <c r="D17" i="35"/>
  <c r="C17" i="35"/>
  <c r="B17" i="35"/>
  <c r="D16" i="35"/>
  <c r="C16" i="35"/>
  <c r="B16" i="35"/>
  <c r="D15" i="35"/>
  <c r="C15" i="35"/>
  <c r="B15" i="35"/>
  <c r="D14" i="35"/>
  <c r="C14" i="35"/>
  <c r="B14" i="35"/>
  <c r="D13" i="35"/>
  <c r="C13" i="35"/>
  <c r="B13" i="35"/>
  <c r="D12" i="35"/>
  <c r="C12" i="35"/>
  <c r="B12" i="35"/>
  <c r="D11" i="35"/>
  <c r="C11" i="35"/>
  <c r="B11" i="35"/>
  <c r="D10" i="35"/>
  <c r="C10" i="35"/>
  <c r="B10" i="35"/>
  <c r="D9" i="35"/>
  <c r="C9" i="35"/>
  <c r="B9" i="35"/>
  <c r="D8" i="35"/>
  <c r="C8" i="35"/>
  <c r="B8" i="35"/>
  <c r="D7" i="35"/>
  <c r="C7" i="35"/>
  <c r="B7" i="35"/>
  <c r="D6" i="35"/>
  <c r="C6" i="35"/>
  <c r="B6" i="35"/>
  <c r="D5" i="35"/>
  <c r="C5" i="35"/>
  <c r="B5" i="35"/>
  <c r="D4" i="35"/>
  <c r="C4" i="35"/>
  <c r="B4" i="35"/>
  <c r="D3" i="35"/>
  <c r="C3" i="35"/>
  <c r="B3" i="35"/>
  <c r="D2" i="35"/>
  <c r="C2" i="35"/>
  <c r="B2" i="35"/>
  <c r="B217" i="33"/>
  <c r="C217" i="33"/>
  <c r="D217" i="33"/>
  <c r="B176" i="33"/>
  <c r="C176" i="33"/>
  <c r="D176" i="33"/>
  <c r="B168" i="33"/>
  <c r="C168" i="33"/>
  <c r="D168" i="33"/>
  <c r="B169" i="33"/>
  <c r="C169" i="33"/>
  <c r="D169" i="33"/>
  <c r="B170" i="33"/>
  <c r="C170" i="33"/>
  <c r="D170" i="33"/>
  <c r="B171" i="33"/>
  <c r="C171" i="33"/>
  <c r="D171" i="33"/>
  <c r="B172" i="33"/>
  <c r="C172" i="33"/>
  <c r="D172" i="33"/>
  <c r="B173" i="33"/>
  <c r="C173" i="33"/>
  <c r="D173" i="33"/>
  <c r="B174" i="33"/>
  <c r="C174" i="33"/>
  <c r="D174" i="33"/>
  <c r="B175" i="33"/>
  <c r="C175" i="33"/>
  <c r="D175" i="33"/>
  <c r="J168" i="31"/>
  <c r="J169" i="31"/>
  <c r="J170" i="31"/>
  <c r="J171" i="31"/>
  <c r="J172" i="31"/>
  <c r="J173" i="31"/>
  <c r="J174" i="31"/>
  <c r="J175" i="31"/>
  <c r="J176" i="31"/>
  <c r="J42" i="32"/>
  <c r="V8" i="45"/>
  <c r="W8" i="45" s="1"/>
  <c r="R3" i="38"/>
  <c r="R4" i="38"/>
  <c r="R5" i="38"/>
  <c r="R6" i="38"/>
  <c r="R7" i="38"/>
  <c r="R8" i="38"/>
  <c r="R9" i="38"/>
  <c r="R10" i="38"/>
  <c r="R11" i="38"/>
  <c r="R12" i="38"/>
  <c r="R2" i="38"/>
  <c r="N9" i="44"/>
  <c r="D25" i="44"/>
  <c r="C25" i="44"/>
  <c r="B25" i="44"/>
  <c r="D24" i="44"/>
  <c r="C24" i="44"/>
  <c r="B24" i="44"/>
  <c r="D21" i="44"/>
  <c r="C21" i="44"/>
  <c r="B21" i="44"/>
  <c r="D20" i="44"/>
  <c r="C20" i="44"/>
  <c r="B20" i="44"/>
  <c r="D19" i="44"/>
  <c r="C19" i="44"/>
  <c r="B19" i="44"/>
  <c r="D18" i="44"/>
  <c r="C18" i="44"/>
  <c r="B18" i="44"/>
  <c r="D17" i="44"/>
  <c r="C17" i="44"/>
  <c r="B17" i="44"/>
  <c r="D16" i="44"/>
  <c r="C16" i="44"/>
  <c r="B16" i="44"/>
  <c r="D15" i="44"/>
  <c r="C15" i="44"/>
  <c r="B15" i="44"/>
  <c r="D14" i="44"/>
  <c r="C14" i="44"/>
  <c r="B14" i="44"/>
  <c r="D13" i="44"/>
  <c r="C13" i="44"/>
  <c r="B13" i="44"/>
  <c r="D12" i="44"/>
  <c r="C12" i="44"/>
  <c r="B12" i="44"/>
  <c r="D11" i="44"/>
  <c r="C11" i="44"/>
  <c r="B11" i="44"/>
  <c r="D10" i="44"/>
  <c r="C10" i="44"/>
  <c r="B10" i="44"/>
  <c r="D9" i="44"/>
  <c r="C9" i="44"/>
  <c r="B9" i="44"/>
  <c r="D8" i="44"/>
  <c r="C8" i="44"/>
  <c r="B8" i="44"/>
  <c r="D7" i="44"/>
  <c r="C7" i="44"/>
  <c r="B7" i="44"/>
  <c r="D6" i="44"/>
  <c r="C6" i="44"/>
  <c r="B6" i="44"/>
  <c r="D5" i="44"/>
  <c r="C5" i="44"/>
  <c r="B5" i="44"/>
  <c r="D4" i="44"/>
  <c r="C4" i="44"/>
  <c r="B4" i="44"/>
  <c r="D3" i="44"/>
  <c r="C3" i="44"/>
  <c r="B3" i="44"/>
  <c r="D2" i="44"/>
  <c r="C2" i="44"/>
  <c r="B2" i="44"/>
  <c r="N25" i="44"/>
  <c r="N24" i="44"/>
  <c r="N21" i="44"/>
  <c r="N20" i="44"/>
  <c r="N19" i="44"/>
  <c r="N18" i="44"/>
  <c r="N17" i="44"/>
  <c r="N16" i="44"/>
  <c r="N15" i="44"/>
  <c r="N14" i="44"/>
  <c r="N13" i="44"/>
  <c r="N12" i="44"/>
  <c r="N11" i="44"/>
  <c r="N10" i="44"/>
  <c r="N8" i="44"/>
  <c r="N7" i="44"/>
  <c r="N6" i="44"/>
  <c r="N5" i="44"/>
  <c r="N4" i="44"/>
  <c r="N3" i="44"/>
  <c r="N2" i="44"/>
  <c r="D21" i="43"/>
  <c r="C21" i="43"/>
  <c r="B21" i="43"/>
  <c r="D20" i="43"/>
  <c r="C20" i="43"/>
  <c r="B20" i="43"/>
  <c r="D19" i="43"/>
  <c r="C19" i="43"/>
  <c r="B19" i="43"/>
  <c r="D18" i="43"/>
  <c r="C18" i="43"/>
  <c r="B18" i="43"/>
  <c r="D17" i="43"/>
  <c r="C17" i="43"/>
  <c r="B17" i="43"/>
  <c r="D16" i="43"/>
  <c r="C16" i="43"/>
  <c r="B16" i="43"/>
  <c r="D15" i="43"/>
  <c r="C15" i="43"/>
  <c r="B15" i="43"/>
  <c r="D14" i="43"/>
  <c r="C14" i="43"/>
  <c r="B14" i="43"/>
  <c r="D13" i="43"/>
  <c r="C13" i="43"/>
  <c r="B13" i="43"/>
  <c r="D12" i="43"/>
  <c r="C12" i="43"/>
  <c r="B12" i="43"/>
  <c r="D11" i="43"/>
  <c r="C11" i="43"/>
  <c r="B11" i="43"/>
  <c r="D10" i="43"/>
  <c r="C10" i="43"/>
  <c r="B10" i="43"/>
  <c r="D9" i="43"/>
  <c r="C9" i="43"/>
  <c r="B9" i="43"/>
  <c r="D8" i="43"/>
  <c r="C8" i="43"/>
  <c r="B8" i="43"/>
  <c r="D7" i="43"/>
  <c r="C7" i="43"/>
  <c r="B7" i="43"/>
  <c r="D6" i="43"/>
  <c r="C6" i="43"/>
  <c r="B6" i="43"/>
  <c r="D5" i="43"/>
  <c r="C5" i="43"/>
  <c r="B5" i="43"/>
  <c r="D4" i="43"/>
  <c r="C4" i="43"/>
  <c r="B4" i="43"/>
  <c r="D3" i="43"/>
  <c r="C3" i="43"/>
  <c r="B3" i="43"/>
  <c r="D2" i="43"/>
  <c r="C2" i="43"/>
  <c r="B2" i="43"/>
  <c r="D30" i="42"/>
  <c r="C30" i="42"/>
  <c r="B30" i="42"/>
  <c r="D29" i="42"/>
  <c r="C29" i="42"/>
  <c r="B29" i="42"/>
  <c r="D28" i="42"/>
  <c r="C28" i="42"/>
  <c r="B28" i="42"/>
  <c r="D27" i="42"/>
  <c r="C27" i="42"/>
  <c r="B27" i="42"/>
  <c r="D26" i="42"/>
  <c r="C26" i="42"/>
  <c r="B26" i="42"/>
  <c r="D25" i="42"/>
  <c r="C25" i="42"/>
  <c r="B25" i="42"/>
  <c r="D24" i="42"/>
  <c r="C24" i="42"/>
  <c r="B24" i="42"/>
  <c r="D23" i="42"/>
  <c r="C23" i="42"/>
  <c r="B23" i="42"/>
  <c r="D22" i="42"/>
  <c r="C22" i="42"/>
  <c r="B22" i="42"/>
  <c r="D21" i="42"/>
  <c r="C21" i="42"/>
  <c r="B21" i="42"/>
  <c r="D20" i="42"/>
  <c r="C20" i="42"/>
  <c r="B20" i="42"/>
  <c r="D19" i="42"/>
  <c r="C19" i="42"/>
  <c r="B19" i="42"/>
  <c r="D18" i="42"/>
  <c r="C18" i="42"/>
  <c r="B18" i="42"/>
  <c r="D17" i="42"/>
  <c r="C17" i="42"/>
  <c r="B17" i="42"/>
  <c r="D16" i="42"/>
  <c r="C16" i="42"/>
  <c r="B16" i="42"/>
  <c r="D15" i="42"/>
  <c r="C15" i="42"/>
  <c r="B15" i="42"/>
  <c r="D14" i="42"/>
  <c r="C14" i="42"/>
  <c r="B14" i="42"/>
  <c r="D13" i="42"/>
  <c r="C13" i="42"/>
  <c r="B13" i="42"/>
  <c r="D12" i="42"/>
  <c r="C12" i="42"/>
  <c r="B12" i="42"/>
  <c r="D11" i="42"/>
  <c r="C11" i="42"/>
  <c r="B11" i="42"/>
  <c r="D10" i="42"/>
  <c r="C10" i="42"/>
  <c r="B10" i="42"/>
  <c r="D9" i="42"/>
  <c r="C9" i="42"/>
  <c r="B9" i="42"/>
  <c r="D8" i="42"/>
  <c r="C8" i="42"/>
  <c r="B8" i="42"/>
  <c r="D7" i="42"/>
  <c r="C7" i="42"/>
  <c r="B7" i="42"/>
  <c r="D6" i="42"/>
  <c r="C6" i="42"/>
  <c r="B6" i="42"/>
  <c r="D5" i="42"/>
  <c r="C5" i="42"/>
  <c r="B5" i="42"/>
  <c r="D4" i="42"/>
  <c r="C4" i="42"/>
  <c r="B4" i="42"/>
  <c r="D3" i="42"/>
  <c r="C3" i="42"/>
  <c r="B3" i="42"/>
  <c r="D2" i="42"/>
  <c r="C2" i="42"/>
  <c r="B2" i="42"/>
  <c r="B30" i="41"/>
  <c r="C30" i="41"/>
  <c r="D30" i="41"/>
  <c r="B31" i="41"/>
  <c r="C31" i="41"/>
  <c r="D31" i="41"/>
  <c r="B32" i="41"/>
  <c r="C32" i="41"/>
  <c r="D32" i="41"/>
  <c r="B33" i="41"/>
  <c r="C33" i="41"/>
  <c r="D33" i="41"/>
  <c r="B34" i="41"/>
  <c r="C34" i="41"/>
  <c r="D34" i="41"/>
  <c r="B24" i="41"/>
  <c r="C24" i="41"/>
  <c r="D24" i="41"/>
  <c r="B25" i="41"/>
  <c r="C25" i="41"/>
  <c r="D25" i="41"/>
  <c r="B26" i="41"/>
  <c r="C26" i="41"/>
  <c r="D26" i="41"/>
  <c r="B27" i="41"/>
  <c r="C27" i="41"/>
  <c r="D27" i="41"/>
  <c r="B28" i="41"/>
  <c r="C28" i="41"/>
  <c r="D28" i="41"/>
  <c r="B29" i="41"/>
  <c r="C29" i="41"/>
  <c r="D29" i="41"/>
  <c r="B19" i="41"/>
  <c r="C19" i="41"/>
  <c r="D19" i="41"/>
  <c r="B20" i="41"/>
  <c r="C20" i="41"/>
  <c r="D20" i="41"/>
  <c r="B21" i="41"/>
  <c r="C21" i="41"/>
  <c r="D21" i="41"/>
  <c r="B22" i="41"/>
  <c r="C22" i="41"/>
  <c r="D22" i="41"/>
  <c r="B23" i="41"/>
  <c r="C23" i="41"/>
  <c r="D23" i="41"/>
  <c r="B2" i="41"/>
  <c r="C2" i="41"/>
  <c r="D2" i="41"/>
  <c r="B3" i="41"/>
  <c r="C3" i="41"/>
  <c r="D3" i="41"/>
  <c r="B4" i="41"/>
  <c r="C4" i="41"/>
  <c r="D4" i="41"/>
  <c r="B5" i="41"/>
  <c r="C5" i="41"/>
  <c r="D5" i="41"/>
  <c r="B6" i="41"/>
  <c r="C6" i="41"/>
  <c r="D6" i="41"/>
  <c r="B7" i="41"/>
  <c r="C7" i="41"/>
  <c r="D7" i="41"/>
  <c r="B8" i="41"/>
  <c r="C8" i="41"/>
  <c r="D8" i="41"/>
  <c r="B9" i="41"/>
  <c r="C9" i="41"/>
  <c r="D9" i="41"/>
  <c r="B10" i="41"/>
  <c r="C10" i="41"/>
  <c r="D10" i="41"/>
  <c r="B11" i="41"/>
  <c r="C11" i="41"/>
  <c r="D11" i="41"/>
  <c r="B12" i="41"/>
  <c r="C12" i="41"/>
  <c r="D12" i="41"/>
  <c r="B13" i="41"/>
  <c r="C13" i="41"/>
  <c r="D13" i="41"/>
  <c r="B14" i="41"/>
  <c r="C14" i="41"/>
  <c r="D14" i="41"/>
  <c r="B15" i="41"/>
  <c r="C15" i="41"/>
  <c r="D15" i="41"/>
  <c r="B16" i="41"/>
  <c r="C16" i="41"/>
  <c r="D16" i="41"/>
  <c r="B17" i="41"/>
  <c r="C17" i="41"/>
  <c r="D17" i="41"/>
  <c r="B18" i="41"/>
  <c r="C18" i="41"/>
  <c r="D18" i="41"/>
  <c r="J2" i="40"/>
  <c r="J3" i="40"/>
  <c r="J4" i="40"/>
  <c r="J5" i="40"/>
  <c r="J6" i="40"/>
  <c r="J7" i="40"/>
  <c r="J8" i="40"/>
  <c r="J9" i="40"/>
  <c r="J10" i="40"/>
  <c r="J11" i="40"/>
  <c r="J12" i="40"/>
  <c r="J13" i="40"/>
  <c r="J14" i="40"/>
  <c r="J15" i="40"/>
  <c r="J16" i="40"/>
  <c r="J17" i="40"/>
  <c r="J2" i="39"/>
  <c r="J3" i="39"/>
  <c r="J4" i="39"/>
  <c r="J5" i="39"/>
  <c r="J6" i="39"/>
  <c r="J7" i="39"/>
  <c r="J8" i="39"/>
  <c r="J9" i="39"/>
  <c r="J10" i="39"/>
  <c r="J11" i="39"/>
  <c r="J12" i="39"/>
  <c r="J13" i="39"/>
  <c r="J14" i="39"/>
  <c r="J15" i="39"/>
  <c r="J16" i="39"/>
  <c r="J17" i="39"/>
  <c r="J18" i="39"/>
  <c r="B5" i="38"/>
  <c r="B6" i="38"/>
  <c r="B8" i="38"/>
  <c r="B12" i="38"/>
  <c r="B11" i="38"/>
  <c r="B10" i="38"/>
  <c r="B9" i="38"/>
  <c r="B7" i="38"/>
  <c r="B3" i="38"/>
  <c r="B169" i="37"/>
  <c r="B151" i="37"/>
  <c r="B149" i="37"/>
  <c r="B136" i="37"/>
  <c r="B123" i="37"/>
  <c r="B115" i="37"/>
  <c r="B109" i="37"/>
  <c r="B94" i="37"/>
  <c r="B91" i="37"/>
  <c r="B85" i="37"/>
  <c r="B56" i="37"/>
  <c r="B55" i="37"/>
  <c r="B54" i="37"/>
  <c r="B40" i="37"/>
  <c r="B38" i="37"/>
  <c r="B36" i="37"/>
  <c r="B35" i="37"/>
  <c r="B27" i="37"/>
  <c r="D170" i="37"/>
  <c r="C170" i="37"/>
  <c r="B170" i="37"/>
  <c r="D169" i="37"/>
  <c r="C169" i="37"/>
  <c r="D168" i="37"/>
  <c r="C168" i="37"/>
  <c r="B168" i="37"/>
  <c r="D167" i="37"/>
  <c r="C167" i="37"/>
  <c r="B167" i="37"/>
  <c r="D166" i="37"/>
  <c r="C166" i="37"/>
  <c r="B166" i="37"/>
  <c r="D165" i="37"/>
  <c r="C165" i="37"/>
  <c r="B165" i="37"/>
  <c r="D164" i="37"/>
  <c r="C164" i="37"/>
  <c r="B164" i="37"/>
  <c r="D163" i="37"/>
  <c r="C163" i="37"/>
  <c r="B163" i="37"/>
  <c r="D162" i="37"/>
  <c r="C162" i="37"/>
  <c r="B162" i="37"/>
  <c r="D161" i="37"/>
  <c r="C161" i="37"/>
  <c r="B161" i="37"/>
  <c r="D160" i="37"/>
  <c r="C160" i="37"/>
  <c r="B160" i="37"/>
  <c r="D159" i="37"/>
  <c r="C159" i="37"/>
  <c r="B159" i="37"/>
  <c r="D158" i="37"/>
  <c r="C158" i="37"/>
  <c r="B158" i="37"/>
  <c r="D157" i="37"/>
  <c r="C157" i="37"/>
  <c r="B157" i="37"/>
  <c r="D156" i="37"/>
  <c r="C156" i="37"/>
  <c r="B156" i="37"/>
  <c r="D155" i="37"/>
  <c r="C155" i="37"/>
  <c r="B155" i="37"/>
  <c r="D154" i="37"/>
  <c r="C154" i="37"/>
  <c r="B154" i="37"/>
  <c r="D153" i="37"/>
  <c r="C153" i="37"/>
  <c r="B153" i="37"/>
  <c r="D152" i="37"/>
  <c r="C152" i="37"/>
  <c r="B152" i="37"/>
  <c r="D151" i="37"/>
  <c r="C151" i="37"/>
  <c r="D150" i="37"/>
  <c r="C150" i="37"/>
  <c r="B150" i="37"/>
  <c r="D149" i="37"/>
  <c r="C149" i="37"/>
  <c r="D140" i="37"/>
  <c r="C140" i="37"/>
  <c r="B140" i="37"/>
  <c r="D139" i="37"/>
  <c r="C139" i="37"/>
  <c r="B139" i="37"/>
  <c r="D138" i="37"/>
  <c r="C138" i="37"/>
  <c r="B138" i="37"/>
  <c r="D137" i="37"/>
  <c r="C137" i="37"/>
  <c r="B137" i="37"/>
  <c r="D136" i="37"/>
  <c r="C136" i="37"/>
  <c r="D135" i="37"/>
  <c r="C135" i="37"/>
  <c r="B135" i="37"/>
  <c r="D134" i="37"/>
  <c r="C134" i="37"/>
  <c r="B134" i="37"/>
  <c r="D133" i="37"/>
  <c r="C133" i="37"/>
  <c r="B133" i="37"/>
  <c r="D132" i="37"/>
  <c r="C132" i="37"/>
  <c r="B132" i="37"/>
  <c r="D131" i="37"/>
  <c r="C131" i="37"/>
  <c r="B131" i="37"/>
  <c r="D130" i="37"/>
  <c r="C130" i="37"/>
  <c r="B130" i="37"/>
  <c r="D129" i="37"/>
  <c r="C129" i="37"/>
  <c r="B129" i="37"/>
  <c r="D128" i="37"/>
  <c r="C128" i="37"/>
  <c r="B128" i="37"/>
  <c r="D127" i="37"/>
  <c r="C127" i="37"/>
  <c r="B127" i="37"/>
  <c r="D126" i="37"/>
  <c r="C126" i="37"/>
  <c r="B126" i="37"/>
  <c r="D125" i="37"/>
  <c r="C125" i="37"/>
  <c r="B125" i="37"/>
  <c r="D124" i="37"/>
  <c r="C124" i="37"/>
  <c r="B124" i="37"/>
  <c r="D123" i="37"/>
  <c r="C123" i="37"/>
  <c r="D122" i="37"/>
  <c r="C122" i="37"/>
  <c r="B122" i="37"/>
  <c r="D121" i="37"/>
  <c r="C121" i="37"/>
  <c r="B121" i="37"/>
  <c r="D120" i="37"/>
  <c r="C120" i="37"/>
  <c r="B120" i="37"/>
  <c r="D119" i="37"/>
  <c r="C119" i="37"/>
  <c r="B119" i="37"/>
  <c r="D118" i="37"/>
  <c r="C118" i="37"/>
  <c r="B118" i="37"/>
  <c r="D117" i="37"/>
  <c r="C117" i="37"/>
  <c r="B117" i="37"/>
  <c r="D116" i="37"/>
  <c r="C116" i="37"/>
  <c r="B116" i="37"/>
  <c r="D115" i="37"/>
  <c r="C115" i="37"/>
  <c r="D114" i="37"/>
  <c r="C114" i="37"/>
  <c r="B114" i="37"/>
  <c r="D113" i="37"/>
  <c r="C113" i="37"/>
  <c r="B113" i="37"/>
  <c r="D112" i="37"/>
  <c r="C112" i="37"/>
  <c r="B112" i="37"/>
  <c r="D111" i="37"/>
  <c r="C111" i="37"/>
  <c r="B111" i="37"/>
  <c r="D110" i="37"/>
  <c r="C110" i="37"/>
  <c r="B110" i="37"/>
  <c r="D109" i="37"/>
  <c r="C109" i="37"/>
  <c r="D108" i="37"/>
  <c r="C108" i="37"/>
  <c r="B108" i="37"/>
  <c r="D107" i="37"/>
  <c r="C107" i="37"/>
  <c r="B107" i="37"/>
  <c r="D106" i="37"/>
  <c r="C106" i="37"/>
  <c r="B106" i="37"/>
  <c r="D105" i="37"/>
  <c r="C105" i="37"/>
  <c r="B105" i="37"/>
  <c r="D104" i="37"/>
  <c r="C104" i="37"/>
  <c r="B104" i="37"/>
  <c r="D103" i="37"/>
  <c r="C103" i="37"/>
  <c r="B103" i="37"/>
  <c r="D102" i="37"/>
  <c r="C102" i="37"/>
  <c r="B102" i="37"/>
  <c r="D101" i="37"/>
  <c r="C101" i="37"/>
  <c r="B101" i="37"/>
  <c r="D100" i="37"/>
  <c r="C100" i="37"/>
  <c r="B100" i="37"/>
  <c r="D99" i="37"/>
  <c r="C99" i="37"/>
  <c r="B99" i="37"/>
  <c r="D98" i="37"/>
  <c r="C98" i="37"/>
  <c r="B98" i="37"/>
  <c r="D97" i="37"/>
  <c r="C97" i="37"/>
  <c r="B97" i="37"/>
  <c r="D96" i="37"/>
  <c r="C96" i="37"/>
  <c r="B96" i="37"/>
  <c r="D95" i="37"/>
  <c r="C95" i="37"/>
  <c r="B95" i="37"/>
  <c r="D94" i="37"/>
  <c r="C94" i="37"/>
  <c r="D93" i="37"/>
  <c r="C93" i="37"/>
  <c r="B93" i="37"/>
  <c r="D92" i="37"/>
  <c r="C92" i="37"/>
  <c r="B92" i="37"/>
  <c r="D91" i="37"/>
  <c r="C91" i="37"/>
  <c r="D90" i="37"/>
  <c r="C90" i="37"/>
  <c r="B90" i="37"/>
  <c r="D89" i="37"/>
  <c r="C89" i="37"/>
  <c r="B89" i="37"/>
  <c r="D88" i="37"/>
  <c r="C88" i="37"/>
  <c r="B88" i="37"/>
  <c r="D87" i="37"/>
  <c r="C87" i="37"/>
  <c r="B87" i="37"/>
  <c r="D86" i="37"/>
  <c r="C86" i="37"/>
  <c r="B86" i="37"/>
  <c r="D85" i="37"/>
  <c r="C85" i="37"/>
  <c r="D84" i="37"/>
  <c r="C84" i="37"/>
  <c r="B84" i="37"/>
  <c r="D83" i="37"/>
  <c r="C83" i="37"/>
  <c r="B83" i="37"/>
  <c r="D82" i="37"/>
  <c r="C82" i="37"/>
  <c r="B82" i="37"/>
  <c r="D81" i="37"/>
  <c r="C81" i="37"/>
  <c r="B81" i="37"/>
  <c r="D80" i="37"/>
  <c r="C80" i="37"/>
  <c r="B80" i="37"/>
  <c r="D79" i="37"/>
  <c r="C79" i="37"/>
  <c r="B79" i="37"/>
  <c r="D78" i="37"/>
  <c r="C78" i="37"/>
  <c r="B78" i="37"/>
  <c r="D77" i="37"/>
  <c r="C77" i="37"/>
  <c r="B77" i="37"/>
  <c r="D76" i="37"/>
  <c r="C76" i="37"/>
  <c r="B76" i="37"/>
  <c r="D75" i="37"/>
  <c r="C75" i="37"/>
  <c r="B75" i="37"/>
  <c r="D74" i="37"/>
  <c r="C74" i="37"/>
  <c r="B74" i="37"/>
  <c r="D73" i="37"/>
  <c r="C73" i="37"/>
  <c r="B73" i="37"/>
  <c r="D72" i="37"/>
  <c r="C72" i="37"/>
  <c r="B72" i="37"/>
  <c r="D71" i="37"/>
  <c r="C71" i="37"/>
  <c r="B71" i="37"/>
  <c r="D70" i="37"/>
  <c r="C70" i="37"/>
  <c r="B70" i="37"/>
  <c r="D69" i="37"/>
  <c r="C69" i="37"/>
  <c r="B69" i="37"/>
  <c r="D68" i="37"/>
  <c r="C68" i="37"/>
  <c r="B68" i="37"/>
  <c r="D67" i="37"/>
  <c r="C67" i="37"/>
  <c r="B67" i="37"/>
  <c r="D66" i="37"/>
  <c r="C66" i="37"/>
  <c r="B66" i="37"/>
  <c r="D65" i="37"/>
  <c r="C65" i="37"/>
  <c r="B65" i="37"/>
  <c r="D64" i="37"/>
  <c r="C64" i="37"/>
  <c r="B64" i="37"/>
  <c r="D63" i="37"/>
  <c r="C63" i="37"/>
  <c r="B63" i="37"/>
  <c r="D62" i="37"/>
  <c r="C62" i="37"/>
  <c r="B62" i="37"/>
  <c r="D61" i="37"/>
  <c r="C61" i="37"/>
  <c r="B61" i="37"/>
  <c r="D60" i="37"/>
  <c r="C60" i="37"/>
  <c r="B60" i="37"/>
  <c r="D59" i="37"/>
  <c r="C59" i="37"/>
  <c r="B59" i="37"/>
  <c r="D58" i="37"/>
  <c r="C58" i="37"/>
  <c r="B58" i="37"/>
  <c r="D57" i="37"/>
  <c r="C57" i="37"/>
  <c r="B57" i="37"/>
  <c r="D56" i="37"/>
  <c r="C56" i="37"/>
  <c r="D55" i="37"/>
  <c r="C55" i="37"/>
  <c r="D54" i="37"/>
  <c r="C54" i="37"/>
  <c r="D53" i="37"/>
  <c r="C53" i="37"/>
  <c r="B53" i="37"/>
  <c r="D52" i="37"/>
  <c r="C52" i="37"/>
  <c r="B52" i="37"/>
  <c r="D51" i="37"/>
  <c r="C51" i="37"/>
  <c r="B51" i="37"/>
  <c r="D50" i="37"/>
  <c r="C50" i="37"/>
  <c r="B50" i="37"/>
  <c r="D49" i="37"/>
  <c r="C49" i="37"/>
  <c r="B49" i="37"/>
  <c r="D48" i="37"/>
  <c r="C48" i="37"/>
  <c r="B48" i="37"/>
  <c r="D47" i="37"/>
  <c r="C47" i="37"/>
  <c r="B47" i="37"/>
  <c r="D46" i="37"/>
  <c r="C46" i="37"/>
  <c r="B46" i="37"/>
  <c r="D45" i="37"/>
  <c r="C45" i="37"/>
  <c r="B45" i="37"/>
  <c r="D44" i="37"/>
  <c r="C44" i="37"/>
  <c r="B44" i="37"/>
  <c r="D43" i="37"/>
  <c r="C43" i="37"/>
  <c r="B43" i="37"/>
  <c r="D42" i="37"/>
  <c r="C42" i="37"/>
  <c r="B42" i="37"/>
  <c r="D41" i="37"/>
  <c r="C41" i="37"/>
  <c r="B41" i="37"/>
  <c r="D40" i="37"/>
  <c r="C40" i="37"/>
  <c r="D39" i="37"/>
  <c r="C39" i="37"/>
  <c r="B39" i="37"/>
  <c r="D38" i="37"/>
  <c r="C38" i="37"/>
  <c r="D37" i="37"/>
  <c r="C37" i="37"/>
  <c r="B37" i="37"/>
  <c r="D36" i="37"/>
  <c r="C36" i="37"/>
  <c r="D35" i="37"/>
  <c r="C35" i="37"/>
  <c r="D34" i="37"/>
  <c r="C34" i="37"/>
  <c r="B34" i="37"/>
  <c r="D33" i="37"/>
  <c r="C33" i="37"/>
  <c r="B33" i="37"/>
  <c r="D32" i="37"/>
  <c r="C32" i="37"/>
  <c r="B32" i="37"/>
  <c r="D31" i="37"/>
  <c r="C31" i="37"/>
  <c r="B31" i="37"/>
  <c r="D30" i="37"/>
  <c r="C30" i="37"/>
  <c r="B30" i="37"/>
  <c r="D29" i="37"/>
  <c r="C29" i="37"/>
  <c r="B29" i="37"/>
  <c r="D28" i="37"/>
  <c r="C28" i="37"/>
  <c r="B28" i="37"/>
  <c r="D27" i="37"/>
  <c r="C27" i="37"/>
  <c r="D26" i="37"/>
  <c r="C26" i="37"/>
  <c r="B26" i="37"/>
  <c r="D25" i="37"/>
  <c r="C25" i="37"/>
  <c r="B25" i="37"/>
  <c r="D24" i="37"/>
  <c r="C24" i="37"/>
  <c r="B24" i="37"/>
  <c r="D23" i="37"/>
  <c r="C23" i="37"/>
  <c r="B23" i="37"/>
  <c r="D22" i="37"/>
  <c r="C22" i="37"/>
  <c r="B22" i="37"/>
  <c r="D21" i="37"/>
  <c r="C21" i="37"/>
  <c r="B21" i="37"/>
  <c r="D20" i="37"/>
  <c r="C20" i="37"/>
  <c r="B20" i="37"/>
  <c r="D19" i="37"/>
  <c r="C19" i="37"/>
  <c r="B19" i="37"/>
  <c r="D18" i="37"/>
  <c r="C18" i="37"/>
  <c r="B18" i="37"/>
  <c r="D17" i="37"/>
  <c r="C17" i="37"/>
  <c r="B17" i="37"/>
  <c r="D16" i="37"/>
  <c r="C16" i="37"/>
  <c r="B16" i="37"/>
  <c r="D15" i="37"/>
  <c r="C15" i="37"/>
  <c r="B15" i="37"/>
  <c r="D14" i="37"/>
  <c r="C14" i="37"/>
  <c r="B14" i="37"/>
  <c r="D13" i="37"/>
  <c r="C13" i="37"/>
  <c r="B13" i="37"/>
  <c r="D12" i="37"/>
  <c r="C12" i="37"/>
  <c r="B12" i="37"/>
  <c r="D11" i="37"/>
  <c r="C11" i="37"/>
  <c r="B11" i="37"/>
  <c r="D10" i="37"/>
  <c r="C10" i="37"/>
  <c r="B10" i="37"/>
  <c r="D9" i="37"/>
  <c r="C9" i="37"/>
  <c r="B9" i="37"/>
  <c r="D8" i="37"/>
  <c r="C8" i="37"/>
  <c r="B8" i="37"/>
  <c r="D7" i="37"/>
  <c r="C7" i="37"/>
  <c r="B7" i="37"/>
  <c r="D6" i="37"/>
  <c r="C6" i="37"/>
  <c r="B6" i="37"/>
  <c r="D5" i="37"/>
  <c r="C5" i="37"/>
  <c r="B5" i="37"/>
  <c r="D4" i="37"/>
  <c r="C4" i="37"/>
  <c r="B4" i="37"/>
  <c r="D2" i="37"/>
  <c r="C2" i="37"/>
  <c r="B2" i="37"/>
  <c r="N140" i="37"/>
  <c r="N139" i="37"/>
  <c r="N138" i="37"/>
  <c r="N137" i="37"/>
  <c r="N136" i="37"/>
  <c r="N135" i="37"/>
  <c r="N134" i="37"/>
  <c r="N133" i="37"/>
  <c r="N132" i="37"/>
  <c r="N131" i="37"/>
  <c r="N130" i="37"/>
  <c r="N129" i="37"/>
  <c r="N128" i="37"/>
  <c r="N127" i="37"/>
  <c r="N126" i="37"/>
  <c r="N125" i="37"/>
  <c r="N124" i="37"/>
  <c r="N123" i="37"/>
  <c r="N122" i="37"/>
  <c r="N121" i="37"/>
  <c r="N120" i="37"/>
  <c r="N119" i="37"/>
  <c r="N118" i="37"/>
  <c r="N117" i="37"/>
  <c r="N116" i="37"/>
  <c r="N115" i="37"/>
  <c r="N114" i="37"/>
  <c r="N113" i="37"/>
  <c r="N112" i="37"/>
  <c r="N111" i="37"/>
  <c r="N110" i="37"/>
  <c r="N109" i="37"/>
  <c r="N108" i="37"/>
  <c r="N107" i="37"/>
  <c r="N106" i="37"/>
  <c r="N105" i="37"/>
  <c r="N104" i="37"/>
  <c r="N103" i="37"/>
  <c r="N102" i="37"/>
  <c r="N101" i="37"/>
  <c r="N100" i="37"/>
  <c r="N99" i="37"/>
  <c r="N98" i="37"/>
  <c r="N97" i="37"/>
  <c r="N96" i="37"/>
  <c r="N95" i="37"/>
  <c r="N94" i="37"/>
  <c r="N93" i="37"/>
  <c r="N92" i="37"/>
  <c r="N91" i="37"/>
  <c r="N90" i="37"/>
  <c r="N89" i="37"/>
  <c r="N88" i="37"/>
  <c r="N87" i="37"/>
  <c r="N86" i="37"/>
  <c r="N85" i="37"/>
  <c r="N84" i="37"/>
  <c r="N83" i="37"/>
  <c r="N82" i="37"/>
  <c r="N81" i="37"/>
  <c r="N80" i="37"/>
  <c r="N79" i="37"/>
  <c r="N78" i="37"/>
  <c r="N77" i="37"/>
  <c r="N76" i="37"/>
  <c r="N75" i="37"/>
  <c r="N74" i="37"/>
  <c r="N73" i="37"/>
  <c r="N72" i="37"/>
  <c r="N71" i="37"/>
  <c r="N70" i="37"/>
  <c r="N69" i="37"/>
  <c r="N68" i="37"/>
  <c r="N67" i="37"/>
  <c r="N66" i="37"/>
  <c r="N65" i="37"/>
  <c r="N64" i="37"/>
  <c r="N63" i="37"/>
  <c r="N62" i="37"/>
  <c r="N61" i="37"/>
  <c r="N60" i="37"/>
  <c r="N59" i="37"/>
  <c r="N58" i="37"/>
  <c r="N57" i="37"/>
  <c r="N56" i="37"/>
  <c r="N55" i="37"/>
  <c r="N54" i="37"/>
  <c r="N53" i="37"/>
  <c r="N52" i="37"/>
  <c r="N51" i="37"/>
  <c r="N50" i="37"/>
  <c r="N49" i="37"/>
  <c r="N48" i="37"/>
  <c r="N47" i="37"/>
  <c r="N46" i="37"/>
  <c r="N45" i="37"/>
  <c r="N44" i="37"/>
  <c r="N43" i="37"/>
  <c r="N42" i="37"/>
  <c r="N41" i="37"/>
  <c r="N40" i="37"/>
  <c r="N39" i="37"/>
  <c r="N38" i="37"/>
  <c r="N37" i="37"/>
  <c r="N36" i="37"/>
  <c r="N35" i="37"/>
  <c r="N34" i="37"/>
  <c r="N33" i="37"/>
  <c r="N32" i="37"/>
  <c r="N31" i="37"/>
  <c r="N30" i="37"/>
  <c r="N29" i="37"/>
  <c r="N28" i="37"/>
  <c r="N27" i="37"/>
  <c r="N26" i="37"/>
  <c r="N25" i="37"/>
  <c r="N24" i="37"/>
  <c r="N23" i="37"/>
  <c r="N22" i="37"/>
  <c r="N21" i="37"/>
  <c r="N20" i="37"/>
  <c r="N19" i="37"/>
  <c r="N18" i="37"/>
  <c r="N17" i="37"/>
  <c r="N16" i="37"/>
  <c r="N15" i="37"/>
  <c r="N14" i="37"/>
  <c r="N13" i="37"/>
  <c r="N12" i="37"/>
  <c r="N11" i="37"/>
  <c r="N10" i="37"/>
  <c r="N9" i="37"/>
  <c r="N8" i="37"/>
  <c r="N7" i="37"/>
  <c r="N6" i="37"/>
  <c r="N5" i="37"/>
  <c r="N4" i="37"/>
  <c r="N2" i="37"/>
  <c r="B178" i="33"/>
  <c r="C178" i="33"/>
  <c r="D178" i="33"/>
  <c r="B179" i="33"/>
  <c r="C179" i="33"/>
  <c r="D179" i="33"/>
  <c r="B180" i="33"/>
  <c r="C180" i="33"/>
  <c r="D180" i="33"/>
  <c r="B181" i="33"/>
  <c r="C181" i="33"/>
  <c r="D181" i="33"/>
  <c r="B182" i="33"/>
  <c r="C182" i="33"/>
  <c r="D182" i="33"/>
  <c r="B183" i="33"/>
  <c r="C183" i="33"/>
  <c r="D183" i="33"/>
  <c r="B184" i="33"/>
  <c r="C184" i="33"/>
  <c r="D184" i="33"/>
  <c r="B185" i="33"/>
  <c r="C185" i="33"/>
  <c r="D185" i="33"/>
  <c r="B186" i="33"/>
  <c r="C186" i="33"/>
  <c r="D186" i="33"/>
  <c r="B187" i="33"/>
  <c r="C187" i="33"/>
  <c r="D187" i="33"/>
  <c r="B188" i="33"/>
  <c r="C188" i="33"/>
  <c r="D188" i="33"/>
  <c r="B189" i="33"/>
  <c r="C189" i="33"/>
  <c r="D189" i="33"/>
  <c r="B190" i="33"/>
  <c r="C190" i="33"/>
  <c r="D190" i="33"/>
  <c r="B191" i="33"/>
  <c r="C191" i="33"/>
  <c r="D191" i="33"/>
  <c r="B192" i="33"/>
  <c r="C192" i="33"/>
  <c r="D192" i="33"/>
  <c r="B193" i="33"/>
  <c r="C193" i="33"/>
  <c r="D193" i="33"/>
  <c r="B194" i="33"/>
  <c r="C194" i="33"/>
  <c r="D194" i="33"/>
  <c r="B195" i="33"/>
  <c r="C195" i="33"/>
  <c r="D195" i="33"/>
  <c r="B196" i="33"/>
  <c r="C196" i="33"/>
  <c r="D196" i="33"/>
  <c r="B197" i="33"/>
  <c r="C197" i="33"/>
  <c r="D197" i="33"/>
  <c r="B198" i="33"/>
  <c r="C198" i="33"/>
  <c r="D198" i="33"/>
  <c r="B199" i="33"/>
  <c r="C199" i="33"/>
  <c r="D199" i="33"/>
  <c r="B200" i="33"/>
  <c r="C200" i="33"/>
  <c r="D200" i="33"/>
  <c r="B201" i="33"/>
  <c r="C201" i="33"/>
  <c r="D201" i="33"/>
  <c r="B202" i="33"/>
  <c r="C202" i="33"/>
  <c r="D202" i="33"/>
  <c r="B203" i="33"/>
  <c r="C203" i="33"/>
  <c r="D203" i="33"/>
  <c r="B204" i="33"/>
  <c r="C204" i="33"/>
  <c r="D204" i="33"/>
  <c r="B205" i="33"/>
  <c r="C205" i="33"/>
  <c r="D205" i="33"/>
  <c r="B206" i="33"/>
  <c r="C206" i="33"/>
  <c r="D206" i="33"/>
  <c r="B207" i="33"/>
  <c r="C207" i="33"/>
  <c r="D207" i="33"/>
  <c r="B208" i="33"/>
  <c r="C208" i="33"/>
  <c r="D208" i="33"/>
  <c r="B209" i="33"/>
  <c r="C209" i="33"/>
  <c r="D209" i="33"/>
  <c r="B210" i="33"/>
  <c r="C210" i="33"/>
  <c r="D210" i="33"/>
  <c r="B211" i="33"/>
  <c r="C211" i="33"/>
  <c r="D211" i="33"/>
  <c r="B212" i="33"/>
  <c r="C212" i="33"/>
  <c r="D212" i="33"/>
  <c r="B213" i="33"/>
  <c r="C213" i="33"/>
  <c r="D213" i="33"/>
  <c r="B214" i="33"/>
  <c r="C214" i="33"/>
  <c r="D214" i="33"/>
  <c r="B215" i="33"/>
  <c r="C215" i="33"/>
  <c r="D215" i="33"/>
  <c r="B216" i="33"/>
  <c r="C216" i="33"/>
  <c r="D216" i="33"/>
  <c r="D177" i="33"/>
  <c r="C177" i="33"/>
  <c r="B177" i="33"/>
  <c r="D2" i="33"/>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C2" i="33"/>
  <c r="C3" i="33"/>
  <c r="C4"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B2" i="3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J78" i="31"/>
  <c r="J132" i="31"/>
  <c r="J157" i="31"/>
  <c r="J2" i="32"/>
  <c r="J3" i="32"/>
  <c r="J4" i="32"/>
  <c r="J5" i="32"/>
  <c r="J6" i="32"/>
  <c r="J7" i="32"/>
  <c r="J8" i="32"/>
  <c r="J9" i="32"/>
  <c r="J10" i="32"/>
  <c r="J11" i="32"/>
  <c r="J12" i="32"/>
  <c r="J13" i="32"/>
  <c r="J14" i="32"/>
  <c r="J15" i="32"/>
  <c r="J16" i="32"/>
  <c r="J17" i="32"/>
  <c r="J18" i="32"/>
  <c r="J19" i="32"/>
  <c r="J20" i="32"/>
  <c r="J21" i="32"/>
  <c r="J22" i="32"/>
  <c r="J23" i="32"/>
  <c r="J24" i="32"/>
  <c r="J25" i="32"/>
  <c r="J26" i="32"/>
  <c r="J27" i="32"/>
  <c r="J28" i="32"/>
  <c r="J29" i="32"/>
  <c r="J30" i="32"/>
  <c r="J31" i="32"/>
  <c r="J32" i="32"/>
  <c r="J33" i="32"/>
  <c r="J34" i="32"/>
  <c r="J35" i="32"/>
  <c r="J36" i="32"/>
  <c r="J37" i="32"/>
  <c r="J38" i="32"/>
  <c r="J39" i="32"/>
  <c r="J40" i="32"/>
  <c r="J41" i="32"/>
  <c r="J2" i="31"/>
  <c r="J3" i="31"/>
  <c r="J4" i="31"/>
  <c r="J5" i="31"/>
  <c r="J6" i="31"/>
  <c r="J7" i="31"/>
  <c r="J8" i="31"/>
  <c r="J9" i="31"/>
  <c r="J10" i="31"/>
  <c r="J11" i="31"/>
  <c r="J12" i="31"/>
  <c r="J13" i="31"/>
  <c r="J14" i="31"/>
  <c r="J15" i="31"/>
  <c r="J16" i="31"/>
  <c r="J17" i="31"/>
  <c r="J18" i="31"/>
  <c r="J19" i="31"/>
  <c r="J20" i="31"/>
  <c r="J21" i="31"/>
  <c r="J22" i="31"/>
  <c r="J23" i="31"/>
  <c r="J24" i="31"/>
  <c r="J25" i="31"/>
  <c r="J26" i="31"/>
  <c r="J27" i="31"/>
  <c r="J28" i="31"/>
  <c r="J29" i="31"/>
  <c r="J30" i="31"/>
  <c r="J31" i="31"/>
  <c r="J32" i="31"/>
  <c r="J33" i="31"/>
  <c r="J34" i="31"/>
  <c r="J35" i="31"/>
  <c r="J36" i="31"/>
  <c r="J37" i="31"/>
  <c r="J38" i="31"/>
  <c r="J39" i="31"/>
  <c r="J40" i="31"/>
  <c r="J41" i="31"/>
  <c r="J42" i="31"/>
  <c r="J43" i="31"/>
  <c r="J44" i="31"/>
  <c r="J45" i="31"/>
  <c r="J46" i="31"/>
  <c r="J47" i="31"/>
  <c r="J48" i="31"/>
  <c r="J49" i="31"/>
  <c r="J50" i="31"/>
  <c r="J51" i="31"/>
  <c r="J52" i="31"/>
  <c r="J53" i="31"/>
  <c r="J54" i="31"/>
  <c r="J55" i="31"/>
  <c r="J56" i="31"/>
  <c r="J57" i="31"/>
  <c r="J58" i="31"/>
  <c r="J59" i="31"/>
  <c r="J60" i="31"/>
  <c r="J61" i="31"/>
  <c r="J62" i="31"/>
  <c r="J63" i="31"/>
  <c r="J64" i="31"/>
  <c r="J65" i="31"/>
  <c r="J66" i="31"/>
  <c r="J67" i="31"/>
  <c r="J68" i="31"/>
  <c r="J69" i="31"/>
  <c r="J70" i="31"/>
  <c r="J71" i="31"/>
  <c r="J72" i="31"/>
  <c r="J73" i="31"/>
  <c r="J74" i="31"/>
  <c r="J75" i="31"/>
  <c r="J76" i="31"/>
  <c r="J77" i="31"/>
  <c r="J79" i="31"/>
  <c r="J80" i="31"/>
  <c r="J81" i="31"/>
  <c r="J82" i="31"/>
  <c r="J83" i="31"/>
  <c r="J84" i="31"/>
  <c r="J85" i="31"/>
  <c r="J86" i="31"/>
  <c r="J87" i="31"/>
  <c r="J88" i="31"/>
  <c r="J89" i="31"/>
  <c r="J90" i="31"/>
  <c r="J91" i="31"/>
  <c r="J92" i="31"/>
  <c r="J93" i="31"/>
  <c r="J94" i="31"/>
  <c r="J95" i="31"/>
  <c r="J96" i="31"/>
  <c r="J97" i="31"/>
  <c r="J98" i="31"/>
  <c r="J99" i="31"/>
  <c r="J100" i="31"/>
  <c r="J101" i="31"/>
  <c r="J102" i="31"/>
  <c r="J103" i="31"/>
  <c r="J104" i="31"/>
  <c r="J105" i="31"/>
  <c r="J106" i="31"/>
  <c r="J107" i="31"/>
  <c r="J108" i="31"/>
  <c r="J109" i="31"/>
  <c r="J110" i="31"/>
  <c r="J111" i="31"/>
  <c r="J112" i="31"/>
  <c r="J113" i="31"/>
  <c r="J114" i="31"/>
  <c r="J115" i="31"/>
  <c r="J116" i="31"/>
  <c r="J117" i="31"/>
  <c r="J118" i="31"/>
  <c r="J119" i="31"/>
  <c r="J120" i="31"/>
  <c r="J121" i="31"/>
  <c r="J122" i="31"/>
  <c r="J123" i="31"/>
  <c r="J124" i="31"/>
  <c r="J125" i="31"/>
  <c r="J126" i="31"/>
  <c r="J127" i="31"/>
  <c r="J128" i="31"/>
  <c r="J129" i="31"/>
  <c r="J130" i="31"/>
  <c r="J131" i="31"/>
  <c r="J133" i="31"/>
  <c r="J134" i="31"/>
  <c r="J135" i="31"/>
  <c r="J136" i="31"/>
  <c r="J137" i="31"/>
  <c r="J138" i="31"/>
  <c r="J139" i="31"/>
  <c r="J140" i="31"/>
  <c r="J141" i="31"/>
  <c r="J142" i="31"/>
  <c r="J143" i="31"/>
  <c r="J144" i="31"/>
  <c r="J145" i="31"/>
  <c r="J146" i="31"/>
  <c r="J147" i="31"/>
  <c r="J148" i="31"/>
  <c r="J149" i="31"/>
  <c r="J150" i="31"/>
  <c r="J151" i="31"/>
  <c r="J152" i="31"/>
  <c r="J153" i="31"/>
  <c r="J154" i="31"/>
  <c r="J155" i="31"/>
  <c r="J156" i="31"/>
  <c r="J158" i="31"/>
  <c r="J159" i="31"/>
  <c r="J160" i="31"/>
  <c r="J161" i="31"/>
  <c r="J162" i="31"/>
  <c r="J163" i="31"/>
  <c r="J164" i="31"/>
  <c r="J165" i="31"/>
  <c r="J166" i="31"/>
  <c r="J167" i="31"/>
  <c r="D21" i="30"/>
  <c r="N21" i="30" s="1"/>
  <c r="R21" i="30" s="1"/>
  <c r="C21" i="30"/>
  <c r="B21" i="30"/>
  <c r="D20" i="30"/>
  <c r="N20" i="30" s="1"/>
  <c r="R20" i="30" s="1"/>
  <c r="C20" i="30"/>
  <c r="D19" i="30"/>
  <c r="N19" i="30" s="1"/>
  <c r="R19" i="30" s="1"/>
  <c r="C19" i="30"/>
  <c r="B19" i="30"/>
  <c r="D18" i="30"/>
  <c r="N18" i="30" s="1"/>
  <c r="R18" i="30" s="1"/>
  <c r="C18" i="30"/>
  <c r="D17" i="30"/>
  <c r="N17" i="30" s="1"/>
  <c r="R17" i="30" s="1"/>
  <c r="C17" i="30"/>
  <c r="D16" i="30"/>
  <c r="N16" i="30" s="1"/>
  <c r="R16" i="30" s="1"/>
  <c r="C16" i="30"/>
  <c r="B16" i="30"/>
  <c r="D15" i="30"/>
  <c r="N15" i="30" s="1"/>
  <c r="R15" i="30" s="1"/>
  <c r="C15" i="30"/>
  <c r="B15" i="30"/>
  <c r="D14" i="30"/>
  <c r="N14" i="30" s="1"/>
  <c r="R14" i="30" s="1"/>
  <c r="C14" i="30"/>
  <c r="D13" i="30"/>
  <c r="N13" i="30" s="1"/>
  <c r="R13" i="30" s="1"/>
  <c r="C13" i="30"/>
  <c r="D12" i="30"/>
  <c r="N12" i="30" s="1"/>
  <c r="R12" i="30" s="1"/>
  <c r="C12" i="30"/>
  <c r="D11" i="30"/>
  <c r="N11" i="30" s="1"/>
  <c r="R11" i="30" s="1"/>
  <c r="C11" i="30"/>
  <c r="D10" i="30"/>
  <c r="N10" i="30" s="1"/>
  <c r="R10" i="30" s="1"/>
  <c r="C10" i="30"/>
  <c r="D9" i="30"/>
  <c r="N9" i="30" s="1"/>
  <c r="R9" i="30" s="1"/>
  <c r="C9" i="30"/>
  <c r="B9" i="30"/>
  <c r="D8" i="30"/>
  <c r="N8" i="30" s="1"/>
  <c r="R8" i="30" s="1"/>
  <c r="C8" i="30"/>
  <c r="B8" i="30"/>
  <c r="D7" i="30"/>
  <c r="N7" i="30" s="1"/>
  <c r="R7" i="30" s="1"/>
  <c r="C7" i="30"/>
  <c r="D6" i="30"/>
  <c r="N6" i="30" s="1"/>
  <c r="R6" i="30" s="1"/>
  <c r="C6" i="30"/>
  <c r="D5" i="30"/>
  <c r="N5" i="30" s="1"/>
  <c r="R5" i="30" s="1"/>
  <c r="C5" i="30"/>
  <c r="B5" i="30"/>
  <c r="D4" i="30"/>
  <c r="N4" i="30" s="1"/>
  <c r="R4" i="30" s="1"/>
  <c r="C4" i="30"/>
  <c r="B4" i="30"/>
  <c r="D3" i="30"/>
  <c r="N3" i="30" s="1"/>
  <c r="R3" i="30" s="1"/>
  <c r="C3" i="30"/>
  <c r="D2" i="30"/>
  <c r="N2" i="30" s="1"/>
  <c r="R2" i="30" s="1"/>
  <c r="C2" i="30"/>
  <c r="B223" i="28"/>
  <c r="N3" i="28"/>
  <c r="N4" i="28"/>
  <c r="N5" i="28"/>
  <c r="N6" i="28"/>
  <c r="N7" i="28"/>
  <c r="N8" i="28"/>
  <c r="N9" i="28"/>
  <c r="N10" i="28"/>
  <c r="N11" i="28"/>
  <c r="N12" i="28"/>
  <c r="N13" i="28"/>
  <c r="N14" i="28"/>
  <c r="N15" i="28"/>
  <c r="N16" i="28"/>
  <c r="N17" i="28"/>
  <c r="N18" i="28"/>
  <c r="N19" i="28"/>
  <c r="N20" i="28"/>
  <c r="N21" i="28"/>
  <c r="N22" i="28"/>
  <c r="N23" i="28"/>
  <c r="N24" i="28"/>
  <c r="N25" i="28"/>
  <c r="N26" i="28"/>
  <c r="N27" i="28"/>
  <c r="N28" i="28"/>
  <c r="N29" i="28"/>
  <c r="N30" i="28"/>
  <c r="N31" i="28"/>
  <c r="N32" i="28"/>
  <c r="N33" i="28"/>
  <c r="N34" i="28"/>
  <c r="N35" i="28"/>
  <c r="N36" i="28"/>
  <c r="N37" i="28"/>
  <c r="N38"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117" i="28"/>
  <c r="N118" i="28"/>
  <c r="N119" i="28"/>
  <c r="N120" i="28"/>
  <c r="N121" i="28"/>
  <c r="N122" i="28"/>
  <c r="N123" i="28"/>
  <c r="N124" i="28"/>
  <c r="N125" i="28"/>
  <c r="N126" i="28"/>
  <c r="N127" i="28"/>
  <c r="N128" i="28"/>
  <c r="N129" i="28"/>
  <c r="N130" i="28"/>
  <c r="N131" i="28"/>
  <c r="N132" i="28"/>
  <c r="N133" i="28"/>
  <c r="N134" i="28"/>
  <c r="N135" i="28"/>
  <c r="N136" i="28"/>
  <c r="N137" i="28"/>
  <c r="N138" i="28"/>
  <c r="N139" i="28"/>
  <c r="N140" i="28"/>
  <c r="N141" i="28"/>
  <c r="N142" i="28"/>
  <c r="N143" i="28"/>
  <c r="N144" i="28"/>
  <c r="N145" i="28"/>
  <c r="N146" i="28"/>
  <c r="N147" i="28"/>
  <c r="N148" i="28"/>
  <c r="N149" i="28"/>
  <c r="N150" i="28"/>
  <c r="N151" i="28"/>
  <c r="N152" i="28"/>
  <c r="N153" i="28"/>
  <c r="N154" i="28"/>
  <c r="N155" i="28"/>
  <c r="N156" i="28"/>
  <c r="N157" i="28"/>
  <c r="N158" i="28"/>
  <c r="N159" i="28"/>
  <c r="N160" i="28"/>
  <c r="N161" i="28"/>
  <c r="N162" i="28"/>
  <c r="N201" i="28"/>
  <c r="N202" i="28"/>
  <c r="N203" i="28"/>
  <c r="N204" i="28"/>
  <c r="N205" i="28"/>
  <c r="N206" i="28"/>
  <c r="N207" i="28"/>
  <c r="N208" i="28"/>
  <c r="N209" i="28"/>
  <c r="N210" i="28"/>
  <c r="N211" i="28"/>
  <c r="N212" i="28"/>
  <c r="N213" i="28"/>
  <c r="N214" i="28"/>
  <c r="N215" i="28"/>
  <c r="N216" i="28"/>
  <c r="N217" i="28"/>
  <c r="N218" i="28"/>
  <c r="N219" i="28"/>
  <c r="N220" i="28"/>
  <c r="N221" i="28"/>
  <c r="N222" i="28"/>
  <c r="N223" i="28"/>
  <c r="N224" i="28"/>
  <c r="N225" i="28"/>
  <c r="N226" i="28"/>
  <c r="N227" i="28"/>
  <c r="N228" i="28"/>
  <c r="N229" i="28"/>
  <c r="N230" i="28"/>
  <c r="N231" i="28"/>
  <c r="N232" i="28"/>
  <c r="N233" i="28"/>
  <c r="N234" i="28"/>
  <c r="N235" i="28"/>
  <c r="N236" i="28"/>
  <c r="N237" i="28"/>
  <c r="N238" i="28"/>
  <c r="N239" i="28"/>
  <c r="N240" i="28"/>
  <c r="N241" i="28"/>
  <c r="N242" i="28"/>
  <c r="N243" i="28"/>
  <c r="N244" i="28"/>
  <c r="N245" i="28"/>
  <c r="N246" i="28"/>
  <c r="N247" i="28"/>
  <c r="N248" i="28"/>
  <c r="N249" i="28"/>
  <c r="N250" i="28"/>
  <c r="N251" i="28"/>
  <c r="N252" i="28"/>
  <c r="N253" i="28"/>
  <c r="N254" i="28"/>
  <c r="N255" i="28"/>
  <c r="N256" i="28"/>
  <c r="N257" i="28"/>
  <c r="N258" i="28"/>
  <c r="N259" i="28"/>
  <c r="N260" i="28"/>
  <c r="N261" i="28"/>
  <c r="N262" i="28"/>
  <c r="N263" i="28"/>
  <c r="N264" i="28"/>
  <c r="N265" i="28"/>
  <c r="N266" i="28"/>
  <c r="N267" i="28"/>
  <c r="N268" i="28"/>
  <c r="N269" i="28"/>
  <c r="N270" i="28"/>
  <c r="N271" i="28"/>
  <c r="N272" i="28"/>
  <c r="N273" i="28"/>
  <c r="N274" i="28"/>
  <c r="N275" i="28"/>
  <c r="N276" i="28"/>
  <c r="N277" i="28"/>
  <c r="N278" i="28"/>
  <c r="N279" i="28"/>
  <c r="N280" i="28"/>
  <c r="N281" i="28"/>
  <c r="N282" i="28"/>
  <c r="N283" i="28"/>
  <c r="N284" i="28"/>
  <c r="N285" i="28"/>
  <c r="N286" i="28"/>
  <c r="N287" i="28"/>
  <c r="N288" i="28"/>
  <c r="N289" i="28"/>
  <c r="N290" i="28"/>
  <c r="N291" i="28"/>
  <c r="N292" i="28"/>
  <c r="N293" i="28"/>
  <c r="N294" i="28"/>
  <c r="N295" i="28"/>
  <c r="N296" i="28"/>
  <c r="N297" i="28"/>
  <c r="N298" i="28"/>
  <c r="N299" i="28"/>
  <c r="N300" i="28"/>
  <c r="N301" i="28"/>
  <c r="N302" i="28"/>
  <c r="N303" i="28"/>
  <c r="N304" i="28"/>
  <c r="N305" i="28"/>
  <c r="N306" i="28"/>
  <c r="N307" i="28"/>
  <c r="N308" i="28"/>
  <c r="N309" i="28"/>
  <c r="N310" i="28"/>
  <c r="N311" i="28"/>
  <c r="N312" i="28"/>
  <c r="N313" i="28"/>
  <c r="N314" i="28"/>
  <c r="N315" i="28"/>
  <c r="N316" i="28"/>
  <c r="N317" i="28"/>
  <c r="N318" i="28"/>
  <c r="N319" i="28"/>
  <c r="N320" i="28"/>
  <c r="N321" i="28"/>
  <c r="D321" i="28"/>
  <c r="C321" i="28"/>
  <c r="B321" i="28"/>
  <c r="D320" i="28"/>
  <c r="C320" i="28"/>
  <c r="B320" i="28"/>
  <c r="D319" i="28"/>
  <c r="C319" i="28"/>
  <c r="B319" i="28"/>
  <c r="D318" i="28"/>
  <c r="C318" i="28"/>
  <c r="B318" i="28"/>
  <c r="D317" i="28"/>
  <c r="C317" i="28"/>
  <c r="B317" i="28"/>
  <c r="D316" i="28"/>
  <c r="C316" i="28"/>
  <c r="B316" i="28"/>
  <c r="D315" i="28"/>
  <c r="C315" i="28"/>
  <c r="B315" i="28"/>
  <c r="D314" i="28"/>
  <c r="C314" i="28"/>
  <c r="B314" i="28"/>
  <c r="D313" i="28"/>
  <c r="C313" i="28"/>
  <c r="B313" i="28"/>
  <c r="D312" i="28"/>
  <c r="C312" i="28"/>
  <c r="B312" i="28"/>
  <c r="D311" i="28"/>
  <c r="C311" i="28"/>
  <c r="B311" i="28"/>
  <c r="D310" i="28"/>
  <c r="C310" i="28"/>
  <c r="B310" i="28"/>
  <c r="D309" i="28"/>
  <c r="C309" i="28"/>
  <c r="B309" i="28"/>
  <c r="D308" i="28"/>
  <c r="C308" i="28"/>
  <c r="B308" i="28"/>
  <c r="D307" i="28"/>
  <c r="C307" i="28"/>
  <c r="B307" i="28"/>
  <c r="D306" i="28"/>
  <c r="C306" i="28"/>
  <c r="B306" i="28"/>
  <c r="D305" i="28"/>
  <c r="C305" i="28"/>
  <c r="B305" i="28"/>
  <c r="D304" i="28"/>
  <c r="C304" i="28"/>
  <c r="B304" i="28"/>
  <c r="D303" i="28"/>
  <c r="C303" i="28"/>
  <c r="B303" i="28"/>
  <c r="D302" i="28"/>
  <c r="C302" i="28"/>
  <c r="B302" i="28"/>
  <c r="D301" i="28"/>
  <c r="C301" i="28"/>
  <c r="B301" i="28"/>
  <c r="D300" i="28"/>
  <c r="C300" i="28"/>
  <c r="B300" i="28"/>
  <c r="D299" i="28"/>
  <c r="C299" i="28"/>
  <c r="B299" i="28"/>
  <c r="D298" i="28"/>
  <c r="C298" i="28"/>
  <c r="B298" i="28"/>
  <c r="D297" i="28"/>
  <c r="C297" i="28"/>
  <c r="B297" i="28"/>
  <c r="D296" i="28"/>
  <c r="C296" i="28"/>
  <c r="B296" i="28"/>
  <c r="D295" i="28"/>
  <c r="C295" i="28"/>
  <c r="B295" i="28"/>
  <c r="D294" i="28"/>
  <c r="C294" i="28"/>
  <c r="B294" i="28"/>
  <c r="D293" i="28"/>
  <c r="C293" i="28"/>
  <c r="B293" i="28"/>
  <c r="D292" i="28"/>
  <c r="C292" i="28"/>
  <c r="B292" i="28"/>
  <c r="D291" i="28"/>
  <c r="C291" i="28"/>
  <c r="B291" i="28"/>
  <c r="D290" i="28"/>
  <c r="C290" i="28"/>
  <c r="B290" i="28"/>
  <c r="D289" i="28"/>
  <c r="C289" i="28"/>
  <c r="B289" i="28"/>
  <c r="D288" i="28"/>
  <c r="C288" i="28"/>
  <c r="B288" i="28"/>
  <c r="D287" i="28"/>
  <c r="C287" i="28"/>
  <c r="B287" i="28"/>
  <c r="D286" i="28"/>
  <c r="C286" i="28"/>
  <c r="B286" i="28"/>
  <c r="D285" i="28"/>
  <c r="C285" i="28"/>
  <c r="B285" i="28"/>
  <c r="D284" i="28"/>
  <c r="C284" i="28"/>
  <c r="B284" i="28"/>
  <c r="D283" i="28"/>
  <c r="C283" i="28"/>
  <c r="B283" i="28"/>
  <c r="D282" i="28"/>
  <c r="C282" i="28"/>
  <c r="B282" i="28"/>
  <c r="D281" i="28"/>
  <c r="C281" i="28"/>
  <c r="B281" i="28"/>
  <c r="D280" i="28"/>
  <c r="C280" i="28"/>
  <c r="B280" i="28"/>
  <c r="D279" i="28"/>
  <c r="C279" i="28"/>
  <c r="B279" i="28"/>
  <c r="D278" i="28"/>
  <c r="C278" i="28"/>
  <c r="B278" i="28"/>
  <c r="D277" i="28"/>
  <c r="C277" i="28"/>
  <c r="B277" i="28"/>
  <c r="D276" i="28"/>
  <c r="C276" i="28"/>
  <c r="B276" i="28"/>
  <c r="D275" i="28"/>
  <c r="C275" i="28"/>
  <c r="B275" i="28"/>
  <c r="D274" i="28"/>
  <c r="C274" i="28"/>
  <c r="B274" i="28"/>
  <c r="D273" i="28"/>
  <c r="C273" i="28"/>
  <c r="B273" i="28"/>
  <c r="D272" i="28"/>
  <c r="C272" i="28"/>
  <c r="B272" i="28"/>
  <c r="D271" i="28"/>
  <c r="C271" i="28"/>
  <c r="B271" i="28"/>
  <c r="D270" i="28"/>
  <c r="C270" i="28"/>
  <c r="B270" i="28"/>
  <c r="D269" i="28"/>
  <c r="C269" i="28"/>
  <c r="B269" i="28"/>
  <c r="D268" i="28"/>
  <c r="C268" i="28"/>
  <c r="B268" i="28"/>
  <c r="D267" i="28"/>
  <c r="C267" i="28"/>
  <c r="B267" i="28"/>
  <c r="D266" i="28"/>
  <c r="C266" i="28"/>
  <c r="B266" i="28"/>
  <c r="D265" i="28"/>
  <c r="C265" i="28"/>
  <c r="B265" i="28"/>
  <c r="D264" i="28"/>
  <c r="C264" i="28"/>
  <c r="B264" i="28"/>
  <c r="D263" i="28"/>
  <c r="C263" i="28"/>
  <c r="B263" i="28"/>
  <c r="D262" i="28"/>
  <c r="C262" i="28"/>
  <c r="B262" i="28"/>
  <c r="D261" i="28"/>
  <c r="C261" i="28"/>
  <c r="B261" i="28"/>
  <c r="D260" i="28"/>
  <c r="C260" i="28"/>
  <c r="B260" i="28"/>
  <c r="D259" i="28"/>
  <c r="C259" i="28"/>
  <c r="B259" i="28"/>
  <c r="D258" i="28"/>
  <c r="C258" i="28"/>
  <c r="B258" i="28"/>
  <c r="D257" i="28"/>
  <c r="C257" i="28"/>
  <c r="B257" i="28"/>
  <c r="D256" i="28"/>
  <c r="C256" i="28"/>
  <c r="B256" i="28"/>
  <c r="D255" i="28"/>
  <c r="C255" i="28"/>
  <c r="B255" i="28"/>
  <c r="D254" i="28"/>
  <c r="C254" i="28"/>
  <c r="B254" i="28"/>
  <c r="D253" i="28"/>
  <c r="C253" i="28"/>
  <c r="B253" i="28"/>
  <c r="D252" i="28"/>
  <c r="C252" i="28"/>
  <c r="B252" i="28"/>
  <c r="D251" i="28"/>
  <c r="C251" i="28"/>
  <c r="B251" i="28"/>
  <c r="D250" i="28"/>
  <c r="C250" i="28"/>
  <c r="B250" i="28"/>
  <c r="D249" i="28"/>
  <c r="C249" i="28"/>
  <c r="B249" i="28"/>
  <c r="D248" i="28"/>
  <c r="C248" i="28"/>
  <c r="B248" i="28"/>
  <c r="D247" i="28"/>
  <c r="C247" i="28"/>
  <c r="B247" i="28"/>
  <c r="D246" i="28"/>
  <c r="C246" i="28"/>
  <c r="B246" i="28"/>
  <c r="D245" i="28"/>
  <c r="C245" i="28"/>
  <c r="B245" i="28"/>
  <c r="D244" i="28"/>
  <c r="C244" i="28"/>
  <c r="B244" i="28"/>
  <c r="D243" i="28"/>
  <c r="C243" i="28"/>
  <c r="B243" i="28"/>
  <c r="D242" i="28"/>
  <c r="C242" i="28"/>
  <c r="B242" i="28"/>
  <c r="D241" i="28"/>
  <c r="C241" i="28"/>
  <c r="B241" i="28"/>
  <c r="D240" i="28"/>
  <c r="C240" i="28"/>
  <c r="B240" i="28"/>
  <c r="D239" i="28"/>
  <c r="C239" i="28"/>
  <c r="B239" i="28"/>
  <c r="D238" i="28"/>
  <c r="C238" i="28"/>
  <c r="B238" i="28"/>
  <c r="D237" i="28"/>
  <c r="C237" i="28"/>
  <c r="B237" i="28"/>
  <c r="D236" i="28"/>
  <c r="C236" i="28"/>
  <c r="B236" i="28"/>
  <c r="D235" i="28"/>
  <c r="C235" i="28"/>
  <c r="B235" i="28"/>
  <c r="D234" i="28"/>
  <c r="C234" i="28"/>
  <c r="B234" i="28"/>
  <c r="D233" i="28"/>
  <c r="C233" i="28"/>
  <c r="B233" i="28"/>
  <c r="D232" i="28"/>
  <c r="C232" i="28"/>
  <c r="B232" i="28"/>
  <c r="D231" i="28"/>
  <c r="C231" i="28"/>
  <c r="B231" i="28"/>
  <c r="D230" i="28"/>
  <c r="C230" i="28"/>
  <c r="B230" i="28"/>
  <c r="D229" i="28"/>
  <c r="C229" i="28"/>
  <c r="B229" i="28"/>
  <c r="D228" i="28"/>
  <c r="C228" i="28"/>
  <c r="B228" i="28"/>
  <c r="D227" i="28"/>
  <c r="C227" i="28"/>
  <c r="B227" i="28"/>
  <c r="D226" i="28"/>
  <c r="C226" i="28"/>
  <c r="B226" i="28"/>
  <c r="D225" i="28"/>
  <c r="C225" i="28"/>
  <c r="B225" i="28"/>
  <c r="D224" i="28"/>
  <c r="C224" i="28"/>
  <c r="B224" i="28"/>
  <c r="D223" i="28"/>
  <c r="C223" i="28"/>
  <c r="D222" i="28"/>
  <c r="C222" i="28"/>
  <c r="B222" i="28"/>
  <c r="D221" i="28"/>
  <c r="C221" i="28"/>
  <c r="B221" i="28"/>
  <c r="D220" i="28"/>
  <c r="C220" i="28"/>
  <c r="B220" i="28"/>
  <c r="D219" i="28"/>
  <c r="C219" i="28"/>
  <c r="B219" i="28"/>
  <c r="D218" i="28"/>
  <c r="C218" i="28"/>
  <c r="B218" i="28"/>
  <c r="D217" i="28"/>
  <c r="C217" i="28"/>
  <c r="B217" i="28"/>
  <c r="D216" i="28"/>
  <c r="C216" i="28"/>
  <c r="B216" i="28"/>
  <c r="D215" i="28"/>
  <c r="C215" i="28"/>
  <c r="B215" i="28"/>
  <c r="D214" i="28"/>
  <c r="C214" i="28"/>
  <c r="B214" i="28"/>
  <c r="D213" i="28"/>
  <c r="C213" i="28"/>
  <c r="B213" i="28"/>
  <c r="D212" i="28"/>
  <c r="C212" i="28"/>
  <c r="B212" i="28"/>
  <c r="D211" i="28"/>
  <c r="C211" i="28"/>
  <c r="B211" i="28"/>
  <c r="D210" i="28"/>
  <c r="C210" i="28"/>
  <c r="B210" i="28"/>
  <c r="D209" i="28"/>
  <c r="C209" i="28"/>
  <c r="B209" i="28"/>
  <c r="D208" i="28"/>
  <c r="C208" i="28"/>
  <c r="B208" i="28"/>
  <c r="D207" i="28"/>
  <c r="C207" i="28"/>
  <c r="B207" i="28"/>
  <c r="D206" i="28"/>
  <c r="C206" i="28"/>
  <c r="B206" i="28"/>
  <c r="D205" i="28"/>
  <c r="C205" i="28"/>
  <c r="B205" i="28"/>
  <c r="D204" i="28"/>
  <c r="C204" i="28"/>
  <c r="B204" i="28"/>
  <c r="D203" i="28"/>
  <c r="C203" i="28"/>
  <c r="B203" i="28"/>
  <c r="D202" i="28"/>
  <c r="C202" i="28"/>
  <c r="B202" i="28"/>
  <c r="D201" i="28"/>
  <c r="C201" i="28"/>
  <c r="B201" i="28"/>
  <c r="D162" i="28"/>
  <c r="C162" i="28"/>
  <c r="B162" i="28"/>
  <c r="D161" i="28"/>
  <c r="C161" i="28"/>
  <c r="B161" i="28"/>
  <c r="D160" i="28"/>
  <c r="C160" i="28"/>
  <c r="B160" i="28"/>
  <c r="D159" i="28"/>
  <c r="C159" i="28"/>
  <c r="B159" i="28"/>
  <c r="D158" i="28"/>
  <c r="C158" i="28"/>
  <c r="B158" i="28"/>
  <c r="D157" i="28"/>
  <c r="C157" i="28"/>
  <c r="B157" i="28"/>
  <c r="D156" i="28"/>
  <c r="C156" i="28"/>
  <c r="B156" i="28"/>
  <c r="D155" i="28"/>
  <c r="C155" i="28"/>
  <c r="B155" i="28"/>
  <c r="D154" i="28"/>
  <c r="C154" i="28"/>
  <c r="B154" i="28"/>
  <c r="D153" i="28"/>
  <c r="C153" i="28"/>
  <c r="B153" i="28"/>
  <c r="D152" i="28"/>
  <c r="C152" i="28"/>
  <c r="B152" i="28"/>
  <c r="D151" i="28"/>
  <c r="C151" i="28"/>
  <c r="B151" i="28"/>
  <c r="D150" i="28"/>
  <c r="C150" i="28"/>
  <c r="B150" i="28"/>
  <c r="D149" i="28"/>
  <c r="C149" i="28"/>
  <c r="B149" i="28"/>
  <c r="D148" i="28"/>
  <c r="C148" i="28"/>
  <c r="B148" i="28"/>
  <c r="D147" i="28"/>
  <c r="C147" i="28"/>
  <c r="B147" i="28"/>
  <c r="D146" i="28"/>
  <c r="C146" i="28"/>
  <c r="B146" i="28"/>
  <c r="D145" i="28"/>
  <c r="C145" i="28"/>
  <c r="B145" i="28"/>
  <c r="D144" i="28"/>
  <c r="C144" i="28"/>
  <c r="B144" i="28"/>
  <c r="D143" i="28"/>
  <c r="C143" i="28"/>
  <c r="B143" i="28"/>
  <c r="D142" i="28"/>
  <c r="C142" i="28"/>
  <c r="B142" i="28"/>
  <c r="D141" i="28"/>
  <c r="C141" i="28"/>
  <c r="B141" i="28"/>
  <c r="D140" i="28"/>
  <c r="C140" i="28"/>
  <c r="B140" i="28"/>
  <c r="D139" i="28"/>
  <c r="C139" i="28"/>
  <c r="B139" i="28"/>
  <c r="D138" i="28"/>
  <c r="C138" i="28"/>
  <c r="B138" i="28"/>
  <c r="D137" i="28"/>
  <c r="C137" i="28"/>
  <c r="B137" i="28"/>
  <c r="D136" i="28"/>
  <c r="C136" i="28"/>
  <c r="B136" i="28"/>
  <c r="D135" i="28"/>
  <c r="C135" i="28"/>
  <c r="B135" i="28"/>
  <c r="D134" i="28"/>
  <c r="C134" i="28"/>
  <c r="B134" i="28"/>
  <c r="D133" i="28"/>
  <c r="C133" i="28"/>
  <c r="B133" i="28"/>
  <c r="D132" i="28"/>
  <c r="C132" i="28"/>
  <c r="B132" i="28"/>
  <c r="D131" i="28"/>
  <c r="C131" i="28"/>
  <c r="B131" i="28"/>
  <c r="D130" i="28"/>
  <c r="C130" i="28"/>
  <c r="B130" i="28"/>
  <c r="D129" i="28"/>
  <c r="C129" i="28"/>
  <c r="B129" i="28"/>
  <c r="D128" i="28"/>
  <c r="C128" i="28"/>
  <c r="B128" i="28"/>
  <c r="D127" i="28"/>
  <c r="C127" i="28"/>
  <c r="B127" i="28"/>
  <c r="D126" i="28"/>
  <c r="C126" i="28"/>
  <c r="B126" i="28"/>
  <c r="D125" i="28"/>
  <c r="C125" i="28"/>
  <c r="B125" i="28"/>
  <c r="D124" i="28"/>
  <c r="C124" i="28"/>
  <c r="B124" i="28"/>
  <c r="D123" i="28"/>
  <c r="C123" i="28"/>
  <c r="B123" i="28"/>
  <c r="D122" i="28"/>
  <c r="C122" i="28"/>
  <c r="B122" i="28"/>
  <c r="D121" i="28"/>
  <c r="C121" i="28"/>
  <c r="B121" i="28"/>
  <c r="D120" i="28"/>
  <c r="C120" i="28"/>
  <c r="B120" i="28"/>
  <c r="D119" i="28"/>
  <c r="C119" i="28"/>
  <c r="B119" i="28"/>
  <c r="D118" i="28"/>
  <c r="C118" i="28"/>
  <c r="B118" i="28"/>
  <c r="D117" i="28"/>
  <c r="C117" i="28"/>
  <c r="B117" i="28"/>
  <c r="D116" i="28"/>
  <c r="C116" i="28"/>
  <c r="B116" i="28"/>
  <c r="D115" i="28"/>
  <c r="C115" i="28"/>
  <c r="B115" i="28"/>
  <c r="D114" i="28"/>
  <c r="C114" i="28"/>
  <c r="B114" i="28"/>
  <c r="D113" i="28"/>
  <c r="C113" i="28"/>
  <c r="B113" i="28"/>
  <c r="D112" i="28"/>
  <c r="C112" i="28"/>
  <c r="B112" i="28"/>
  <c r="D111" i="28"/>
  <c r="C111" i="28"/>
  <c r="B111" i="28"/>
  <c r="D110" i="28"/>
  <c r="C110" i="28"/>
  <c r="B110" i="28"/>
  <c r="D109" i="28"/>
  <c r="C109" i="28"/>
  <c r="B109" i="28"/>
  <c r="D108" i="28"/>
  <c r="C108" i="28"/>
  <c r="B108" i="28"/>
  <c r="D107" i="28"/>
  <c r="C107" i="28"/>
  <c r="B107" i="28"/>
  <c r="D106" i="28"/>
  <c r="C106" i="28"/>
  <c r="B106" i="28"/>
  <c r="D105" i="28"/>
  <c r="C105" i="28"/>
  <c r="B105" i="28"/>
  <c r="D104" i="28"/>
  <c r="C104" i="28"/>
  <c r="B104" i="28"/>
  <c r="D103" i="28"/>
  <c r="C103" i="28"/>
  <c r="B103" i="28"/>
  <c r="D102" i="28"/>
  <c r="C102" i="28"/>
  <c r="B102" i="28"/>
  <c r="D101" i="28"/>
  <c r="C101" i="28"/>
  <c r="B101" i="28"/>
  <c r="D100" i="28"/>
  <c r="C100" i="28"/>
  <c r="B100" i="28"/>
  <c r="D99" i="28"/>
  <c r="C99" i="28"/>
  <c r="B99" i="28"/>
  <c r="D98" i="28"/>
  <c r="C98" i="28"/>
  <c r="B98" i="28"/>
  <c r="D97" i="28"/>
  <c r="C97" i="28"/>
  <c r="B97" i="28"/>
  <c r="D96" i="28"/>
  <c r="C96" i="28"/>
  <c r="B96" i="28"/>
  <c r="D95" i="28"/>
  <c r="C95" i="28"/>
  <c r="B95" i="28"/>
  <c r="D94" i="28"/>
  <c r="C94" i="28"/>
  <c r="B94" i="28"/>
  <c r="D93" i="28"/>
  <c r="C93" i="28"/>
  <c r="B93" i="28"/>
  <c r="D92" i="28"/>
  <c r="C92" i="28"/>
  <c r="B92" i="28"/>
  <c r="D91" i="28"/>
  <c r="C91" i="28"/>
  <c r="B91" i="28"/>
  <c r="D90" i="28"/>
  <c r="C90" i="28"/>
  <c r="B90" i="28"/>
  <c r="D89" i="28"/>
  <c r="C89" i="28"/>
  <c r="B89" i="28"/>
  <c r="D88" i="28"/>
  <c r="C88" i="28"/>
  <c r="B88" i="28"/>
  <c r="D87" i="28"/>
  <c r="C87" i="28"/>
  <c r="B87" i="28"/>
  <c r="D86" i="28"/>
  <c r="C86" i="28"/>
  <c r="B86" i="28"/>
  <c r="D85" i="28"/>
  <c r="C85" i="28"/>
  <c r="B85" i="28"/>
  <c r="D84" i="28"/>
  <c r="C84" i="28"/>
  <c r="B84" i="28"/>
  <c r="D83" i="28"/>
  <c r="C83" i="28"/>
  <c r="B83" i="28"/>
  <c r="D82" i="28"/>
  <c r="C82" i="28"/>
  <c r="B82" i="28"/>
  <c r="D81" i="28"/>
  <c r="C81" i="28"/>
  <c r="B81" i="28"/>
  <c r="D80" i="28"/>
  <c r="C80" i="28"/>
  <c r="B80" i="28"/>
  <c r="D79" i="28"/>
  <c r="C79" i="28"/>
  <c r="B79" i="28"/>
  <c r="D78" i="28"/>
  <c r="C78" i="28"/>
  <c r="B78" i="28"/>
  <c r="D77" i="28"/>
  <c r="C77" i="28"/>
  <c r="B77" i="28"/>
  <c r="D76" i="28"/>
  <c r="C76" i="28"/>
  <c r="B76" i="28"/>
  <c r="D75" i="28"/>
  <c r="C75" i="28"/>
  <c r="B75" i="28"/>
  <c r="D74" i="28"/>
  <c r="C74" i="28"/>
  <c r="B74" i="28"/>
  <c r="D73" i="28"/>
  <c r="C73" i="28"/>
  <c r="B73" i="28"/>
  <c r="D72" i="28"/>
  <c r="C72" i="28"/>
  <c r="B72" i="28"/>
  <c r="D71" i="28"/>
  <c r="C71" i="28"/>
  <c r="B71" i="28"/>
  <c r="D70" i="28"/>
  <c r="C70" i="28"/>
  <c r="B70" i="28"/>
  <c r="D69" i="28"/>
  <c r="C69" i="28"/>
  <c r="B69" i="28"/>
  <c r="D68" i="28"/>
  <c r="C68" i="28"/>
  <c r="B68" i="28"/>
  <c r="D67" i="28"/>
  <c r="C67" i="28"/>
  <c r="B67" i="28"/>
  <c r="D66" i="28"/>
  <c r="C66" i="28"/>
  <c r="B66" i="28"/>
  <c r="D65" i="28"/>
  <c r="C65" i="28"/>
  <c r="B65" i="28"/>
  <c r="D64" i="28"/>
  <c r="C64" i="28"/>
  <c r="B64" i="28"/>
  <c r="D63" i="28"/>
  <c r="C63" i="28"/>
  <c r="B63" i="28"/>
  <c r="D62" i="28"/>
  <c r="C62" i="28"/>
  <c r="B62" i="28"/>
  <c r="D61" i="28"/>
  <c r="C61" i="28"/>
  <c r="B61" i="28"/>
  <c r="D60" i="28"/>
  <c r="C60" i="28"/>
  <c r="B60" i="28"/>
  <c r="D59" i="28"/>
  <c r="C59" i="28"/>
  <c r="B59" i="28"/>
  <c r="D58" i="28"/>
  <c r="C58" i="28"/>
  <c r="B58" i="28"/>
  <c r="D57" i="28"/>
  <c r="C57" i="28"/>
  <c r="B57" i="28"/>
  <c r="D56" i="28"/>
  <c r="C56" i="28"/>
  <c r="B56" i="28"/>
  <c r="D55" i="28"/>
  <c r="C55" i="28"/>
  <c r="B55" i="28"/>
  <c r="D54" i="28"/>
  <c r="C54" i="28"/>
  <c r="B54" i="28"/>
  <c r="D53" i="28"/>
  <c r="C53" i="28"/>
  <c r="B53" i="28"/>
  <c r="D52" i="28"/>
  <c r="C52" i="28"/>
  <c r="B52" i="28"/>
  <c r="D51" i="28"/>
  <c r="C51" i="28"/>
  <c r="B51" i="28"/>
  <c r="D50" i="28"/>
  <c r="C50" i="28"/>
  <c r="B50" i="28"/>
  <c r="D49" i="28"/>
  <c r="C49" i="28"/>
  <c r="B49" i="28"/>
  <c r="D48" i="28"/>
  <c r="C48" i="28"/>
  <c r="B48" i="28"/>
  <c r="D47" i="28"/>
  <c r="C47" i="28"/>
  <c r="B47" i="28"/>
  <c r="D46" i="28"/>
  <c r="C46" i="28"/>
  <c r="B46" i="28"/>
  <c r="D45" i="28"/>
  <c r="C45" i="28"/>
  <c r="B45" i="28"/>
  <c r="D44" i="28"/>
  <c r="C44" i="28"/>
  <c r="B44" i="28"/>
  <c r="D43" i="28"/>
  <c r="C43" i="28"/>
  <c r="B43" i="28"/>
  <c r="D42" i="28"/>
  <c r="C42" i="28"/>
  <c r="B42" i="28"/>
  <c r="D41" i="28"/>
  <c r="C41" i="28"/>
  <c r="B41" i="28"/>
  <c r="D40" i="28"/>
  <c r="C40" i="28"/>
  <c r="B40" i="28"/>
  <c r="D39" i="28"/>
  <c r="C39" i="28"/>
  <c r="B39" i="28"/>
  <c r="D38" i="28"/>
  <c r="C38" i="28"/>
  <c r="B38" i="28"/>
  <c r="D37" i="28"/>
  <c r="C37" i="28"/>
  <c r="B37" i="28"/>
  <c r="D36" i="28"/>
  <c r="C36" i="28"/>
  <c r="B36" i="28"/>
  <c r="D35" i="28"/>
  <c r="C35" i="28"/>
  <c r="B35" i="28"/>
  <c r="D34" i="28"/>
  <c r="C34" i="28"/>
  <c r="B34" i="28"/>
  <c r="D33" i="28"/>
  <c r="C33" i="28"/>
  <c r="B33" i="28"/>
  <c r="D32" i="28"/>
  <c r="C32" i="28"/>
  <c r="B32" i="28"/>
  <c r="D31" i="28"/>
  <c r="C31" i="28"/>
  <c r="B31" i="28"/>
  <c r="D30" i="28"/>
  <c r="C30" i="28"/>
  <c r="B30" i="28"/>
  <c r="D29" i="28"/>
  <c r="C29" i="28"/>
  <c r="B29" i="28"/>
  <c r="D28" i="28"/>
  <c r="C28" i="28"/>
  <c r="B28" i="28"/>
  <c r="D27" i="28"/>
  <c r="C27" i="28"/>
  <c r="B27" i="28"/>
  <c r="D26" i="28"/>
  <c r="C26" i="28"/>
  <c r="B26" i="28"/>
  <c r="D25" i="28"/>
  <c r="C25" i="28"/>
  <c r="B25" i="28"/>
  <c r="D24" i="28"/>
  <c r="C24" i="28"/>
  <c r="B24" i="28"/>
  <c r="D23" i="28"/>
  <c r="C23" i="28"/>
  <c r="B23" i="28"/>
  <c r="D22" i="28"/>
  <c r="C22" i="28"/>
  <c r="B22" i="28"/>
  <c r="D21" i="28"/>
  <c r="C21" i="28"/>
  <c r="B21" i="28"/>
  <c r="D20" i="28"/>
  <c r="C20" i="28"/>
  <c r="B20" i="28"/>
  <c r="D19" i="28"/>
  <c r="C19" i="28"/>
  <c r="B19" i="28"/>
  <c r="D18" i="28"/>
  <c r="C18" i="28"/>
  <c r="B18" i="28"/>
  <c r="D17" i="28"/>
  <c r="C17" i="28"/>
  <c r="B17" i="28"/>
  <c r="D16" i="28"/>
  <c r="C16" i="28"/>
  <c r="B16" i="28"/>
  <c r="D15" i="28"/>
  <c r="C15" i="28"/>
  <c r="B15" i="28"/>
  <c r="D14" i="28"/>
  <c r="C14" i="28"/>
  <c r="B14" i="28"/>
  <c r="D13" i="28"/>
  <c r="C13" i="28"/>
  <c r="B13" i="28"/>
  <c r="D12" i="28"/>
  <c r="C12" i="28"/>
  <c r="B12" i="28"/>
  <c r="D11" i="28"/>
  <c r="C11" i="28"/>
  <c r="B11" i="28"/>
  <c r="D10" i="28"/>
  <c r="C10" i="28"/>
  <c r="B10" i="28"/>
  <c r="D9" i="28"/>
  <c r="C9" i="28"/>
  <c r="B9" i="28"/>
  <c r="D8" i="28"/>
  <c r="C8" i="28"/>
  <c r="B8" i="28"/>
  <c r="D7" i="28"/>
  <c r="C7" i="28"/>
  <c r="B7" i="28"/>
  <c r="D6" i="28"/>
  <c r="C6" i="28"/>
  <c r="B6" i="28"/>
  <c r="D5" i="28"/>
  <c r="C5" i="28"/>
  <c r="B5" i="28"/>
  <c r="D4" i="28"/>
  <c r="C4" i="28"/>
  <c r="B4" i="28"/>
  <c r="D3" i="28"/>
  <c r="C3" i="28"/>
  <c r="B3" i="28"/>
  <c r="D2" i="28"/>
  <c r="N2" i="28" s="1"/>
  <c r="C2" i="28"/>
  <c r="B2" i="28"/>
  <c r="D321" i="27"/>
  <c r="C321" i="27"/>
  <c r="B321" i="27"/>
  <c r="D320" i="27"/>
  <c r="C320" i="27"/>
  <c r="B320" i="27"/>
  <c r="D319" i="27"/>
  <c r="C319" i="27"/>
  <c r="B319" i="27"/>
  <c r="D318" i="27"/>
  <c r="C318" i="27"/>
  <c r="B318" i="27"/>
  <c r="D317" i="27"/>
  <c r="C317" i="27"/>
  <c r="B317" i="27"/>
  <c r="D316" i="27"/>
  <c r="C316" i="27"/>
  <c r="B316" i="27"/>
  <c r="D315" i="27"/>
  <c r="C315" i="27"/>
  <c r="B315" i="27"/>
  <c r="D314" i="27"/>
  <c r="C314" i="27"/>
  <c r="B314" i="27"/>
  <c r="D313" i="27"/>
  <c r="C313" i="27"/>
  <c r="B313" i="27"/>
  <c r="D312" i="27"/>
  <c r="C312" i="27"/>
  <c r="B312" i="27"/>
  <c r="D311" i="27"/>
  <c r="C311" i="27"/>
  <c r="B311" i="27"/>
  <c r="D310" i="27"/>
  <c r="C310" i="27"/>
  <c r="B310" i="27"/>
  <c r="D309" i="27"/>
  <c r="C309" i="27"/>
  <c r="B309" i="27"/>
  <c r="D308" i="27"/>
  <c r="C308" i="27"/>
  <c r="B308" i="27"/>
  <c r="D307" i="27"/>
  <c r="C307" i="27"/>
  <c r="B307" i="27"/>
  <c r="D306" i="27"/>
  <c r="C306" i="27"/>
  <c r="B306" i="27"/>
  <c r="D305" i="27"/>
  <c r="C305" i="27"/>
  <c r="B305" i="27"/>
  <c r="D304" i="27"/>
  <c r="C304" i="27"/>
  <c r="B304" i="27"/>
  <c r="D303" i="27"/>
  <c r="C303" i="27"/>
  <c r="B303" i="27"/>
  <c r="D302" i="27"/>
  <c r="C302" i="27"/>
  <c r="B302" i="27"/>
  <c r="D301" i="27"/>
  <c r="C301" i="27"/>
  <c r="B301" i="27"/>
  <c r="D300" i="27"/>
  <c r="C300" i="27"/>
  <c r="B300" i="27"/>
  <c r="D299" i="27"/>
  <c r="C299" i="27"/>
  <c r="B299" i="27"/>
  <c r="D298" i="27"/>
  <c r="C298" i="27"/>
  <c r="B298" i="27"/>
  <c r="D297" i="27"/>
  <c r="C297" i="27"/>
  <c r="B297" i="27"/>
  <c r="D296" i="27"/>
  <c r="C296" i="27"/>
  <c r="B296" i="27"/>
  <c r="D295" i="27"/>
  <c r="C295" i="27"/>
  <c r="B295" i="27"/>
  <c r="D294" i="27"/>
  <c r="C294" i="27"/>
  <c r="B294" i="27"/>
  <c r="D293" i="27"/>
  <c r="C293" i="27"/>
  <c r="B293" i="27"/>
  <c r="D292" i="27"/>
  <c r="C292" i="27"/>
  <c r="B292" i="27"/>
  <c r="D291" i="27"/>
  <c r="C291" i="27"/>
  <c r="B291" i="27"/>
  <c r="D290" i="27"/>
  <c r="C290" i="27"/>
  <c r="B290" i="27"/>
  <c r="D289" i="27"/>
  <c r="C289" i="27"/>
  <c r="B289" i="27"/>
  <c r="D288" i="27"/>
  <c r="C288" i="27"/>
  <c r="B288" i="27"/>
  <c r="D287" i="27"/>
  <c r="C287" i="27"/>
  <c r="B287" i="27"/>
  <c r="D286" i="27"/>
  <c r="C286" i="27"/>
  <c r="B286" i="27"/>
  <c r="D285" i="27"/>
  <c r="C285" i="27"/>
  <c r="B285" i="27"/>
  <c r="D284" i="27"/>
  <c r="C284" i="27"/>
  <c r="B284" i="27"/>
  <c r="D283" i="27"/>
  <c r="C283" i="27"/>
  <c r="B283" i="27"/>
  <c r="D282" i="27"/>
  <c r="C282" i="27"/>
  <c r="B282" i="27"/>
  <c r="D281" i="27"/>
  <c r="C281" i="27"/>
  <c r="B281" i="27"/>
  <c r="D280" i="27"/>
  <c r="C280" i="27"/>
  <c r="B280" i="27"/>
  <c r="D279" i="27"/>
  <c r="C279" i="27"/>
  <c r="B279" i="27"/>
  <c r="D278" i="27"/>
  <c r="C278" i="27"/>
  <c r="B278" i="27"/>
  <c r="D277" i="27"/>
  <c r="C277" i="27"/>
  <c r="B277" i="27"/>
  <c r="D276" i="27"/>
  <c r="C276" i="27"/>
  <c r="B276" i="27"/>
  <c r="D275" i="27"/>
  <c r="C275" i="27"/>
  <c r="B275" i="27"/>
  <c r="D274" i="27"/>
  <c r="C274" i="27"/>
  <c r="B274" i="27"/>
  <c r="D273" i="27"/>
  <c r="C273" i="27"/>
  <c r="B273" i="27"/>
  <c r="D272" i="27"/>
  <c r="C272" i="27"/>
  <c r="B272" i="27"/>
  <c r="D271" i="27"/>
  <c r="C271" i="27"/>
  <c r="B271" i="27"/>
  <c r="D270" i="27"/>
  <c r="C270" i="27"/>
  <c r="B270" i="27"/>
  <c r="D269" i="27"/>
  <c r="C269" i="27"/>
  <c r="B269" i="27"/>
  <c r="D268" i="27"/>
  <c r="C268" i="27"/>
  <c r="B268" i="27"/>
  <c r="D267" i="27"/>
  <c r="C267" i="27"/>
  <c r="B267" i="27"/>
  <c r="D266" i="27"/>
  <c r="C266" i="27"/>
  <c r="B266" i="27"/>
  <c r="D265" i="27"/>
  <c r="C265" i="27"/>
  <c r="B265" i="27"/>
  <c r="D264" i="27"/>
  <c r="C264" i="27"/>
  <c r="B264" i="27"/>
  <c r="D263" i="27"/>
  <c r="C263" i="27"/>
  <c r="B263" i="27"/>
  <c r="D262" i="27"/>
  <c r="C262" i="27"/>
  <c r="B262" i="27"/>
  <c r="D261" i="27"/>
  <c r="C261" i="27"/>
  <c r="B261" i="27"/>
  <c r="D260" i="27"/>
  <c r="C260" i="27"/>
  <c r="B260" i="27"/>
  <c r="D259" i="27"/>
  <c r="C259" i="27"/>
  <c r="B259" i="27"/>
  <c r="D258" i="27"/>
  <c r="C258" i="27"/>
  <c r="B258" i="27"/>
  <c r="D257" i="27"/>
  <c r="C257" i="27"/>
  <c r="B257" i="27"/>
  <c r="D256" i="27"/>
  <c r="C256" i="27"/>
  <c r="B256" i="27"/>
  <c r="D255" i="27"/>
  <c r="C255" i="27"/>
  <c r="B255" i="27"/>
  <c r="D254" i="27"/>
  <c r="C254" i="27"/>
  <c r="B254" i="27"/>
  <c r="D253" i="27"/>
  <c r="C253" i="27"/>
  <c r="B253" i="27"/>
  <c r="D252" i="27"/>
  <c r="C252" i="27"/>
  <c r="B252" i="27"/>
  <c r="D251" i="27"/>
  <c r="C251" i="27"/>
  <c r="B251" i="27"/>
  <c r="D250" i="27"/>
  <c r="C250" i="27"/>
  <c r="B250" i="27"/>
  <c r="D249" i="27"/>
  <c r="C249" i="27"/>
  <c r="B249" i="27"/>
  <c r="D248" i="27"/>
  <c r="C248" i="27"/>
  <c r="B248" i="27"/>
  <c r="D247" i="27"/>
  <c r="C247" i="27"/>
  <c r="B247" i="27"/>
  <c r="D246" i="27"/>
  <c r="C246" i="27"/>
  <c r="B246" i="27"/>
  <c r="D245" i="27"/>
  <c r="C245" i="27"/>
  <c r="B245" i="27"/>
  <c r="D244" i="27"/>
  <c r="C244" i="27"/>
  <c r="B244" i="27"/>
  <c r="D243" i="27"/>
  <c r="C243" i="27"/>
  <c r="B243" i="27"/>
  <c r="D242" i="27"/>
  <c r="C242" i="27"/>
  <c r="B242" i="27"/>
  <c r="D241" i="27"/>
  <c r="C241" i="27"/>
  <c r="B241" i="27"/>
  <c r="D240" i="27"/>
  <c r="C240" i="27"/>
  <c r="B240" i="27"/>
  <c r="D239" i="27"/>
  <c r="C239" i="27"/>
  <c r="B239" i="27"/>
  <c r="D238" i="27"/>
  <c r="C238" i="27"/>
  <c r="B238" i="27"/>
  <c r="D237" i="27"/>
  <c r="C237" i="27"/>
  <c r="B237" i="27"/>
  <c r="D236" i="27"/>
  <c r="C236" i="27"/>
  <c r="B236" i="27"/>
  <c r="D235" i="27"/>
  <c r="C235" i="27"/>
  <c r="B235" i="27"/>
  <c r="D234" i="27"/>
  <c r="C234" i="27"/>
  <c r="B234" i="27"/>
  <c r="D233" i="27"/>
  <c r="C233" i="27"/>
  <c r="B233" i="27"/>
  <c r="D232" i="27"/>
  <c r="C232" i="27"/>
  <c r="B232" i="27"/>
  <c r="D231" i="27"/>
  <c r="C231" i="27"/>
  <c r="B231" i="27"/>
  <c r="D230" i="27"/>
  <c r="C230" i="27"/>
  <c r="B230" i="27"/>
  <c r="D229" i="27"/>
  <c r="C229" i="27"/>
  <c r="B229" i="27"/>
  <c r="D228" i="27"/>
  <c r="C228" i="27"/>
  <c r="B228" i="27"/>
  <c r="D227" i="27"/>
  <c r="C227" i="27"/>
  <c r="B227" i="27"/>
  <c r="D226" i="27"/>
  <c r="C226" i="27"/>
  <c r="B226" i="27"/>
  <c r="D225" i="27"/>
  <c r="C225" i="27"/>
  <c r="B225" i="27"/>
  <c r="D224" i="27"/>
  <c r="C224" i="27"/>
  <c r="B224" i="27"/>
  <c r="D223" i="27"/>
  <c r="C223" i="27"/>
  <c r="B223" i="27"/>
  <c r="D222" i="27"/>
  <c r="C222" i="27"/>
  <c r="B222" i="27"/>
  <c r="D221" i="27"/>
  <c r="C221" i="27"/>
  <c r="B221" i="27"/>
  <c r="D220" i="27"/>
  <c r="C220" i="27"/>
  <c r="B220" i="27"/>
  <c r="D219" i="27"/>
  <c r="C219" i="27"/>
  <c r="B219" i="27"/>
  <c r="D218" i="27"/>
  <c r="C218" i="27"/>
  <c r="B218" i="27"/>
  <c r="D217" i="27"/>
  <c r="C217" i="27"/>
  <c r="B217" i="27"/>
  <c r="D216" i="27"/>
  <c r="C216" i="27"/>
  <c r="B216" i="27"/>
  <c r="D215" i="27"/>
  <c r="C215" i="27"/>
  <c r="B215" i="27"/>
  <c r="D214" i="27"/>
  <c r="C214" i="27"/>
  <c r="B214" i="27"/>
  <c r="D213" i="27"/>
  <c r="C213" i="27"/>
  <c r="B213" i="27"/>
  <c r="D212" i="27"/>
  <c r="C212" i="27"/>
  <c r="B212" i="27"/>
  <c r="D211" i="27"/>
  <c r="C211" i="27"/>
  <c r="B211" i="27"/>
  <c r="D210" i="27"/>
  <c r="C210" i="27"/>
  <c r="B210" i="27"/>
  <c r="D209" i="27"/>
  <c r="C209" i="27"/>
  <c r="B209" i="27"/>
  <c r="D208" i="27"/>
  <c r="C208" i="27"/>
  <c r="B208" i="27"/>
  <c r="D207" i="27"/>
  <c r="C207" i="27"/>
  <c r="B207" i="27"/>
  <c r="D206" i="27"/>
  <c r="C206" i="27"/>
  <c r="B206" i="27"/>
  <c r="D205" i="27"/>
  <c r="C205" i="27"/>
  <c r="B205" i="27"/>
  <c r="D204" i="27"/>
  <c r="C204" i="27"/>
  <c r="B204" i="27"/>
  <c r="D203" i="27"/>
  <c r="C203" i="27"/>
  <c r="B203" i="27"/>
  <c r="D202" i="27"/>
  <c r="C202" i="27"/>
  <c r="B202" i="27"/>
  <c r="D201" i="27"/>
  <c r="C201" i="27"/>
  <c r="B201" i="27"/>
  <c r="D162" i="27"/>
  <c r="C162" i="27"/>
  <c r="B162" i="27"/>
  <c r="D161" i="27"/>
  <c r="C161" i="27"/>
  <c r="B161" i="27"/>
  <c r="D160" i="27"/>
  <c r="C160" i="27"/>
  <c r="B160" i="27"/>
  <c r="D159" i="27"/>
  <c r="C159" i="27"/>
  <c r="B159" i="27"/>
  <c r="D158" i="27"/>
  <c r="C158" i="27"/>
  <c r="B158" i="27"/>
  <c r="D157" i="27"/>
  <c r="C157" i="27"/>
  <c r="B157" i="27"/>
  <c r="D156" i="27"/>
  <c r="C156" i="27"/>
  <c r="B156" i="27"/>
  <c r="D155" i="27"/>
  <c r="C155" i="27"/>
  <c r="B155" i="27"/>
  <c r="D154" i="27"/>
  <c r="C154" i="27"/>
  <c r="B154" i="27"/>
  <c r="D153" i="27"/>
  <c r="C153" i="27"/>
  <c r="B153" i="27"/>
  <c r="D152" i="27"/>
  <c r="C152" i="27"/>
  <c r="B152" i="27"/>
  <c r="D151" i="27"/>
  <c r="C151" i="27"/>
  <c r="B151" i="27"/>
  <c r="D150" i="27"/>
  <c r="C150" i="27"/>
  <c r="B150" i="27"/>
  <c r="D149" i="27"/>
  <c r="C149" i="27"/>
  <c r="B149" i="27"/>
  <c r="D148" i="27"/>
  <c r="C148" i="27"/>
  <c r="B148" i="27"/>
  <c r="D147" i="27"/>
  <c r="C147" i="27"/>
  <c r="B147" i="27"/>
  <c r="D146" i="27"/>
  <c r="C146" i="27"/>
  <c r="B146" i="27"/>
  <c r="D145" i="27"/>
  <c r="C145" i="27"/>
  <c r="B145" i="27"/>
  <c r="D144" i="27"/>
  <c r="C144" i="27"/>
  <c r="B144" i="27"/>
  <c r="D143" i="27"/>
  <c r="C143" i="27"/>
  <c r="B143" i="27"/>
  <c r="D142" i="27"/>
  <c r="C142" i="27"/>
  <c r="B142" i="27"/>
  <c r="D141" i="27"/>
  <c r="C141" i="27"/>
  <c r="B141" i="27"/>
  <c r="D140" i="27"/>
  <c r="C140" i="27"/>
  <c r="B140" i="27"/>
  <c r="D139" i="27"/>
  <c r="C139" i="27"/>
  <c r="B139" i="27"/>
  <c r="D138" i="27"/>
  <c r="C138" i="27"/>
  <c r="B138" i="27"/>
  <c r="D137" i="27"/>
  <c r="C137" i="27"/>
  <c r="B137" i="27"/>
  <c r="D136" i="27"/>
  <c r="C136" i="27"/>
  <c r="B136" i="27"/>
  <c r="D135" i="27"/>
  <c r="C135" i="27"/>
  <c r="B135" i="27"/>
  <c r="D134" i="27"/>
  <c r="C134" i="27"/>
  <c r="B134" i="27"/>
  <c r="D133" i="27"/>
  <c r="C133" i="27"/>
  <c r="B133" i="27"/>
  <c r="D132" i="27"/>
  <c r="C132" i="27"/>
  <c r="B132" i="27"/>
  <c r="D131" i="27"/>
  <c r="C131" i="27"/>
  <c r="B131" i="27"/>
  <c r="D130" i="27"/>
  <c r="C130" i="27"/>
  <c r="B130" i="27"/>
  <c r="D129" i="27"/>
  <c r="C129" i="27"/>
  <c r="B129" i="27"/>
  <c r="D128" i="27"/>
  <c r="C128" i="27"/>
  <c r="B128" i="27"/>
  <c r="D127" i="27"/>
  <c r="C127" i="27"/>
  <c r="B127" i="27"/>
  <c r="D126" i="27"/>
  <c r="C126" i="27"/>
  <c r="B126" i="27"/>
  <c r="D125" i="27"/>
  <c r="C125" i="27"/>
  <c r="B125" i="27"/>
  <c r="D124" i="27"/>
  <c r="C124" i="27"/>
  <c r="B124" i="27"/>
  <c r="D123" i="27"/>
  <c r="C123" i="27"/>
  <c r="B123" i="27"/>
  <c r="D122" i="27"/>
  <c r="C122" i="27"/>
  <c r="B122" i="27"/>
  <c r="D121" i="27"/>
  <c r="C121" i="27"/>
  <c r="B121" i="27"/>
  <c r="D120" i="27"/>
  <c r="C120" i="27"/>
  <c r="B120" i="27"/>
  <c r="D119" i="27"/>
  <c r="C119" i="27"/>
  <c r="B119" i="27"/>
  <c r="D118" i="27"/>
  <c r="C118" i="27"/>
  <c r="B118" i="27"/>
  <c r="D117" i="27"/>
  <c r="C117" i="27"/>
  <c r="B117" i="27"/>
  <c r="D116" i="27"/>
  <c r="C116" i="27"/>
  <c r="B116" i="27"/>
  <c r="D115" i="27"/>
  <c r="C115" i="27"/>
  <c r="B115" i="27"/>
  <c r="D114" i="27"/>
  <c r="C114" i="27"/>
  <c r="B114" i="27"/>
  <c r="D113" i="27"/>
  <c r="C113" i="27"/>
  <c r="B113" i="27"/>
  <c r="D112" i="27"/>
  <c r="C112" i="27"/>
  <c r="B112" i="27"/>
  <c r="D111" i="27"/>
  <c r="C111" i="27"/>
  <c r="B111" i="27"/>
  <c r="D110" i="27"/>
  <c r="C110" i="27"/>
  <c r="B110" i="27"/>
  <c r="D109" i="27"/>
  <c r="C109" i="27"/>
  <c r="B109" i="27"/>
  <c r="D108" i="27"/>
  <c r="C108" i="27"/>
  <c r="B108" i="27"/>
  <c r="D107" i="27"/>
  <c r="C107" i="27"/>
  <c r="B107" i="27"/>
  <c r="D106" i="27"/>
  <c r="C106" i="27"/>
  <c r="B106" i="27"/>
  <c r="D105" i="27"/>
  <c r="C105" i="27"/>
  <c r="B105" i="27"/>
  <c r="D104" i="27"/>
  <c r="C104" i="27"/>
  <c r="B104" i="27"/>
  <c r="D103" i="27"/>
  <c r="C103" i="27"/>
  <c r="B103" i="27"/>
  <c r="D102" i="27"/>
  <c r="C102" i="27"/>
  <c r="B102" i="27"/>
  <c r="D101" i="27"/>
  <c r="C101" i="27"/>
  <c r="B101" i="27"/>
  <c r="D100" i="27"/>
  <c r="C100" i="27"/>
  <c r="B100" i="27"/>
  <c r="D99" i="27"/>
  <c r="C99" i="27"/>
  <c r="B99" i="27"/>
  <c r="D98" i="27"/>
  <c r="C98" i="27"/>
  <c r="B98" i="27"/>
  <c r="D97" i="27"/>
  <c r="C97" i="27"/>
  <c r="B97" i="27"/>
  <c r="D96" i="27"/>
  <c r="C96" i="27"/>
  <c r="B96" i="27"/>
  <c r="D95" i="27"/>
  <c r="C95" i="27"/>
  <c r="B95" i="27"/>
  <c r="D94" i="27"/>
  <c r="C94" i="27"/>
  <c r="B94" i="27"/>
  <c r="D93" i="27"/>
  <c r="C93" i="27"/>
  <c r="B93" i="27"/>
  <c r="D92" i="27"/>
  <c r="C92" i="27"/>
  <c r="B92" i="27"/>
  <c r="D91" i="27"/>
  <c r="C91" i="27"/>
  <c r="B91" i="27"/>
  <c r="D90" i="27"/>
  <c r="C90" i="27"/>
  <c r="B90" i="27"/>
  <c r="D89" i="27"/>
  <c r="C89" i="27"/>
  <c r="B89" i="27"/>
  <c r="D88" i="27"/>
  <c r="C88" i="27"/>
  <c r="B88" i="27"/>
  <c r="D87" i="27"/>
  <c r="C87" i="27"/>
  <c r="B87" i="27"/>
  <c r="D86" i="27"/>
  <c r="C86" i="27"/>
  <c r="B86" i="27"/>
  <c r="D85" i="27"/>
  <c r="C85" i="27"/>
  <c r="B85" i="27"/>
  <c r="D84" i="27"/>
  <c r="C84" i="27"/>
  <c r="B84" i="27"/>
  <c r="D83" i="27"/>
  <c r="C83" i="27"/>
  <c r="B83" i="27"/>
  <c r="D82" i="27"/>
  <c r="C82" i="27"/>
  <c r="B82" i="27"/>
  <c r="D81" i="27"/>
  <c r="C81" i="27"/>
  <c r="B81" i="27"/>
  <c r="D80" i="27"/>
  <c r="C80" i="27"/>
  <c r="B80" i="27"/>
  <c r="D79" i="27"/>
  <c r="C79" i="27"/>
  <c r="B79" i="27"/>
  <c r="D78" i="27"/>
  <c r="C78" i="27"/>
  <c r="B78" i="27"/>
  <c r="D77" i="27"/>
  <c r="C77" i="27"/>
  <c r="B77" i="27"/>
  <c r="D76" i="27"/>
  <c r="C76" i="27"/>
  <c r="B76" i="27"/>
  <c r="D75" i="27"/>
  <c r="C75" i="27"/>
  <c r="B75" i="27"/>
  <c r="D74" i="27"/>
  <c r="C74" i="27"/>
  <c r="B74" i="27"/>
  <c r="D73" i="27"/>
  <c r="C73" i="27"/>
  <c r="B73" i="27"/>
  <c r="D72" i="27"/>
  <c r="C72" i="27"/>
  <c r="B72" i="27"/>
  <c r="D71" i="27"/>
  <c r="C71" i="27"/>
  <c r="B71" i="27"/>
  <c r="D70" i="27"/>
  <c r="C70" i="27"/>
  <c r="B70" i="27"/>
  <c r="D69" i="27"/>
  <c r="C69" i="27"/>
  <c r="B69" i="27"/>
  <c r="D68" i="27"/>
  <c r="C68" i="27"/>
  <c r="B68" i="27"/>
  <c r="D67" i="27"/>
  <c r="C67" i="27"/>
  <c r="B67" i="27"/>
  <c r="D66" i="27"/>
  <c r="C66" i="27"/>
  <c r="B66" i="27"/>
  <c r="D65" i="27"/>
  <c r="C65" i="27"/>
  <c r="B65" i="27"/>
  <c r="D64" i="27"/>
  <c r="C64" i="27"/>
  <c r="B64" i="27"/>
  <c r="D63" i="27"/>
  <c r="C63" i="27"/>
  <c r="B63" i="27"/>
  <c r="D62" i="27"/>
  <c r="C62" i="27"/>
  <c r="B62" i="27"/>
  <c r="D61" i="27"/>
  <c r="C61" i="27"/>
  <c r="B61" i="27"/>
  <c r="D60" i="27"/>
  <c r="C60" i="27"/>
  <c r="B60" i="27"/>
  <c r="D59" i="27"/>
  <c r="C59" i="27"/>
  <c r="B59" i="27"/>
  <c r="D58" i="27"/>
  <c r="C58" i="27"/>
  <c r="B58" i="27"/>
  <c r="D57" i="27"/>
  <c r="C57" i="27"/>
  <c r="B57" i="27"/>
  <c r="D56" i="27"/>
  <c r="C56" i="27"/>
  <c r="B56" i="27"/>
  <c r="D55" i="27"/>
  <c r="C55" i="27"/>
  <c r="B55" i="27"/>
  <c r="D54" i="27"/>
  <c r="C54" i="27"/>
  <c r="B54" i="27"/>
  <c r="D53" i="27"/>
  <c r="C53" i="27"/>
  <c r="B53" i="27"/>
  <c r="D52" i="27"/>
  <c r="C52" i="27"/>
  <c r="B52" i="27"/>
  <c r="D51" i="27"/>
  <c r="C51" i="27"/>
  <c r="B51" i="27"/>
  <c r="D50" i="27"/>
  <c r="C50" i="27"/>
  <c r="B50" i="27"/>
  <c r="D49" i="27"/>
  <c r="C49" i="27"/>
  <c r="B49" i="27"/>
  <c r="D48" i="27"/>
  <c r="C48" i="27"/>
  <c r="B48" i="27"/>
  <c r="D47" i="27"/>
  <c r="C47" i="27"/>
  <c r="B47" i="27"/>
  <c r="D46" i="27"/>
  <c r="C46" i="27"/>
  <c r="B46" i="27"/>
  <c r="D45" i="27"/>
  <c r="C45" i="27"/>
  <c r="B45" i="27"/>
  <c r="D44" i="27"/>
  <c r="C44" i="27"/>
  <c r="B44" i="27"/>
  <c r="D43" i="27"/>
  <c r="C43" i="27"/>
  <c r="B43" i="27"/>
  <c r="D42" i="27"/>
  <c r="C42" i="27"/>
  <c r="B42" i="27"/>
  <c r="D41" i="27"/>
  <c r="C41" i="27"/>
  <c r="B41" i="27"/>
  <c r="D40" i="27"/>
  <c r="C40" i="27"/>
  <c r="B40" i="27"/>
  <c r="D39" i="27"/>
  <c r="C39" i="27"/>
  <c r="B39" i="27"/>
  <c r="D38" i="27"/>
  <c r="C38" i="27"/>
  <c r="B38" i="27"/>
  <c r="D37" i="27"/>
  <c r="C37" i="27"/>
  <c r="B37" i="27"/>
  <c r="D36" i="27"/>
  <c r="C36" i="27"/>
  <c r="B36" i="27"/>
  <c r="D35" i="27"/>
  <c r="C35" i="27"/>
  <c r="B35" i="27"/>
  <c r="D34" i="27"/>
  <c r="C34" i="27"/>
  <c r="B34" i="27"/>
  <c r="D33" i="27"/>
  <c r="C33" i="27"/>
  <c r="B33" i="27"/>
  <c r="D32" i="27"/>
  <c r="C32" i="27"/>
  <c r="B32" i="27"/>
  <c r="D31" i="27"/>
  <c r="C31" i="27"/>
  <c r="B31" i="27"/>
  <c r="D30" i="27"/>
  <c r="C30" i="27"/>
  <c r="B30" i="27"/>
  <c r="D29" i="27"/>
  <c r="C29" i="27"/>
  <c r="B29" i="27"/>
  <c r="D28" i="27"/>
  <c r="C28" i="27"/>
  <c r="B28" i="27"/>
  <c r="D27" i="27"/>
  <c r="C27" i="27"/>
  <c r="B27" i="27"/>
  <c r="D26" i="27"/>
  <c r="C26" i="27"/>
  <c r="B26" i="27"/>
  <c r="D25" i="27"/>
  <c r="C25" i="27"/>
  <c r="B25" i="27"/>
  <c r="D24" i="27"/>
  <c r="C24" i="27"/>
  <c r="B24" i="27"/>
  <c r="D23" i="27"/>
  <c r="C23" i="27"/>
  <c r="B23" i="27"/>
  <c r="D22" i="27"/>
  <c r="C22" i="27"/>
  <c r="B22" i="27"/>
  <c r="D21" i="27"/>
  <c r="C21" i="27"/>
  <c r="B21" i="27"/>
  <c r="D20" i="27"/>
  <c r="C20" i="27"/>
  <c r="B20" i="27"/>
  <c r="D19" i="27"/>
  <c r="C19" i="27"/>
  <c r="B19" i="27"/>
  <c r="D18" i="27"/>
  <c r="C18" i="27"/>
  <c r="B18" i="27"/>
  <c r="D17" i="27"/>
  <c r="C17" i="27"/>
  <c r="B17" i="27"/>
  <c r="D16" i="27"/>
  <c r="C16" i="27"/>
  <c r="B16" i="27"/>
  <c r="D15" i="27"/>
  <c r="C15" i="27"/>
  <c r="B15" i="27"/>
  <c r="D14" i="27"/>
  <c r="C14" i="27"/>
  <c r="B14" i="27"/>
  <c r="D13" i="27"/>
  <c r="C13" i="27"/>
  <c r="B13" i="27"/>
  <c r="D12" i="27"/>
  <c r="C12" i="27"/>
  <c r="B12" i="27"/>
  <c r="D11" i="27"/>
  <c r="C11" i="27"/>
  <c r="B11" i="27"/>
  <c r="D10" i="27"/>
  <c r="C10" i="27"/>
  <c r="B10" i="27"/>
  <c r="D9" i="27"/>
  <c r="C9" i="27"/>
  <c r="B9" i="27"/>
  <c r="D8" i="27"/>
  <c r="C8" i="27"/>
  <c r="B8" i="27"/>
  <c r="D7" i="27"/>
  <c r="C7" i="27"/>
  <c r="B7" i="27"/>
  <c r="D6" i="27"/>
  <c r="C6" i="27"/>
  <c r="B6" i="27"/>
  <c r="D5" i="27"/>
  <c r="C5" i="27"/>
  <c r="B5" i="27"/>
  <c r="D4" i="27"/>
  <c r="C4" i="27"/>
  <c r="B4" i="27"/>
  <c r="D3" i="27"/>
  <c r="C3" i="27"/>
  <c r="B3" i="27"/>
  <c r="D2" i="27"/>
  <c r="C2" i="27"/>
  <c r="B2" i="27"/>
  <c r="D407" i="25"/>
  <c r="C407" i="25"/>
  <c r="B407" i="25"/>
  <c r="D406" i="25"/>
  <c r="C406" i="25"/>
  <c r="B406" i="25"/>
  <c r="D405" i="25"/>
  <c r="C405" i="25"/>
  <c r="B405" i="25"/>
  <c r="D404" i="25"/>
  <c r="C404" i="25"/>
  <c r="B404" i="25"/>
  <c r="D403" i="25"/>
  <c r="C403" i="25"/>
  <c r="B403" i="25"/>
  <c r="D402" i="25"/>
  <c r="C402" i="25"/>
  <c r="B402" i="25"/>
  <c r="D401" i="25"/>
  <c r="C401" i="25"/>
  <c r="B401" i="25"/>
  <c r="D400" i="25"/>
  <c r="C400" i="25"/>
  <c r="B400" i="25"/>
  <c r="D399" i="25"/>
  <c r="C399" i="25"/>
  <c r="B399" i="25"/>
  <c r="D398" i="25"/>
  <c r="C398" i="25"/>
  <c r="B398" i="25"/>
  <c r="D397" i="25"/>
  <c r="C397" i="25"/>
  <c r="B397" i="25"/>
  <c r="D396" i="25"/>
  <c r="C396" i="25"/>
  <c r="B396" i="25"/>
  <c r="D395" i="25"/>
  <c r="C395" i="25"/>
  <c r="B395" i="25"/>
  <c r="D394" i="25"/>
  <c r="C394" i="25"/>
  <c r="B394" i="25"/>
  <c r="D393" i="25"/>
  <c r="C393" i="25"/>
  <c r="B393" i="25"/>
  <c r="D392" i="25"/>
  <c r="C392" i="25"/>
  <c r="B392" i="25"/>
  <c r="D391" i="25"/>
  <c r="C391" i="25"/>
  <c r="B391" i="25"/>
  <c r="D390" i="25"/>
  <c r="C390" i="25"/>
  <c r="B390" i="25"/>
  <c r="D389" i="25"/>
  <c r="C389" i="25"/>
  <c r="B389" i="25"/>
  <c r="D388" i="25"/>
  <c r="C388" i="25"/>
  <c r="B388" i="25"/>
  <c r="D387" i="25"/>
  <c r="C387" i="25"/>
  <c r="B387" i="25"/>
  <c r="D386" i="25"/>
  <c r="C386" i="25"/>
  <c r="B386" i="25"/>
  <c r="D385" i="25"/>
  <c r="C385" i="25"/>
  <c r="B385" i="25"/>
  <c r="D384" i="25"/>
  <c r="C384" i="25"/>
  <c r="B384" i="25"/>
  <c r="D383" i="25"/>
  <c r="C383" i="25"/>
  <c r="B383" i="25"/>
  <c r="D382" i="25"/>
  <c r="C382" i="25"/>
  <c r="B382" i="25"/>
  <c r="D381" i="25"/>
  <c r="C381" i="25"/>
  <c r="B381" i="25"/>
  <c r="D380" i="25"/>
  <c r="C380" i="25"/>
  <c r="B380" i="25"/>
  <c r="D379" i="25"/>
  <c r="C379" i="25"/>
  <c r="B379" i="25"/>
  <c r="D378" i="25"/>
  <c r="C378" i="25"/>
  <c r="B378" i="25"/>
  <c r="D377" i="25"/>
  <c r="C377" i="25"/>
  <c r="B377" i="25"/>
  <c r="D376" i="25"/>
  <c r="C376" i="25"/>
  <c r="B376" i="25"/>
  <c r="D375" i="25"/>
  <c r="C375" i="25"/>
  <c r="B375" i="25"/>
  <c r="D374" i="25"/>
  <c r="C374" i="25"/>
  <c r="B374" i="25"/>
  <c r="D373" i="25"/>
  <c r="C373" i="25"/>
  <c r="B373" i="25"/>
  <c r="D372" i="25"/>
  <c r="C372" i="25"/>
  <c r="B372" i="25"/>
  <c r="D371" i="25"/>
  <c r="C371" i="25"/>
  <c r="B371" i="25"/>
  <c r="D370" i="25"/>
  <c r="C370" i="25"/>
  <c r="B370" i="25"/>
  <c r="D369" i="25"/>
  <c r="C369" i="25"/>
  <c r="B369" i="25"/>
  <c r="D368" i="25"/>
  <c r="C368" i="25"/>
  <c r="B368" i="25"/>
  <c r="D367" i="25"/>
  <c r="C367" i="25"/>
  <c r="B367" i="25"/>
  <c r="D366" i="25"/>
  <c r="C366" i="25"/>
  <c r="B366" i="25"/>
  <c r="D365" i="25"/>
  <c r="C365" i="25"/>
  <c r="B365" i="25"/>
  <c r="D364" i="25"/>
  <c r="C364" i="25"/>
  <c r="B364" i="25"/>
  <c r="D363" i="25"/>
  <c r="C363" i="25"/>
  <c r="B363" i="25"/>
  <c r="D362" i="25"/>
  <c r="C362" i="25"/>
  <c r="B362" i="25"/>
  <c r="D361" i="25"/>
  <c r="C361" i="25"/>
  <c r="B361" i="25"/>
  <c r="D360" i="25"/>
  <c r="C360" i="25"/>
  <c r="B360" i="25"/>
  <c r="D359" i="25"/>
  <c r="C359" i="25"/>
  <c r="B359" i="25"/>
  <c r="D358" i="25"/>
  <c r="C358" i="25"/>
  <c r="B358" i="25"/>
  <c r="D357" i="25"/>
  <c r="C357" i="25"/>
  <c r="B357" i="25"/>
  <c r="D356" i="25"/>
  <c r="C356" i="25"/>
  <c r="B356" i="25"/>
  <c r="D355" i="25"/>
  <c r="C355" i="25"/>
  <c r="B355" i="25"/>
  <c r="D354" i="25"/>
  <c r="C354" i="25"/>
  <c r="B354" i="25"/>
  <c r="D353" i="25"/>
  <c r="C353" i="25"/>
  <c r="B353" i="25"/>
  <c r="D352" i="25"/>
  <c r="C352" i="25"/>
  <c r="B352" i="25"/>
  <c r="D351" i="25"/>
  <c r="C351" i="25"/>
  <c r="B351" i="25"/>
  <c r="D350" i="25"/>
  <c r="C350" i="25"/>
  <c r="B350" i="25"/>
  <c r="D349" i="25"/>
  <c r="C349" i="25"/>
  <c r="B349" i="25"/>
  <c r="D348" i="25"/>
  <c r="C348" i="25"/>
  <c r="B348" i="25"/>
  <c r="D347" i="25"/>
  <c r="C347" i="25"/>
  <c r="B347" i="25"/>
  <c r="D346" i="25"/>
  <c r="C346" i="25"/>
  <c r="B346" i="25"/>
  <c r="D345" i="25"/>
  <c r="C345" i="25"/>
  <c r="B345" i="25"/>
  <c r="D344" i="25"/>
  <c r="C344" i="25"/>
  <c r="B344" i="25"/>
  <c r="D343" i="25"/>
  <c r="C343" i="25"/>
  <c r="B343" i="25"/>
  <c r="D342" i="25"/>
  <c r="C342" i="25"/>
  <c r="B342" i="25"/>
  <c r="D341" i="25"/>
  <c r="C341" i="25"/>
  <c r="B341" i="25"/>
  <c r="D340" i="25"/>
  <c r="C340" i="25"/>
  <c r="B340" i="25"/>
  <c r="D339" i="25"/>
  <c r="C339" i="25"/>
  <c r="B339" i="25"/>
  <c r="D338" i="25"/>
  <c r="C338" i="25"/>
  <c r="B338" i="25"/>
  <c r="D337" i="25"/>
  <c r="C337" i="25"/>
  <c r="B337" i="25"/>
  <c r="D336" i="25"/>
  <c r="C336" i="25"/>
  <c r="B336" i="25"/>
  <c r="D335" i="25"/>
  <c r="C335" i="25"/>
  <c r="B335" i="25"/>
  <c r="D334" i="25"/>
  <c r="C334" i="25"/>
  <c r="B334" i="25"/>
  <c r="D333" i="25"/>
  <c r="C333" i="25"/>
  <c r="B333" i="25"/>
  <c r="D332" i="25"/>
  <c r="C332" i="25"/>
  <c r="B332" i="25"/>
  <c r="D331" i="25"/>
  <c r="C331" i="25"/>
  <c r="B331" i="25"/>
  <c r="D330" i="25"/>
  <c r="C330" i="25"/>
  <c r="B330" i="25"/>
  <c r="D329" i="25"/>
  <c r="C329" i="25"/>
  <c r="B329" i="25"/>
  <c r="D328" i="25"/>
  <c r="C328" i="25"/>
  <c r="B328" i="25"/>
  <c r="D327" i="25"/>
  <c r="C327" i="25"/>
  <c r="B327" i="25"/>
  <c r="D326" i="25"/>
  <c r="C326" i="25"/>
  <c r="B326" i="25"/>
  <c r="D325" i="25"/>
  <c r="C325" i="25"/>
  <c r="B325" i="25"/>
  <c r="D324" i="25"/>
  <c r="C324" i="25"/>
  <c r="B324" i="25"/>
  <c r="D323" i="25"/>
  <c r="C323" i="25"/>
  <c r="B323" i="25"/>
  <c r="D322" i="25"/>
  <c r="C322" i="25"/>
  <c r="B322" i="25"/>
  <c r="D321" i="25"/>
  <c r="C321" i="25"/>
  <c r="B321" i="25"/>
  <c r="D320" i="25"/>
  <c r="C320" i="25"/>
  <c r="B320" i="25"/>
  <c r="D319" i="25"/>
  <c r="C319" i="25"/>
  <c r="B319" i="25"/>
  <c r="D318" i="25"/>
  <c r="C318" i="25"/>
  <c r="B318" i="25"/>
  <c r="D317" i="25"/>
  <c r="C317" i="25"/>
  <c r="B317" i="25"/>
  <c r="D316" i="25"/>
  <c r="C316" i="25"/>
  <c r="B316" i="25"/>
  <c r="D315" i="25"/>
  <c r="C315" i="25"/>
  <c r="B315" i="25"/>
  <c r="D314" i="25"/>
  <c r="C314" i="25"/>
  <c r="B314" i="25"/>
  <c r="D313" i="25"/>
  <c r="C313" i="25"/>
  <c r="B313" i="25"/>
  <c r="D312" i="25"/>
  <c r="C312" i="25"/>
  <c r="B312" i="25"/>
  <c r="D311" i="25"/>
  <c r="C311" i="25"/>
  <c r="B311" i="25"/>
  <c r="D310" i="25"/>
  <c r="C310" i="25"/>
  <c r="B310" i="25"/>
  <c r="D309" i="25"/>
  <c r="C309" i="25"/>
  <c r="B309" i="25"/>
  <c r="D308" i="25"/>
  <c r="C308" i="25"/>
  <c r="B308" i="25"/>
  <c r="D307" i="25"/>
  <c r="C307" i="25"/>
  <c r="B307" i="25"/>
  <c r="D306" i="25"/>
  <c r="C306" i="25"/>
  <c r="B306" i="25"/>
  <c r="D305" i="25"/>
  <c r="C305" i="25"/>
  <c r="B305" i="25"/>
  <c r="D304" i="25"/>
  <c r="C304" i="25"/>
  <c r="B304" i="25"/>
  <c r="D303" i="25"/>
  <c r="C303" i="25"/>
  <c r="B303" i="25"/>
  <c r="D302" i="25"/>
  <c r="C302" i="25"/>
  <c r="B302" i="25"/>
  <c r="D301" i="25"/>
  <c r="C301" i="25"/>
  <c r="B301" i="25"/>
  <c r="D300" i="25"/>
  <c r="C300" i="25"/>
  <c r="B300" i="25"/>
  <c r="D299" i="25"/>
  <c r="C299" i="25"/>
  <c r="B299" i="25"/>
  <c r="D298" i="25"/>
  <c r="C298" i="25"/>
  <c r="B298" i="25"/>
  <c r="D297" i="25"/>
  <c r="C297" i="25"/>
  <c r="B297" i="25"/>
  <c r="D296" i="25"/>
  <c r="C296" i="25"/>
  <c r="B296" i="25"/>
  <c r="D295" i="25"/>
  <c r="C295" i="25"/>
  <c r="B295" i="25"/>
  <c r="D294" i="25"/>
  <c r="C294" i="25"/>
  <c r="B294" i="25"/>
  <c r="D293" i="25"/>
  <c r="C293" i="25"/>
  <c r="B293" i="25"/>
  <c r="D292" i="25"/>
  <c r="C292" i="25"/>
  <c r="B292" i="25"/>
  <c r="D291" i="25"/>
  <c r="C291" i="25"/>
  <c r="B291" i="25"/>
  <c r="D290" i="25"/>
  <c r="C290" i="25"/>
  <c r="B290" i="25"/>
  <c r="D289" i="25"/>
  <c r="C289" i="25"/>
  <c r="B289" i="25"/>
  <c r="D288" i="25"/>
  <c r="C288" i="25"/>
  <c r="B288" i="25"/>
  <c r="D287" i="25"/>
  <c r="C287" i="25"/>
  <c r="B287" i="25"/>
  <c r="D286" i="25"/>
  <c r="C286" i="25"/>
  <c r="B286" i="25"/>
  <c r="D285" i="25"/>
  <c r="C285" i="25"/>
  <c r="B285" i="25"/>
  <c r="D284" i="25"/>
  <c r="C284" i="25"/>
  <c r="B284" i="25"/>
  <c r="D283" i="25"/>
  <c r="C283" i="25"/>
  <c r="B283" i="25"/>
  <c r="D282" i="25"/>
  <c r="C282" i="25"/>
  <c r="B282" i="25"/>
  <c r="D281" i="25"/>
  <c r="C281" i="25"/>
  <c r="B281" i="25"/>
  <c r="D280" i="25"/>
  <c r="C280" i="25"/>
  <c r="B280" i="25"/>
  <c r="D279" i="25"/>
  <c r="C279" i="25"/>
  <c r="B279" i="25"/>
  <c r="D278" i="25"/>
  <c r="C278" i="25"/>
  <c r="B278" i="25"/>
  <c r="D277" i="25"/>
  <c r="C277" i="25"/>
  <c r="B277" i="25"/>
  <c r="D276" i="25"/>
  <c r="C276" i="25"/>
  <c r="B276" i="25"/>
  <c r="D275" i="25"/>
  <c r="C275" i="25"/>
  <c r="B275" i="25"/>
  <c r="D274" i="25"/>
  <c r="C274" i="25"/>
  <c r="B274" i="25"/>
  <c r="D273" i="25"/>
  <c r="C273" i="25"/>
  <c r="B273" i="25"/>
  <c r="D272" i="25"/>
  <c r="C272" i="25"/>
  <c r="B272" i="25"/>
  <c r="D271" i="25"/>
  <c r="C271" i="25"/>
  <c r="B271" i="25"/>
  <c r="D270" i="25"/>
  <c r="C270" i="25"/>
  <c r="B270" i="25"/>
  <c r="D269" i="25"/>
  <c r="C269" i="25"/>
  <c r="B269" i="25"/>
  <c r="D268" i="25"/>
  <c r="C268" i="25"/>
  <c r="B268" i="25"/>
  <c r="D267" i="25"/>
  <c r="C267" i="25"/>
  <c r="B267" i="25"/>
  <c r="D266" i="25"/>
  <c r="C266" i="25"/>
  <c r="B266" i="25"/>
  <c r="D265" i="25"/>
  <c r="C265" i="25"/>
  <c r="B265" i="25"/>
  <c r="D264" i="25"/>
  <c r="C264" i="25"/>
  <c r="B264" i="25"/>
  <c r="D263" i="25"/>
  <c r="C263" i="25"/>
  <c r="B263" i="25"/>
  <c r="D262" i="25"/>
  <c r="C262" i="25"/>
  <c r="B262" i="25"/>
  <c r="D261" i="25"/>
  <c r="C261" i="25"/>
  <c r="B261" i="25"/>
  <c r="D260" i="25"/>
  <c r="C260" i="25"/>
  <c r="B260" i="25"/>
  <c r="D259" i="25"/>
  <c r="C259" i="25"/>
  <c r="B259" i="25"/>
  <c r="D258" i="25"/>
  <c r="C258" i="25"/>
  <c r="B258" i="25"/>
  <c r="D257" i="25"/>
  <c r="C257" i="25"/>
  <c r="B257" i="25"/>
  <c r="D256" i="25"/>
  <c r="C256" i="25"/>
  <c r="B256" i="25"/>
  <c r="D255" i="25"/>
  <c r="C255" i="25"/>
  <c r="B255" i="25"/>
  <c r="D254" i="25"/>
  <c r="C254" i="25"/>
  <c r="B254" i="25"/>
  <c r="D253" i="25"/>
  <c r="C253" i="25"/>
  <c r="B253" i="25"/>
  <c r="D252" i="25"/>
  <c r="C252" i="25"/>
  <c r="B252" i="25"/>
  <c r="D251" i="25"/>
  <c r="C251" i="25"/>
  <c r="B251" i="25"/>
  <c r="D250" i="25"/>
  <c r="C250" i="25"/>
  <c r="B250" i="25"/>
  <c r="D249" i="25"/>
  <c r="C249" i="25"/>
  <c r="B249" i="25"/>
  <c r="D248" i="25"/>
  <c r="C248" i="25"/>
  <c r="B248" i="25"/>
  <c r="D247" i="25"/>
  <c r="C247" i="25"/>
  <c r="B247" i="25"/>
  <c r="D246" i="25"/>
  <c r="C246" i="25"/>
  <c r="B246" i="25"/>
  <c r="D245" i="25"/>
  <c r="C245" i="25"/>
  <c r="B245" i="25"/>
  <c r="D244" i="25"/>
  <c r="C244" i="25"/>
  <c r="B244" i="25"/>
  <c r="D243" i="25"/>
  <c r="C243" i="25"/>
  <c r="B243" i="25"/>
  <c r="D242" i="25"/>
  <c r="C242" i="25"/>
  <c r="B242" i="25"/>
  <c r="D241" i="25"/>
  <c r="C241" i="25"/>
  <c r="B241" i="25"/>
  <c r="D240" i="25"/>
  <c r="C240" i="25"/>
  <c r="B240" i="25"/>
  <c r="D239" i="25"/>
  <c r="C239" i="25"/>
  <c r="B239" i="25"/>
  <c r="D238" i="25"/>
  <c r="C238" i="25"/>
  <c r="B238" i="25"/>
  <c r="D237" i="25"/>
  <c r="C237" i="25"/>
  <c r="B237" i="25"/>
  <c r="D236" i="25"/>
  <c r="C236" i="25"/>
  <c r="B236" i="25"/>
  <c r="D235" i="25"/>
  <c r="C235" i="25"/>
  <c r="B235" i="25"/>
  <c r="D234" i="25"/>
  <c r="C234" i="25"/>
  <c r="B234" i="25"/>
  <c r="D233" i="25"/>
  <c r="C233" i="25"/>
  <c r="B233" i="25"/>
  <c r="D232" i="25"/>
  <c r="C232" i="25"/>
  <c r="B232" i="25"/>
  <c r="D231" i="25"/>
  <c r="C231" i="25"/>
  <c r="B231" i="25"/>
  <c r="D230" i="25"/>
  <c r="C230" i="25"/>
  <c r="B230" i="25"/>
  <c r="D229" i="25"/>
  <c r="C229" i="25"/>
  <c r="B229" i="25"/>
  <c r="D228" i="25"/>
  <c r="C228" i="25"/>
  <c r="B228" i="25"/>
  <c r="D227" i="25"/>
  <c r="C227" i="25"/>
  <c r="B227" i="25"/>
  <c r="D226" i="25"/>
  <c r="C226" i="25"/>
  <c r="B226" i="25"/>
  <c r="D225" i="25"/>
  <c r="C225" i="25"/>
  <c r="B225" i="25"/>
  <c r="D224" i="25"/>
  <c r="C224" i="25"/>
  <c r="B224" i="25"/>
  <c r="D223" i="25"/>
  <c r="C223" i="25"/>
  <c r="B223" i="25"/>
  <c r="D222" i="25"/>
  <c r="C222" i="25"/>
  <c r="B222" i="25"/>
  <c r="D221" i="25"/>
  <c r="C221" i="25"/>
  <c r="B221" i="25"/>
  <c r="D220" i="25"/>
  <c r="C220" i="25"/>
  <c r="B220" i="25"/>
  <c r="D219" i="25"/>
  <c r="C219" i="25"/>
  <c r="B219" i="25"/>
  <c r="D218" i="25"/>
  <c r="C218" i="25"/>
  <c r="B218" i="25"/>
  <c r="D217" i="25"/>
  <c r="C217" i="25"/>
  <c r="B217" i="25"/>
  <c r="D216" i="25"/>
  <c r="C216" i="25"/>
  <c r="B216" i="25"/>
  <c r="D215" i="25"/>
  <c r="C215" i="25"/>
  <c r="B215" i="25"/>
  <c r="D214" i="25"/>
  <c r="C214" i="25"/>
  <c r="B214" i="25"/>
  <c r="D213" i="25"/>
  <c r="C213" i="25"/>
  <c r="B213" i="25"/>
  <c r="D212" i="25"/>
  <c r="C212" i="25"/>
  <c r="B212" i="25"/>
  <c r="D211" i="25"/>
  <c r="C211" i="25"/>
  <c r="B211" i="25"/>
  <c r="D210" i="25"/>
  <c r="C210" i="25"/>
  <c r="B210" i="25"/>
  <c r="D209" i="25"/>
  <c r="C209" i="25"/>
  <c r="B209" i="25"/>
  <c r="D208" i="25"/>
  <c r="C208" i="25"/>
  <c r="B208" i="25"/>
  <c r="D207" i="25"/>
  <c r="C207" i="25"/>
  <c r="B207" i="25"/>
  <c r="D206" i="25"/>
  <c r="C206" i="25"/>
  <c r="B206" i="25"/>
  <c r="D205" i="25"/>
  <c r="C205" i="25"/>
  <c r="B205" i="25"/>
  <c r="D204" i="25"/>
  <c r="C204" i="25"/>
  <c r="B204" i="25"/>
  <c r="D203" i="25"/>
  <c r="C203" i="25"/>
  <c r="B203" i="25"/>
  <c r="D202" i="25"/>
  <c r="C202" i="25"/>
  <c r="B202" i="25"/>
  <c r="D201" i="25"/>
  <c r="C201" i="25"/>
  <c r="B201" i="25"/>
  <c r="D200" i="25"/>
  <c r="C200" i="25"/>
  <c r="B200" i="25"/>
  <c r="D199" i="25"/>
  <c r="C199" i="25"/>
  <c r="B199" i="25"/>
  <c r="D198" i="25"/>
  <c r="C198" i="25"/>
  <c r="B198" i="25"/>
  <c r="D197" i="25"/>
  <c r="C197" i="25"/>
  <c r="B197" i="25"/>
  <c r="D196" i="25"/>
  <c r="C196" i="25"/>
  <c r="B196" i="25"/>
  <c r="D195" i="25"/>
  <c r="C195" i="25"/>
  <c r="B195" i="25"/>
  <c r="D194" i="25"/>
  <c r="C194" i="25"/>
  <c r="B194" i="25"/>
  <c r="D193" i="25"/>
  <c r="C193" i="25"/>
  <c r="B193" i="25"/>
  <c r="D192" i="25"/>
  <c r="C192" i="25"/>
  <c r="B192" i="25"/>
  <c r="D191" i="25"/>
  <c r="C191" i="25"/>
  <c r="B191" i="25"/>
  <c r="D190" i="25"/>
  <c r="C190" i="25"/>
  <c r="B190" i="25"/>
  <c r="D189" i="25"/>
  <c r="C189" i="25"/>
  <c r="B189" i="25"/>
  <c r="D188" i="25"/>
  <c r="C188" i="25"/>
  <c r="B188" i="25"/>
  <c r="D187" i="25"/>
  <c r="C187" i="25"/>
  <c r="B187" i="25"/>
  <c r="D186" i="25"/>
  <c r="C186" i="25"/>
  <c r="B186" i="25"/>
  <c r="D185" i="25"/>
  <c r="C185" i="25"/>
  <c r="B185" i="25"/>
  <c r="D184" i="25"/>
  <c r="C184" i="25"/>
  <c r="B184" i="25"/>
  <c r="D183" i="25"/>
  <c r="C183" i="25"/>
  <c r="B183" i="25"/>
  <c r="D182" i="25"/>
  <c r="C182" i="25"/>
  <c r="B182" i="25"/>
  <c r="D181" i="25"/>
  <c r="C181" i="25"/>
  <c r="B181" i="25"/>
  <c r="D180" i="25"/>
  <c r="C180" i="25"/>
  <c r="B180" i="25"/>
  <c r="D179" i="25"/>
  <c r="C179" i="25"/>
  <c r="B179" i="25"/>
  <c r="D178" i="25"/>
  <c r="C178" i="25"/>
  <c r="B178" i="25"/>
  <c r="D177" i="25"/>
  <c r="C177" i="25"/>
  <c r="B177" i="25"/>
  <c r="D176" i="25"/>
  <c r="C176" i="25"/>
  <c r="B176" i="25"/>
  <c r="D175" i="25"/>
  <c r="C175" i="25"/>
  <c r="B175" i="25"/>
  <c r="D174" i="25"/>
  <c r="C174" i="25"/>
  <c r="B174" i="25"/>
  <c r="D173" i="25"/>
  <c r="C173" i="25"/>
  <c r="B173" i="25"/>
  <c r="D172" i="25"/>
  <c r="C172" i="25"/>
  <c r="B172" i="25"/>
  <c r="D171" i="25"/>
  <c r="C171" i="25"/>
  <c r="B171" i="25"/>
  <c r="D170" i="25"/>
  <c r="C170" i="25"/>
  <c r="B170" i="25"/>
  <c r="D169" i="25"/>
  <c r="C169" i="25"/>
  <c r="B169" i="25"/>
  <c r="D168" i="25"/>
  <c r="C168" i="25"/>
  <c r="B168" i="25"/>
  <c r="D167" i="25"/>
  <c r="C167" i="25"/>
  <c r="B167" i="25"/>
  <c r="D166" i="25"/>
  <c r="C166" i="25"/>
  <c r="B166" i="25"/>
  <c r="D165" i="25"/>
  <c r="C165" i="25"/>
  <c r="B165" i="25"/>
  <c r="D164" i="25"/>
  <c r="C164" i="25"/>
  <c r="B164" i="25"/>
  <c r="D163" i="25"/>
  <c r="C163" i="25"/>
  <c r="B163" i="25"/>
  <c r="D162" i="25"/>
  <c r="C162" i="25"/>
  <c r="B162" i="25"/>
  <c r="D161" i="25"/>
  <c r="C161" i="25"/>
  <c r="B161" i="25"/>
  <c r="D160" i="25"/>
  <c r="C160" i="25"/>
  <c r="B160" i="25"/>
  <c r="D159" i="25"/>
  <c r="C159" i="25"/>
  <c r="B159" i="25"/>
  <c r="D158" i="25"/>
  <c r="C158" i="25"/>
  <c r="B158" i="25"/>
  <c r="D157" i="25"/>
  <c r="C157" i="25"/>
  <c r="B157" i="25"/>
  <c r="D156" i="25"/>
  <c r="C156" i="25"/>
  <c r="B156" i="25"/>
  <c r="D155" i="25"/>
  <c r="C155" i="25"/>
  <c r="B155" i="25"/>
  <c r="D154" i="25"/>
  <c r="C154" i="25"/>
  <c r="B154" i="25"/>
  <c r="D153" i="25"/>
  <c r="C153" i="25"/>
  <c r="B153" i="25"/>
  <c r="D152" i="25"/>
  <c r="C152" i="25"/>
  <c r="B152" i="25"/>
  <c r="D151" i="25"/>
  <c r="C151" i="25"/>
  <c r="B151" i="25"/>
  <c r="D150" i="25"/>
  <c r="C150" i="25"/>
  <c r="B150" i="25"/>
  <c r="D149" i="25"/>
  <c r="C149" i="25"/>
  <c r="B149" i="25"/>
  <c r="D148" i="25"/>
  <c r="C148" i="25"/>
  <c r="B148" i="25"/>
  <c r="D147" i="25"/>
  <c r="C147" i="25"/>
  <c r="B147" i="25"/>
  <c r="D146" i="25"/>
  <c r="C146" i="25"/>
  <c r="B146" i="25"/>
  <c r="D145" i="25"/>
  <c r="C145" i="25"/>
  <c r="B145" i="25"/>
  <c r="D144" i="25"/>
  <c r="C144" i="25"/>
  <c r="B144" i="25"/>
  <c r="D143" i="25"/>
  <c r="C143" i="25"/>
  <c r="B143" i="25"/>
  <c r="D142" i="25"/>
  <c r="C142" i="25"/>
  <c r="B142" i="25"/>
  <c r="D141" i="25"/>
  <c r="C141" i="25"/>
  <c r="B141" i="25"/>
  <c r="D140" i="25"/>
  <c r="C140" i="25"/>
  <c r="B140" i="25"/>
  <c r="D139" i="25"/>
  <c r="C139" i="25"/>
  <c r="B139" i="25"/>
  <c r="D138" i="25"/>
  <c r="C138" i="25"/>
  <c r="B138" i="25"/>
  <c r="D137" i="25"/>
  <c r="C137" i="25"/>
  <c r="B137" i="25"/>
  <c r="D136" i="25"/>
  <c r="C136" i="25"/>
  <c r="B136" i="25"/>
  <c r="D135" i="25"/>
  <c r="C135" i="25"/>
  <c r="B135" i="25"/>
  <c r="D134" i="25"/>
  <c r="C134" i="25"/>
  <c r="B134" i="25"/>
  <c r="D133" i="25"/>
  <c r="C133" i="25"/>
  <c r="B133" i="25"/>
  <c r="D132" i="25"/>
  <c r="C132" i="25"/>
  <c r="B132" i="25"/>
  <c r="D131" i="25"/>
  <c r="C131" i="25"/>
  <c r="B131" i="25"/>
  <c r="D130" i="25"/>
  <c r="C130" i="25"/>
  <c r="B130" i="25"/>
  <c r="D129" i="25"/>
  <c r="C129" i="25"/>
  <c r="B129" i="25"/>
  <c r="D128" i="25"/>
  <c r="C128" i="25"/>
  <c r="B128" i="25"/>
  <c r="D127" i="25"/>
  <c r="C127" i="25"/>
  <c r="B127" i="25"/>
  <c r="D126" i="25"/>
  <c r="C126" i="25"/>
  <c r="B126" i="25"/>
  <c r="D125" i="25"/>
  <c r="C125" i="25"/>
  <c r="B125" i="25"/>
  <c r="D124" i="25"/>
  <c r="C124" i="25"/>
  <c r="B124" i="25"/>
  <c r="D123" i="25"/>
  <c r="C123" i="25"/>
  <c r="B123" i="25"/>
  <c r="D122" i="25"/>
  <c r="C122" i="25"/>
  <c r="B122" i="25"/>
  <c r="D121" i="25"/>
  <c r="C121" i="25"/>
  <c r="B121" i="25"/>
  <c r="D120" i="25"/>
  <c r="C120" i="25"/>
  <c r="B120" i="25"/>
  <c r="D119" i="25"/>
  <c r="C119" i="25"/>
  <c r="B119" i="25"/>
  <c r="D118" i="25"/>
  <c r="C118" i="25"/>
  <c r="B118" i="25"/>
  <c r="D117" i="25"/>
  <c r="C117" i="25"/>
  <c r="B117" i="25"/>
  <c r="D116" i="25"/>
  <c r="C116" i="25"/>
  <c r="B116" i="25"/>
  <c r="D115" i="25"/>
  <c r="C115" i="25"/>
  <c r="B115" i="25"/>
  <c r="D114" i="25"/>
  <c r="C114" i="25"/>
  <c r="B114" i="25"/>
  <c r="D113" i="25"/>
  <c r="C113" i="25"/>
  <c r="B113" i="25"/>
  <c r="D112" i="25"/>
  <c r="C112" i="25"/>
  <c r="B112" i="25"/>
  <c r="D111" i="25"/>
  <c r="C111" i="25"/>
  <c r="B111" i="25"/>
  <c r="D110" i="25"/>
  <c r="C110" i="25"/>
  <c r="B110" i="25"/>
  <c r="D109" i="25"/>
  <c r="C109" i="25"/>
  <c r="B109" i="25"/>
  <c r="D108" i="25"/>
  <c r="C108" i="25"/>
  <c r="B108" i="25"/>
  <c r="D107" i="25"/>
  <c r="C107" i="25"/>
  <c r="B107" i="25"/>
  <c r="D106" i="25"/>
  <c r="C106" i="25"/>
  <c r="B106" i="25"/>
  <c r="D105" i="25"/>
  <c r="C105" i="25"/>
  <c r="B105" i="25"/>
  <c r="D104" i="25"/>
  <c r="C104" i="25"/>
  <c r="B104" i="25"/>
  <c r="D103" i="25"/>
  <c r="C103" i="25"/>
  <c r="B103" i="25"/>
  <c r="D102" i="25"/>
  <c r="C102" i="25"/>
  <c r="B102" i="25"/>
  <c r="D101" i="25"/>
  <c r="C101" i="25"/>
  <c r="B101" i="25"/>
  <c r="D100" i="25"/>
  <c r="C100" i="25"/>
  <c r="B100" i="25"/>
  <c r="D99" i="25"/>
  <c r="C99" i="25"/>
  <c r="B99" i="25"/>
  <c r="D98" i="25"/>
  <c r="C98" i="25"/>
  <c r="B98" i="25"/>
  <c r="D97" i="25"/>
  <c r="C97" i="25"/>
  <c r="B97" i="25"/>
  <c r="D96" i="25"/>
  <c r="C96" i="25"/>
  <c r="B96" i="25"/>
  <c r="D95" i="25"/>
  <c r="C95" i="25"/>
  <c r="B95" i="25"/>
  <c r="D94" i="25"/>
  <c r="C94" i="25"/>
  <c r="B94" i="25"/>
  <c r="D93" i="25"/>
  <c r="C93" i="25"/>
  <c r="B93" i="25"/>
  <c r="D92" i="25"/>
  <c r="C92" i="25"/>
  <c r="B92" i="25"/>
  <c r="D91" i="25"/>
  <c r="C91" i="25"/>
  <c r="B91" i="25"/>
  <c r="D90" i="25"/>
  <c r="C90" i="25"/>
  <c r="B90" i="25"/>
  <c r="D89" i="25"/>
  <c r="C89" i="25"/>
  <c r="B89" i="25"/>
  <c r="D88" i="25"/>
  <c r="C88" i="25"/>
  <c r="B88" i="25"/>
  <c r="D87" i="25"/>
  <c r="C87" i="25"/>
  <c r="B87" i="25"/>
  <c r="D86" i="25"/>
  <c r="C86" i="25"/>
  <c r="B86" i="25"/>
  <c r="D85" i="25"/>
  <c r="C85" i="25"/>
  <c r="B85" i="25"/>
  <c r="D84" i="25"/>
  <c r="C84" i="25"/>
  <c r="B84" i="25"/>
  <c r="D83" i="25"/>
  <c r="C83" i="25"/>
  <c r="B83" i="25"/>
  <c r="D82" i="25"/>
  <c r="C82" i="25"/>
  <c r="B82" i="25"/>
  <c r="D81" i="25"/>
  <c r="C81" i="25"/>
  <c r="B81" i="25"/>
  <c r="D80" i="25"/>
  <c r="C80" i="25"/>
  <c r="B80" i="25"/>
  <c r="D79" i="25"/>
  <c r="C79" i="25"/>
  <c r="B79" i="25"/>
  <c r="D78" i="25"/>
  <c r="C78" i="25"/>
  <c r="B78" i="25"/>
  <c r="D77" i="25"/>
  <c r="C77" i="25"/>
  <c r="B77" i="25"/>
  <c r="D76" i="25"/>
  <c r="C76" i="25"/>
  <c r="B76" i="25"/>
  <c r="D75" i="25"/>
  <c r="C75" i="25"/>
  <c r="B75" i="25"/>
  <c r="D74" i="25"/>
  <c r="C74" i="25"/>
  <c r="B74" i="25"/>
  <c r="D73" i="25"/>
  <c r="C73" i="25"/>
  <c r="B73" i="25"/>
  <c r="D72" i="25"/>
  <c r="C72" i="25"/>
  <c r="B72" i="25"/>
  <c r="D71" i="25"/>
  <c r="C71" i="25"/>
  <c r="B71" i="25"/>
  <c r="D70" i="25"/>
  <c r="C70" i="25"/>
  <c r="B70" i="25"/>
  <c r="D69" i="25"/>
  <c r="C69" i="25"/>
  <c r="B69" i="25"/>
  <c r="D68" i="25"/>
  <c r="C68" i="25"/>
  <c r="B68" i="25"/>
  <c r="D67" i="25"/>
  <c r="C67" i="25"/>
  <c r="B67" i="25"/>
  <c r="D66" i="25"/>
  <c r="C66" i="25"/>
  <c r="B66" i="25"/>
  <c r="D65" i="25"/>
  <c r="C65" i="25"/>
  <c r="B65" i="25"/>
  <c r="D64" i="25"/>
  <c r="C64" i="25"/>
  <c r="B64" i="25"/>
  <c r="D63" i="25"/>
  <c r="C63" i="25"/>
  <c r="B63" i="25"/>
  <c r="D62" i="25"/>
  <c r="C62" i="25"/>
  <c r="B62" i="25"/>
  <c r="D61" i="25"/>
  <c r="C61" i="25"/>
  <c r="B61" i="25"/>
  <c r="D60" i="25"/>
  <c r="C60" i="25"/>
  <c r="B60" i="25"/>
  <c r="D59" i="25"/>
  <c r="C59" i="25"/>
  <c r="B59" i="25"/>
  <c r="D58" i="25"/>
  <c r="C58" i="25"/>
  <c r="B58" i="25"/>
  <c r="D57" i="25"/>
  <c r="C57" i="25"/>
  <c r="B57" i="25"/>
  <c r="D56" i="25"/>
  <c r="C56" i="25"/>
  <c r="B56" i="25"/>
  <c r="D55" i="25"/>
  <c r="C55" i="25"/>
  <c r="B55" i="25"/>
  <c r="D54" i="25"/>
  <c r="C54" i="25"/>
  <c r="B54" i="25"/>
  <c r="D53" i="25"/>
  <c r="C53" i="25"/>
  <c r="B53" i="25"/>
  <c r="D52" i="25"/>
  <c r="C52" i="25"/>
  <c r="B52" i="25"/>
  <c r="D51" i="25"/>
  <c r="C51" i="25"/>
  <c r="B51" i="25"/>
  <c r="D50" i="25"/>
  <c r="C50" i="25"/>
  <c r="B50" i="25"/>
  <c r="D49" i="25"/>
  <c r="C49" i="25"/>
  <c r="B49" i="25"/>
  <c r="D48" i="25"/>
  <c r="C48" i="25"/>
  <c r="B48" i="25"/>
  <c r="D47" i="25"/>
  <c r="C47" i="25"/>
  <c r="B47" i="25"/>
  <c r="D46" i="25"/>
  <c r="C46" i="25"/>
  <c r="B46" i="25"/>
  <c r="D45" i="25"/>
  <c r="C45" i="25"/>
  <c r="B45" i="25"/>
  <c r="D44" i="25"/>
  <c r="C44" i="25"/>
  <c r="B44" i="25"/>
  <c r="D43" i="25"/>
  <c r="C43" i="25"/>
  <c r="B43" i="25"/>
  <c r="D42" i="25"/>
  <c r="C42" i="25"/>
  <c r="B42" i="25"/>
  <c r="D41" i="25"/>
  <c r="C41" i="25"/>
  <c r="B41" i="25"/>
  <c r="D40" i="25"/>
  <c r="C40" i="25"/>
  <c r="B40" i="25"/>
  <c r="D39" i="25"/>
  <c r="C39" i="25"/>
  <c r="B39" i="25"/>
  <c r="D38" i="25"/>
  <c r="C38" i="25"/>
  <c r="B38" i="25"/>
  <c r="D37" i="25"/>
  <c r="C37" i="25"/>
  <c r="B37" i="25"/>
  <c r="D36" i="25"/>
  <c r="C36" i="25"/>
  <c r="B36" i="25"/>
  <c r="D35" i="25"/>
  <c r="C35" i="25"/>
  <c r="B35" i="25"/>
  <c r="D34" i="25"/>
  <c r="C34" i="25"/>
  <c r="B34" i="25"/>
  <c r="D33" i="25"/>
  <c r="C33" i="25"/>
  <c r="B33" i="25"/>
  <c r="D32" i="25"/>
  <c r="C32" i="25"/>
  <c r="B32" i="25"/>
  <c r="D31" i="25"/>
  <c r="C31" i="25"/>
  <c r="B31" i="25"/>
  <c r="D30" i="25"/>
  <c r="C30" i="25"/>
  <c r="B30" i="25"/>
  <c r="D29" i="25"/>
  <c r="C29" i="25"/>
  <c r="B29" i="25"/>
  <c r="D28" i="25"/>
  <c r="C28" i="25"/>
  <c r="B28" i="25"/>
  <c r="D27" i="25"/>
  <c r="C27" i="25"/>
  <c r="B27" i="25"/>
  <c r="D26" i="25"/>
  <c r="C26" i="25"/>
  <c r="B26" i="25"/>
  <c r="D25" i="25"/>
  <c r="C25" i="25"/>
  <c r="B25" i="25"/>
  <c r="D24" i="25"/>
  <c r="C24" i="25"/>
  <c r="B24" i="25"/>
  <c r="D23" i="25"/>
  <c r="C23" i="25"/>
  <c r="B23" i="25"/>
  <c r="D22" i="25"/>
  <c r="C22" i="25"/>
  <c r="B22" i="25"/>
  <c r="D21" i="25"/>
  <c r="C21" i="25"/>
  <c r="B21" i="25"/>
  <c r="D20" i="25"/>
  <c r="C20" i="25"/>
  <c r="B20" i="25"/>
  <c r="D19" i="25"/>
  <c r="C19" i="25"/>
  <c r="B19" i="25"/>
  <c r="D18" i="25"/>
  <c r="C18" i="25"/>
  <c r="B18" i="25"/>
  <c r="D17" i="25"/>
  <c r="C17" i="25"/>
  <c r="B17" i="25"/>
  <c r="D16" i="25"/>
  <c r="C16" i="25"/>
  <c r="B16" i="25"/>
  <c r="D15" i="25"/>
  <c r="C15" i="25"/>
  <c r="B15" i="25"/>
  <c r="D14" i="25"/>
  <c r="C14" i="25"/>
  <c r="B14" i="25"/>
  <c r="D13" i="25"/>
  <c r="C13" i="25"/>
  <c r="B13" i="25"/>
  <c r="D12" i="25"/>
  <c r="C12" i="25"/>
  <c r="B12" i="25"/>
  <c r="D11" i="25"/>
  <c r="C11" i="25"/>
  <c r="B11" i="25"/>
  <c r="D10" i="25"/>
  <c r="C10" i="25"/>
  <c r="B10" i="25"/>
  <c r="D9" i="25"/>
  <c r="C9" i="25"/>
  <c r="B9" i="25"/>
  <c r="D8" i="25"/>
  <c r="C8" i="25"/>
  <c r="B8" i="25"/>
  <c r="D7" i="25"/>
  <c r="C7" i="25"/>
  <c r="B7" i="25"/>
  <c r="D6" i="25"/>
  <c r="C6" i="25"/>
  <c r="B6" i="25"/>
  <c r="D5" i="25"/>
  <c r="C5" i="25"/>
  <c r="B5" i="25"/>
  <c r="D4" i="25"/>
  <c r="C4" i="25"/>
  <c r="B4" i="25"/>
  <c r="D3" i="25"/>
  <c r="C3" i="25"/>
  <c r="B3" i="25"/>
  <c r="D2" i="25"/>
  <c r="C2" i="25"/>
  <c r="B2" i="25"/>
  <c r="D212" i="24"/>
  <c r="D213" i="24"/>
  <c r="D214" i="24"/>
  <c r="D215" i="24"/>
  <c r="D216" i="24"/>
  <c r="D217" i="24"/>
  <c r="D218" i="24"/>
  <c r="D219" i="24"/>
  <c r="D220" i="24"/>
  <c r="D221" i="24"/>
  <c r="D222" i="24"/>
  <c r="D223" i="24"/>
  <c r="D224" i="24"/>
  <c r="D225" i="24"/>
  <c r="D226" i="24"/>
  <c r="D227" i="24"/>
  <c r="D228" i="24"/>
  <c r="D229" i="24"/>
  <c r="D230" i="24"/>
  <c r="D231" i="24"/>
  <c r="D232" i="24"/>
  <c r="D233" i="24"/>
  <c r="D234" i="24"/>
  <c r="D235" i="24"/>
  <c r="D236" i="24"/>
  <c r="D237" i="24"/>
  <c r="D238" i="24"/>
  <c r="D239" i="24"/>
  <c r="D240" i="24"/>
  <c r="D241" i="24"/>
  <c r="D242" i="24"/>
  <c r="D243" i="24"/>
  <c r="D244" i="24"/>
  <c r="D245" i="24"/>
  <c r="D246" i="24"/>
  <c r="D247" i="24"/>
  <c r="D248" i="24"/>
  <c r="D249" i="24"/>
  <c r="D250" i="24"/>
  <c r="D251" i="24"/>
  <c r="D252" i="24"/>
  <c r="D253" i="24"/>
  <c r="D254" i="24"/>
  <c r="D255" i="24"/>
  <c r="D256" i="24"/>
  <c r="D257" i="24"/>
  <c r="D258" i="24"/>
  <c r="D259" i="24"/>
  <c r="D260" i="24"/>
  <c r="D261" i="24"/>
  <c r="D262" i="24"/>
  <c r="D263" i="24"/>
  <c r="D264" i="24"/>
  <c r="D265" i="24"/>
  <c r="D266" i="24"/>
  <c r="D267" i="24"/>
  <c r="D268" i="24"/>
  <c r="D269" i="24"/>
  <c r="D270" i="24"/>
  <c r="D271" i="24"/>
  <c r="D272" i="24"/>
  <c r="D273" i="24"/>
  <c r="D274" i="24"/>
  <c r="D275" i="24"/>
  <c r="D276" i="24"/>
  <c r="D277" i="24"/>
  <c r="D278" i="24"/>
  <c r="D279" i="24"/>
  <c r="D280" i="24"/>
  <c r="D281" i="24"/>
  <c r="D282" i="24"/>
  <c r="D283" i="24"/>
  <c r="D284" i="24"/>
  <c r="D285" i="24"/>
  <c r="D286" i="24"/>
  <c r="D287" i="24"/>
  <c r="D288" i="24"/>
  <c r="D289" i="24"/>
  <c r="D290" i="24"/>
  <c r="D291" i="24"/>
  <c r="D292" i="24"/>
  <c r="D293" i="24"/>
  <c r="D294" i="24"/>
  <c r="D295" i="24"/>
  <c r="D296" i="24"/>
  <c r="D297" i="24"/>
  <c r="D298" i="24"/>
  <c r="D299" i="24"/>
  <c r="D300" i="24"/>
  <c r="D301" i="24"/>
  <c r="D302" i="24"/>
  <c r="D303" i="24"/>
  <c r="D304" i="24"/>
  <c r="D305" i="24"/>
  <c r="D306" i="24"/>
  <c r="D307" i="24"/>
  <c r="D308" i="24"/>
  <c r="D309" i="24"/>
  <c r="D310" i="24"/>
  <c r="D311" i="24"/>
  <c r="D312" i="24"/>
  <c r="D313" i="24"/>
  <c r="D314" i="24"/>
  <c r="D315" i="24"/>
  <c r="D316" i="24"/>
  <c r="D317" i="24"/>
  <c r="D318" i="24"/>
  <c r="D319" i="24"/>
  <c r="D320" i="24"/>
  <c r="D321" i="24"/>
  <c r="D322" i="24"/>
  <c r="D323" i="24"/>
  <c r="D324" i="24"/>
  <c r="D325" i="24"/>
  <c r="D326" i="24"/>
  <c r="D327" i="24"/>
  <c r="D328" i="24"/>
  <c r="D329" i="24"/>
  <c r="D330" i="24"/>
  <c r="D331" i="24"/>
  <c r="D332" i="24"/>
  <c r="D333" i="24"/>
  <c r="D334" i="24"/>
  <c r="D335" i="24"/>
  <c r="D336" i="24"/>
  <c r="D337" i="24"/>
  <c r="D338" i="24"/>
  <c r="D339" i="24"/>
  <c r="D340" i="24"/>
  <c r="D341" i="24"/>
  <c r="D342" i="24"/>
  <c r="D343" i="24"/>
  <c r="D344" i="24"/>
  <c r="D345" i="24"/>
  <c r="D346" i="24"/>
  <c r="D347" i="24"/>
  <c r="D348" i="24"/>
  <c r="D349" i="24"/>
  <c r="D350" i="24"/>
  <c r="D351" i="24"/>
  <c r="D352" i="24"/>
  <c r="D353" i="24"/>
  <c r="D354" i="24"/>
  <c r="D355" i="24"/>
  <c r="D356" i="24"/>
  <c r="D357" i="24"/>
  <c r="D358" i="24"/>
  <c r="D359" i="24"/>
  <c r="D360" i="24"/>
  <c r="D361" i="24"/>
  <c r="D362" i="24"/>
  <c r="D363" i="24"/>
  <c r="D364" i="24"/>
  <c r="D365" i="24"/>
  <c r="D366" i="24"/>
  <c r="D367" i="24"/>
  <c r="D368" i="24"/>
  <c r="D369" i="24"/>
  <c r="D370" i="24"/>
  <c r="D371" i="24"/>
  <c r="D372" i="24"/>
  <c r="D373" i="24"/>
  <c r="D374" i="24"/>
  <c r="D375" i="24"/>
  <c r="D376" i="24"/>
  <c r="D377" i="24"/>
  <c r="D378" i="24"/>
  <c r="D379" i="24"/>
  <c r="D380" i="24"/>
  <c r="D381" i="24"/>
  <c r="D382" i="24"/>
  <c r="D383" i="24"/>
  <c r="D384" i="24"/>
  <c r="D385" i="24"/>
  <c r="D386" i="24"/>
  <c r="D387" i="24"/>
  <c r="D388" i="24"/>
  <c r="D389" i="24"/>
  <c r="D390" i="24"/>
  <c r="D391" i="24"/>
  <c r="D392" i="24"/>
  <c r="D393" i="24"/>
  <c r="D394" i="24"/>
  <c r="D395" i="24"/>
  <c r="D396" i="24"/>
  <c r="D397" i="24"/>
  <c r="D398" i="24"/>
  <c r="D399" i="24"/>
  <c r="D400" i="24"/>
  <c r="D401" i="24"/>
  <c r="D402" i="24"/>
  <c r="D403" i="24"/>
  <c r="D404" i="24"/>
  <c r="D405" i="24"/>
  <c r="D406" i="24"/>
  <c r="D407" i="24"/>
  <c r="D408" i="24"/>
  <c r="D409" i="24"/>
  <c r="D410" i="24"/>
  <c r="D3" i="24"/>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D87" i="24"/>
  <c r="D88" i="24"/>
  <c r="D89" i="24"/>
  <c r="D90" i="24"/>
  <c r="D91" i="24"/>
  <c r="D92" i="24"/>
  <c r="D93" i="24"/>
  <c r="D94" i="24"/>
  <c r="D95" i="24"/>
  <c r="D96" i="24"/>
  <c r="D97" i="24"/>
  <c r="D98" i="24"/>
  <c r="D99" i="24"/>
  <c r="D100" i="24"/>
  <c r="D101" i="24"/>
  <c r="D102" i="24"/>
  <c r="D103" i="24"/>
  <c r="D104" i="24"/>
  <c r="D105" i="24"/>
  <c r="D106" i="24"/>
  <c r="D107" i="24"/>
  <c r="D108" i="24"/>
  <c r="D109" i="24"/>
  <c r="D110" i="24"/>
  <c r="D111" i="24"/>
  <c r="D112" i="24"/>
  <c r="D113" i="24"/>
  <c r="D114" i="24"/>
  <c r="D115" i="24"/>
  <c r="D116" i="24"/>
  <c r="D117" i="24"/>
  <c r="D118" i="24"/>
  <c r="D119" i="24"/>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2" i="24"/>
  <c r="B212" i="24"/>
  <c r="B213" i="24"/>
  <c r="B214" i="24"/>
  <c r="B215" i="24"/>
  <c r="B216" i="24"/>
  <c r="B217" i="24"/>
  <c r="B218" i="24"/>
  <c r="B219" i="24"/>
  <c r="B220" i="24"/>
  <c r="B221" i="24"/>
  <c r="B222" i="24"/>
  <c r="B223" i="24"/>
  <c r="B224" i="24"/>
  <c r="B225" i="24"/>
  <c r="B226" i="24"/>
  <c r="B227" i="24"/>
  <c r="B228" i="24"/>
  <c r="B229" i="24"/>
  <c r="B230" i="24"/>
  <c r="B231" i="24"/>
  <c r="B232" i="24"/>
  <c r="B233" i="24"/>
  <c r="B234" i="24"/>
  <c r="B235" i="24"/>
  <c r="B236" i="24"/>
  <c r="B237" i="24"/>
  <c r="B238" i="24"/>
  <c r="B239" i="24"/>
  <c r="B240" i="24"/>
  <c r="B241" i="24"/>
  <c r="B242" i="24"/>
  <c r="B243" i="24"/>
  <c r="B244" i="24"/>
  <c r="B245" i="24"/>
  <c r="B246" i="24"/>
  <c r="B247" i="24"/>
  <c r="B248" i="24"/>
  <c r="B249" i="24"/>
  <c r="B250" i="24"/>
  <c r="B251" i="24"/>
  <c r="B252" i="24"/>
  <c r="B253" i="24"/>
  <c r="B254" i="24"/>
  <c r="B255" i="24"/>
  <c r="B256" i="24"/>
  <c r="B257" i="24"/>
  <c r="B258" i="24"/>
  <c r="B259" i="24"/>
  <c r="B260" i="24"/>
  <c r="B261" i="24"/>
  <c r="B262" i="24"/>
  <c r="B263" i="24"/>
  <c r="B264" i="24"/>
  <c r="B265" i="24"/>
  <c r="B266" i="24"/>
  <c r="B267" i="24"/>
  <c r="B268" i="24"/>
  <c r="B269" i="24"/>
  <c r="B270" i="24"/>
  <c r="B271" i="24"/>
  <c r="B272" i="24"/>
  <c r="B273" i="24"/>
  <c r="B274" i="24"/>
  <c r="B275" i="24"/>
  <c r="B276" i="24"/>
  <c r="B277" i="24"/>
  <c r="B278" i="24"/>
  <c r="B279" i="24"/>
  <c r="B280" i="24"/>
  <c r="B281" i="24"/>
  <c r="B282" i="24"/>
  <c r="B283" i="24"/>
  <c r="B284" i="24"/>
  <c r="B285" i="24"/>
  <c r="B286" i="24"/>
  <c r="B287" i="24"/>
  <c r="B288" i="24"/>
  <c r="B289" i="24"/>
  <c r="B290" i="24"/>
  <c r="B291" i="24"/>
  <c r="B292" i="24"/>
  <c r="B293" i="24"/>
  <c r="B294" i="24"/>
  <c r="B295" i="24"/>
  <c r="B296" i="24"/>
  <c r="B297" i="24"/>
  <c r="B298" i="24"/>
  <c r="B299" i="24"/>
  <c r="B300" i="24"/>
  <c r="B301" i="24"/>
  <c r="B302" i="24"/>
  <c r="B303" i="24"/>
  <c r="B304" i="24"/>
  <c r="B305" i="24"/>
  <c r="B306" i="24"/>
  <c r="B307" i="24"/>
  <c r="B308" i="24"/>
  <c r="B309" i="24"/>
  <c r="B310" i="24"/>
  <c r="B311" i="24"/>
  <c r="B312" i="24"/>
  <c r="B313" i="24"/>
  <c r="B314" i="24"/>
  <c r="B315" i="24"/>
  <c r="B316" i="24"/>
  <c r="B317" i="24"/>
  <c r="B318" i="24"/>
  <c r="B319" i="24"/>
  <c r="B320" i="24"/>
  <c r="B321" i="24"/>
  <c r="B322" i="24"/>
  <c r="B323" i="24"/>
  <c r="B324" i="24"/>
  <c r="B325" i="24"/>
  <c r="B326" i="24"/>
  <c r="B327" i="24"/>
  <c r="B328" i="24"/>
  <c r="B329" i="24"/>
  <c r="B330" i="24"/>
  <c r="B331" i="24"/>
  <c r="B332" i="24"/>
  <c r="B333" i="24"/>
  <c r="B334" i="24"/>
  <c r="B335" i="24"/>
  <c r="B336" i="24"/>
  <c r="B337" i="24"/>
  <c r="B338" i="24"/>
  <c r="B339" i="24"/>
  <c r="B340" i="24"/>
  <c r="B341" i="24"/>
  <c r="B342" i="24"/>
  <c r="B343" i="24"/>
  <c r="B344" i="24"/>
  <c r="B345" i="24"/>
  <c r="B346" i="24"/>
  <c r="B347" i="24"/>
  <c r="B348" i="24"/>
  <c r="B349" i="24"/>
  <c r="B350" i="24"/>
  <c r="B351" i="24"/>
  <c r="B352" i="24"/>
  <c r="B353" i="24"/>
  <c r="B354" i="24"/>
  <c r="B355" i="24"/>
  <c r="B356" i="24"/>
  <c r="B357" i="24"/>
  <c r="B358" i="24"/>
  <c r="B359" i="24"/>
  <c r="B360" i="24"/>
  <c r="B361" i="24"/>
  <c r="B362" i="24"/>
  <c r="B363" i="24"/>
  <c r="B364" i="24"/>
  <c r="B365" i="24"/>
  <c r="B366" i="24"/>
  <c r="B367" i="24"/>
  <c r="B368" i="24"/>
  <c r="B369" i="24"/>
  <c r="B370" i="24"/>
  <c r="B371" i="24"/>
  <c r="B372" i="24"/>
  <c r="B373" i="24"/>
  <c r="B374" i="24"/>
  <c r="B375" i="24"/>
  <c r="B376" i="24"/>
  <c r="B377" i="24"/>
  <c r="B378" i="24"/>
  <c r="B379" i="24"/>
  <c r="B380" i="24"/>
  <c r="B381" i="24"/>
  <c r="B382" i="24"/>
  <c r="B383" i="24"/>
  <c r="B384" i="24"/>
  <c r="B385" i="24"/>
  <c r="B386" i="24"/>
  <c r="B387" i="24"/>
  <c r="B388" i="24"/>
  <c r="B389" i="24"/>
  <c r="B390" i="24"/>
  <c r="B391" i="24"/>
  <c r="B392" i="24"/>
  <c r="B393" i="24"/>
  <c r="B394" i="24"/>
  <c r="B395" i="24"/>
  <c r="B396" i="24"/>
  <c r="B397" i="24"/>
  <c r="B398" i="24"/>
  <c r="B399" i="24"/>
  <c r="B400" i="24"/>
  <c r="B401" i="24"/>
  <c r="B402" i="24"/>
  <c r="B403" i="24"/>
  <c r="B404" i="24"/>
  <c r="B405" i="24"/>
  <c r="B406" i="24"/>
  <c r="B407" i="24"/>
  <c r="B408" i="24"/>
  <c r="B409" i="24"/>
  <c r="B410" i="24"/>
  <c r="C212" i="24"/>
  <c r="C213" i="24"/>
  <c r="C214" i="24"/>
  <c r="C215" i="24"/>
  <c r="C216" i="24"/>
  <c r="C217" i="24"/>
  <c r="C218" i="24"/>
  <c r="C219" i="24"/>
  <c r="C220" i="24"/>
  <c r="C221" i="24"/>
  <c r="C222" i="24"/>
  <c r="C223" i="24"/>
  <c r="C224" i="24"/>
  <c r="C225" i="24"/>
  <c r="C226" i="24"/>
  <c r="C227" i="24"/>
  <c r="C228" i="24"/>
  <c r="C229" i="24"/>
  <c r="C230" i="24"/>
  <c r="C231" i="24"/>
  <c r="C232" i="24"/>
  <c r="C233" i="24"/>
  <c r="C234" i="24"/>
  <c r="C235" i="24"/>
  <c r="C236" i="24"/>
  <c r="C237" i="24"/>
  <c r="C238" i="24"/>
  <c r="C239" i="24"/>
  <c r="C240" i="24"/>
  <c r="C241" i="24"/>
  <c r="C242" i="24"/>
  <c r="C243" i="24"/>
  <c r="C244" i="24"/>
  <c r="C245" i="24"/>
  <c r="C246" i="24"/>
  <c r="C247" i="24"/>
  <c r="C248" i="24"/>
  <c r="C249" i="24"/>
  <c r="C250" i="24"/>
  <c r="C251" i="24"/>
  <c r="C252" i="24"/>
  <c r="C253" i="24"/>
  <c r="C254" i="24"/>
  <c r="C255" i="24"/>
  <c r="C256" i="24"/>
  <c r="C257" i="24"/>
  <c r="C258" i="24"/>
  <c r="C259" i="24"/>
  <c r="C260" i="24"/>
  <c r="C261" i="24"/>
  <c r="C262" i="24"/>
  <c r="C263" i="24"/>
  <c r="C264" i="24"/>
  <c r="C265" i="24"/>
  <c r="C266" i="24"/>
  <c r="C267" i="24"/>
  <c r="C268" i="24"/>
  <c r="C269" i="24"/>
  <c r="C270" i="24"/>
  <c r="C271" i="24"/>
  <c r="C272" i="24"/>
  <c r="C273" i="24"/>
  <c r="C274" i="24"/>
  <c r="C275" i="24"/>
  <c r="C276" i="24"/>
  <c r="C277" i="24"/>
  <c r="C278" i="24"/>
  <c r="C279" i="24"/>
  <c r="C280" i="24"/>
  <c r="C281" i="24"/>
  <c r="C282" i="24"/>
  <c r="C283" i="24"/>
  <c r="C284" i="24"/>
  <c r="C285" i="24"/>
  <c r="C286" i="24"/>
  <c r="C287" i="24"/>
  <c r="C288" i="24"/>
  <c r="C289" i="24"/>
  <c r="C290" i="24"/>
  <c r="C291" i="24"/>
  <c r="C292" i="24"/>
  <c r="C293" i="24"/>
  <c r="C294" i="24"/>
  <c r="C295" i="24"/>
  <c r="C296" i="24"/>
  <c r="C297" i="24"/>
  <c r="C298" i="24"/>
  <c r="C299" i="24"/>
  <c r="C300" i="24"/>
  <c r="C301" i="24"/>
  <c r="C302" i="24"/>
  <c r="C303" i="24"/>
  <c r="C304" i="24"/>
  <c r="C305" i="24"/>
  <c r="C306" i="24"/>
  <c r="C307" i="24"/>
  <c r="C308" i="24"/>
  <c r="C309" i="24"/>
  <c r="C310" i="24"/>
  <c r="C311" i="24"/>
  <c r="C312" i="24"/>
  <c r="C313" i="24"/>
  <c r="C314" i="24"/>
  <c r="C315" i="24"/>
  <c r="C316" i="24"/>
  <c r="C317" i="24"/>
  <c r="C318" i="24"/>
  <c r="C319" i="24"/>
  <c r="C320" i="24"/>
  <c r="C321" i="24"/>
  <c r="C322" i="24"/>
  <c r="C323" i="24"/>
  <c r="C324" i="24"/>
  <c r="C325" i="24"/>
  <c r="C326" i="24"/>
  <c r="C327" i="24"/>
  <c r="C328" i="24"/>
  <c r="C329" i="24"/>
  <c r="C330" i="24"/>
  <c r="C331" i="24"/>
  <c r="C332" i="24"/>
  <c r="C333" i="24"/>
  <c r="C334" i="24"/>
  <c r="C335" i="24"/>
  <c r="C336" i="24"/>
  <c r="C337" i="24"/>
  <c r="C338" i="24"/>
  <c r="C339" i="24"/>
  <c r="C340" i="24"/>
  <c r="C341" i="24"/>
  <c r="C342" i="24"/>
  <c r="C343" i="24"/>
  <c r="C344" i="24"/>
  <c r="C345" i="24"/>
  <c r="C346" i="24"/>
  <c r="C347" i="24"/>
  <c r="C348" i="24"/>
  <c r="C349" i="24"/>
  <c r="C350" i="24"/>
  <c r="C351" i="24"/>
  <c r="C352" i="24"/>
  <c r="C353" i="24"/>
  <c r="C354" i="24"/>
  <c r="C355" i="24"/>
  <c r="C356" i="24"/>
  <c r="C357" i="24"/>
  <c r="C358" i="24"/>
  <c r="C359" i="24"/>
  <c r="C360" i="24"/>
  <c r="C361" i="24"/>
  <c r="C362" i="24"/>
  <c r="C363" i="24"/>
  <c r="C364" i="24"/>
  <c r="C365" i="24"/>
  <c r="C366" i="24"/>
  <c r="C367" i="24"/>
  <c r="C368" i="24"/>
  <c r="C369" i="24"/>
  <c r="C370" i="24"/>
  <c r="C371" i="24"/>
  <c r="C372" i="24"/>
  <c r="C373" i="24"/>
  <c r="C374" i="24"/>
  <c r="C375" i="24"/>
  <c r="C376" i="24"/>
  <c r="C377" i="24"/>
  <c r="C378" i="24"/>
  <c r="C379" i="24"/>
  <c r="C380" i="24"/>
  <c r="C381" i="24"/>
  <c r="C382" i="24"/>
  <c r="C383" i="24"/>
  <c r="C384" i="24"/>
  <c r="C385" i="24"/>
  <c r="C386" i="24"/>
  <c r="C387" i="24"/>
  <c r="C388" i="24"/>
  <c r="C389" i="24"/>
  <c r="C390" i="24"/>
  <c r="C391" i="24"/>
  <c r="C392" i="24"/>
  <c r="C393" i="24"/>
  <c r="C394" i="24"/>
  <c r="C395" i="24"/>
  <c r="C396" i="24"/>
  <c r="C397" i="24"/>
  <c r="C398" i="24"/>
  <c r="C399" i="24"/>
  <c r="C400" i="24"/>
  <c r="C401" i="24"/>
  <c r="C402" i="24"/>
  <c r="C403" i="24"/>
  <c r="C404" i="24"/>
  <c r="C405" i="24"/>
  <c r="C406" i="24"/>
  <c r="C407" i="24"/>
  <c r="C408" i="24"/>
  <c r="C409" i="24"/>
  <c r="C410" i="24"/>
  <c r="C3" i="24"/>
  <c r="C4" i="24"/>
  <c r="C5" i="24"/>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163" i="24"/>
  <c r="C164" i="24"/>
  <c r="C165" i="24"/>
  <c r="C166" i="24"/>
  <c r="C167" i="24"/>
  <c r="C168" i="24"/>
  <c r="C169" i="24"/>
  <c r="C170" i="24"/>
  <c r="C171" i="24"/>
  <c r="C172" i="24"/>
  <c r="C173" i="24"/>
  <c r="C174" i="24"/>
  <c r="C175" i="24"/>
  <c r="C176" i="24"/>
  <c r="C177" i="24"/>
  <c r="C178" i="24"/>
  <c r="C179" i="24"/>
  <c r="C180" i="24"/>
  <c r="C181" i="24"/>
  <c r="C182" i="24"/>
  <c r="C183" i="24"/>
  <c r="C184" i="24"/>
  <c r="C185" i="24"/>
  <c r="C186" i="24"/>
  <c r="C187" i="24"/>
  <c r="C188" i="24"/>
  <c r="C189" i="24"/>
  <c r="C190" i="24"/>
  <c r="C191" i="24"/>
  <c r="C192" i="24"/>
  <c r="C193" i="24"/>
  <c r="C194" i="24"/>
  <c r="C195" i="24"/>
  <c r="C196" i="24"/>
  <c r="C197" i="24"/>
  <c r="C198" i="24"/>
  <c r="C199" i="24"/>
  <c r="C200" i="24"/>
  <c r="C201" i="24"/>
  <c r="C202" i="24"/>
  <c r="C203" i="24"/>
  <c r="C204" i="24"/>
  <c r="C205" i="24"/>
  <c r="C206" i="24"/>
  <c r="C207" i="24"/>
  <c r="C208" i="24"/>
  <c r="C209" i="24"/>
  <c r="C210" i="24"/>
  <c r="C211" i="24"/>
  <c r="C2" i="24"/>
  <c r="J2" i="22"/>
  <c r="J3" i="22"/>
  <c r="J4" i="22"/>
  <c r="J5" i="22"/>
  <c r="J6" i="22"/>
  <c r="J7" i="22"/>
  <c r="J8" i="22"/>
  <c r="J9" i="22"/>
  <c r="J10" i="22"/>
  <c r="J11" i="22"/>
  <c r="J12" i="22"/>
  <c r="J13" i="22"/>
  <c r="J14" i="22"/>
  <c r="J15" i="22"/>
  <c r="J16" i="22"/>
  <c r="J17" i="22"/>
  <c r="J18" i="22"/>
  <c r="J19" i="22"/>
  <c r="J20" i="22"/>
  <c r="J21" i="22"/>
  <c r="J22" i="22"/>
  <c r="J23" i="22"/>
  <c r="J24" i="22"/>
  <c r="J25" i="22"/>
  <c r="J26" i="22"/>
  <c r="J27" i="22"/>
  <c r="J28" i="22"/>
  <c r="J29" i="22"/>
  <c r="J30" i="22"/>
  <c r="J31" i="22"/>
  <c r="J32" i="22"/>
  <c r="J33" i="22"/>
  <c r="J34" i="22"/>
  <c r="J35" i="22"/>
  <c r="J36" i="22"/>
  <c r="J37" i="22"/>
  <c r="J38" i="22"/>
  <c r="J39" i="22"/>
  <c r="J40" i="22"/>
  <c r="J41" i="22"/>
  <c r="J42" i="22"/>
  <c r="J43" i="22"/>
  <c r="J44" i="22"/>
  <c r="J45" i="22"/>
  <c r="J46" i="22"/>
  <c r="J47" i="22"/>
  <c r="J48" i="22"/>
  <c r="J49" i="22"/>
  <c r="J50" i="22"/>
  <c r="J51" i="22"/>
  <c r="J52" i="22"/>
  <c r="J53" i="22"/>
  <c r="J54" i="22"/>
  <c r="J55" i="22"/>
  <c r="J56" i="22"/>
  <c r="J57" i="22"/>
  <c r="J58" i="22"/>
  <c r="J59" i="22"/>
  <c r="J60" i="22"/>
  <c r="J61" i="22"/>
  <c r="J62" i="22"/>
  <c r="J63" i="22"/>
  <c r="J64" i="22"/>
  <c r="J65" i="22"/>
  <c r="J66" i="22"/>
  <c r="J67" i="22"/>
  <c r="J68" i="22"/>
  <c r="J69" i="22"/>
  <c r="J70" i="22"/>
  <c r="J71" i="22"/>
  <c r="J72" i="22"/>
  <c r="J73" i="22"/>
  <c r="J74" i="22"/>
  <c r="J75" i="22"/>
  <c r="J76" i="22"/>
  <c r="J77" i="22"/>
  <c r="J78" i="22"/>
  <c r="J79" i="22"/>
  <c r="J80" i="22"/>
  <c r="J81" i="22"/>
  <c r="J82" i="22"/>
  <c r="J83" i="22"/>
  <c r="J84" i="22"/>
  <c r="J85" i="22"/>
  <c r="J86" i="22"/>
  <c r="J87" i="22"/>
  <c r="J88" i="22"/>
  <c r="J89" i="22"/>
  <c r="J90" i="22"/>
  <c r="J91" i="22"/>
  <c r="J92" i="22"/>
  <c r="J93" i="22"/>
  <c r="J94" i="22"/>
  <c r="J95" i="22"/>
  <c r="J96" i="22"/>
  <c r="J97" i="22"/>
  <c r="J98" i="22"/>
  <c r="J99" i="22"/>
  <c r="J100" i="22"/>
  <c r="J101" i="22"/>
  <c r="J102" i="22"/>
  <c r="J103" i="22"/>
  <c r="J104" i="22"/>
  <c r="J105" i="22"/>
  <c r="J106" i="22"/>
  <c r="J107" i="22"/>
  <c r="J108" i="22"/>
  <c r="J109" i="22"/>
  <c r="J110" i="22"/>
  <c r="J111" i="22"/>
  <c r="J112" i="22"/>
  <c r="J113" i="22"/>
  <c r="J114" i="22"/>
  <c r="J115" i="22"/>
  <c r="J116" i="22"/>
  <c r="J117" i="22"/>
  <c r="J118" i="22"/>
  <c r="J119" i="22"/>
  <c r="J120" i="22"/>
  <c r="J121" i="22"/>
  <c r="J122" i="22"/>
  <c r="J123" i="22"/>
  <c r="J124" i="22"/>
  <c r="J125" i="22"/>
  <c r="J126" i="22"/>
  <c r="J127" i="22"/>
  <c r="J128" i="22"/>
  <c r="J129" i="22"/>
  <c r="J130" i="22"/>
  <c r="J131" i="22"/>
  <c r="J132" i="22"/>
  <c r="J133" i="22"/>
  <c r="J134" i="22"/>
  <c r="J135" i="22"/>
  <c r="J136" i="22"/>
  <c r="J137" i="22"/>
  <c r="J138" i="22"/>
  <c r="J139" i="22"/>
  <c r="J140" i="22"/>
  <c r="J141" i="22"/>
  <c r="J142" i="22"/>
  <c r="J143" i="22"/>
  <c r="J144" i="22"/>
  <c r="J145" i="22"/>
  <c r="J146" i="22"/>
  <c r="J147" i="22"/>
  <c r="J148" i="22"/>
  <c r="J149" i="22"/>
  <c r="J150" i="22"/>
  <c r="J151" i="22"/>
  <c r="J152" i="22"/>
  <c r="J153" i="22"/>
  <c r="J154" i="22"/>
  <c r="J155" i="22"/>
  <c r="J156" i="22"/>
  <c r="J157" i="22"/>
  <c r="J158" i="22"/>
  <c r="J159" i="22"/>
  <c r="J160" i="22"/>
  <c r="J161" i="22"/>
  <c r="J162" i="22"/>
  <c r="J163" i="22"/>
  <c r="J164" i="22"/>
  <c r="J165" i="22"/>
  <c r="J166" i="22"/>
  <c r="J167" i="22"/>
  <c r="J168" i="22"/>
  <c r="J169" i="22"/>
  <c r="J170" i="22"/>
  <c r="J171" i="22"/>
  <c r="J172" i="22"/>
  <c r="J173" i="22"/>
  <c r="J174" i="22"/>
  <c r="J175" i="22"/>
  <c r="J176" i="22"/>
  <c r="J177" i="22"/>
  <c r="J178" i="22"/>
  <c r="J179" i="22"/>
  <c r="J180" i="22"/>
  <c r="J181" i="22"/>
  <c r="J182" i="22"/>
  <c r="J183" i="22"/>
  <c r="J184" i="22"/>
  <c r="J185" i="22"/>
  <c r="J186" i="22"/>
  <c r="J187" i="22"/>
  <c r="J188" i="22"/>
  <c r="J189" i="22"/>
  <c r="J190" i="22"/>
  <c r="J191" i="22"/>
  <c r="J192" i="22"/>
  <c r="J194" i="22"/>
  <c r="J195" i="22"/>
  <c r="J196" i="22"/>
  <c r="J197" i="22"/>
  <c r="J198" i="22"/>
  <c r="J199" i="22"/>
  <c r="J200" i="22"/>
  <c r="B3" i="24"/>
  <c r="B4" i="24"/>
  <c r="B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163" i="24"/>
  <c r="B164" i="24"/>
  <c r="B165" i="24"/>
  <c r="B166" i="24"/>
  <c r="B167" i="24"/>
  <c r="B168" i="24"/>
  <c r="B169" i="24"/>
  <c r="B170" i="24"/>
  <c r="B171" i="24"/>
  <c r="B172" i="24"/>
  <c r="B173" i="24"/>
  <c r="B174" i="24"/>
  <c r="B175" i="24"/>
  <c r="B176" i="24"/>
  <c r="B177" i="24"/>
  <c r="B178" i="24"/>
  <c r="B179" i="24"/>
  <c r="B180" i="24"/>
  <c r="B181" i="24"/>
  <c r="B182" i="24"/>
  <c r="B183" i="24"/>
  <c r="B184" i="24"/>
  <c r="B185" i="24"/>
  <c r="B186" i="24"/>
  <c r="B187" i="24"/>
  <c r="B188" i="24"/>
  <c r="B189" i="24"/>
  <c r="B190" i="24"/>
  <c r="B191" i="24"/>
  <c r="B192" i="24"/>
  <c r="B193" i="24"/>
  <c r="B194" i="24"/>
  <c r="B195" i="24"/>
  <c r="B196" i="24"/>
  <c r="B197" i="24"/>
  <c r="B198" i="24"/>
  <c r="B199" i="24"/>
  <c r="B200" i="24"/>
  <c r="B201" i="24"/>
  <c r="B202" i="24"/>
  <c r="B203" i="24"/>
  <c r="B204" i="24"/>
  <c r="B205" i="24"/>
  <c r="B206" i="24"/>
  <c r="B207" i="24"/>
  <c r="B208" i="24"/>
  <c r="B209" i="24"/>
  <c r="B210" i="24"/>
  <c r="B211" i="24"/>
  <c r="B2" i="24"/>
  <c r="J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AB10" i="20"/>
  <c r="Z15" i="18"/>
  <c r="Z14" i="18"/>
  <c r="Z13" i="18"/>
  <c r="Z11" i="18"/>
  <c r="Z10" i="18"/>
  <c r="Z9" i="18"/>
  <c r="V15" i="18"/>
  <c r="V14" i="18"/>
  <c r="V13" i="18"/>
  <c r="V11" i="18"/>
  <c r="V10" i="18"/>
  <c r="V9" i="18"/>
  <c r="V7" i="18"/>
  <c r="V5" i="18"/>
  <c r="R16" i="18"/>
  <c r="R15" i="18"/>
  <c r="R14" i="18"/>
  <c r="R13" i="18"/>
  <c r="R11" i="18"/>
  <c r="R10" i="18"/>
  <c r="R9" i="18"/>
  <c r="R5" i="18"/>
  <c r="M26" i="20"/>
  <c r="M25" i="20"/>
  <c r="Q25" i="20" s="1"/>
  <c r="M24" i="20"/>
  <c r="Q24" i="20" s="1"/>
  <c r="M23" i="20"/>
  <c r="Q23" i="20" s="1"/>
  <c r="I145" i="18"/>
  <c r="N145" i="18" s="1"/>
  <c r="I146" i="18"/>
  <c r="N146" i="18" s="1"/>
  <c r="I147" i="18"/>
  <c r="I148" i="18"/>
  <c r="I149" i="18"/>
  <c r="N149" i="18" s="1"/>
  <c r="I150" i="18"/>
  <c r="N150" i="18" s="1"/>
  <c r="I151" i="18"/>
  <c r="I152" i="18"/>
  <c r="N152" i="18" s="1"/>
  <c r="I153" i="18"/>
  <c r="I154" i="18"/>
  <c r="I155" i="18"/>
  <c r="N155" i="18" s="1"/>
  <c r="I156" i="18"/>
  <c r="I157" i="18"/>
  <c r="N157" i="18" s="1"/>
  <c r="I158" i="18"/>
  <c r="N158" i="18" s="1"/>
  <c r="I159" i="18"/>
  <c r="N159" i="18" s="1"/>
  <c r="I160" i="18"/>
  <c r="N160" i="18" s="1"/>
  <c r="I162" i="18"/>
  <c r="N162" i="18" s="1"/>
  <c r="N154" i="18"/>
  <c r="N156" i="18"/>
  <c r="D162" i="18"/>
  <c r="C162" i="18"/>
  <c r="C161" i="18"/>
  <c r="D160" i="18"/>
  <c r="C160" i="18"/>
  <c r="D159" i="18"/>
  <c r="C159" i="18"/>
  <c r="D158" i="18"/>
  <c r="C158" i="18"/>
  <c r="D157" i="18"/>
  <c r="C157" i="18"/>
  <c r="D156" i="18"/>
  <c r="C156" i="18"/>
  <c r="D155" i="18"/>
  <c r="C155" i="18"/>
  <c r="D154" i="18"/>
  <c r="C154" i="18"/>
  <c r="D162" i="4"/>
  <c r="C162" i="4"/>
  <c r="C161" i="4"/>
  <c r="D160" i="4"/>
  <c r="C160" i="4"/>
  <c r="D159" i="4"/>
  <c r="C159" i="4"/>
  <c r="D158" i="4"/>
  <c r="C158" i="4"/>
  <c r="D157" i="4"/>
  <c r="C157" i="4"/>
  <c r="D156" i="4"/>
  <c r="C156" i="4"/>
  <c r="D155" i="4"/>
  <c r="C155" i="4"/>
  <c r="D154" i="4"/>
  <c r="C154" i="4"/>
  <c r="C199" i="2"/>
  <c r="D199" i="2"/>
  <c r="D198" i="2"/>
  <c r="C198" i="2"/>
  <c r="M41" i="17"/>
  <c r="M42" i="17"/>
  <c r="D190" i="2"/>
  <c r="D191" i="2"/>
  <c r="D192" i="2"/>
  <c r="D193" i="2"/>
  <c r="D194" i="2"/>
  <c r="D195" i="2"/>
  <c r="C190" i="2"/>
  <c r="C191" i="2"/>
  <c r="C192" i="2"/>
  <c r="C193" i="2"/>
  <c r="C194" i="2"/>
  <c r="C195" i="2"/>
  <c r="C189" i="2"/>
  <c r="D189" i="2"/>
  <c r="C197" i="2"/>
  <c r="C196" i="2"/>
  <c r="Y32" i="15"/>
  <c r="Y33" i="15"/>
  <c r="V32" i="15"/>
  <c r="D196" i="2" s="1"/>
  <c r="V33" i="15"/>
  <c r="D197" i="2" s="1"/>
  <c r="AC102" i="13"/>
  <c r="AE102" i="13"/>
  <c r="AC103" i="13"/>
  <c r="AE103" i="13"/>
  <c r="AC104" i="13"/>
  <c r="AE104" i="13"/>
  <c r="AC105" i="13"/>
  <c r="AE105" i="13"/>
  <c r="AC106" i="13"/>
  <c r="AE106" i="13"/>
  <c r="AC107" i="13"/>
  <c r="AE107" i="13"/>
  <c r="AC108" i="13"/>
  <c r="AE108" i="13"/>
  <c r="M2" i="20"/>
  <c r="M3" i="20"/>
  <c r="Q3" i="20" s="1"/>
  <c r="M4" i="20"/>
  <c r="Q4" i="20" s="1"/>
  <c r="M5" i="20"/>
  <c r="Q5" i="20" s="1"/>
  <c r="M6" i="20"/>
  <c r="Q6" i="20" s="1"/>
  <c r="M7" i="20"/>
  <c r="Q7" i="20" s="1"/>
  <c r="M8" i="20"/>
  <c r="Q8" i="20" s="1"/>
  <c r="C9" i="20"/>
  <c r="M9" i="20"/>
  <c r="Q9" i="20" s="1"/>
  <c r="M10" i="20"/>
  <c r="Q10" i="20" s="1"/>
  <c r="M11" i="20"/>
  <c r="Q11" i="20" s="1"/>
  <c r="M12" i="20"/>
  <c r="Q12" i="20" s="1"/>
  <c r="C13" i="20"/>
  <c r="M13" i="20"/>
  <c r="Q13" i="20" s="1"/>
  <c r="C14" i="20"/>
  <c r="M14" i="20"/>
  <c r="Q14" i="20" s="1"/>
  <c r="C15" i="20"/>
  <c r="M15" i="20"/>
  <c r="Q15" i="20" s="1"/>
  <c r="C16" i="20"/>
  <c r="M16" i="20"/>
  <c r="Q16" i="20" s="1"/>
  <c r="M17" i="20"/>
  <c r="Q17" i="20" s="1"/>
  <c r="C18" i="20"/>
  <c r="M18" i="20"/>
  <c r="Q18" i="20" s="1"/>
  <c r="C19" i="20"/>
  <c r="M19" i="20"/>
  <c r="Q19" i="20" s="1"/>
  <c r="M20" i="20"/>
  <c r="Q20" i="20" s="1"/>
  <c r="M21" i="20"/>
  <c r="Q21" i="20" s="1"/>
  <c r="M22" i="20"/>
  <c r="Q22" i="20" s="1"/>
  <c r="C13" i="18"/>
  <c r="N22" i="18"/>
  <c r="N34" i="18"/>
  <c r="N128" i="18"/>
  <c r="N147" i="18"/>
  <c r="N148" i="18"/>
  <c r="N151" i="18"/>
  <c r="N153" i="18"/>
  <c r="I3" i="18"/>
  <c r="N3" i="18" s="1"/>
  <c r="I4" i="18"/>
  <c r="N4" i="18" s="1"/>
  <c r="I5" i="18"/>
  <c r="N5" i="18" s="1"/>
  <c r="I6" i="18"/>
  <c r="N6" i="18" s="1"/>
  <c r="I7" i="18"/>
  <c r="N7" i="18" s="1"/>
  <c r="I8" i="18"/>
  <c r="N8" i="18" s="1"/>
  <c r="I9" i="18"/>
  <c r="N9" i="18" s="1"/>
  <c r="I10" i="18"/>
  <c r="N10" i="18" s="1"/>
  <c r="I11" i="18"/>
  <c r="N11" i="18" s="1"/>
  <c r="I12" i="18"/>
  <c r="N12" i="18" s="1"/>
  <c r="I13" i="18"/>
  <c r="N13" i="18" s="1"/>
  <c r="I14" i="18"/>
  <c r="N14" i="18" s="1"/>
  <c r="I15" i="18"/>
  <c r="N15" i="18" s="1"/>
  <c r="I16" i="18"/>
  <c r="N16" i="18" s="1"/>
  <c r="I17" i="18"/>
  <c r="N17" i="18" s="1"/>
  <c r="I18" i="18"/>
  <c r="N18" i="18" s="1"/>
  <c r="I19" i="18"/>
  <c r="N19" i="18" s="1"/>
  <c r="I20" i="18"/>
  <c r="N20" i="18" s="1"/>
  <c r="I21" i="18"/>
  <c r="N21" i="18" s="1"/>
  <c r="I22" i="18"/>
  <c r="I23" i="18"/>
  <c r="N23" i="18" s="1"/>
  <c r="I24" i="18"/>
  <c r="N24" i="18" s="1"/>
  <c r="I25" i="18"/>
  <c r="N25" i="18" s="1"/>
  <c r="I26" i="18"/>
  <c r="N26" i="18" s="1"/>
  <c r="I27" i="18"/>
  <c r="N27" i="18" s="1"/>
  <c r="I28" i="18"/>
  <c r="N28" i="18" s="1"/>
  <c r="I29" i="18"/>
  <c r="N29" i="18" s="1"/>
  <c r="I30" i="18"/>
  <c r="N30" i="18" s="1"/>
  <c r="I31" i="18"/>
  <c r="N31" i="18" s="1"/>
  <c r="I32" i="18"/>
  <c r="N32" i="18" s="1"/>
  <c r="I33" i="18"/>
  <c r="N33" i="18" s="1"/>
  <c r="I34" i="18"/>
  <c r="I35" i="18"/>
  <c r="N35" i="18" s="1"/>
  <c r="I36" i="18"/>
  <c r="N36" i="18" s="1"/>
  <c r="I37" i="18"/>
  <c r="N37" i="18" s="1"/>
  <c r="I38" i="18"/>
  <c r="N38" i="18" s="1"/>
  <c r="I39" i="18"/>
  <c r="N39" i="18" s="1"/>
  <c r="I40" i="18"/>
  <c r="N40" i="18" s="1"/>
  <c r="I41" i="18"/>
  <c r="N41" i="18" s="1"/>
  <c r="I42" i="18"/>
  <c r="N42" i="18" s="1"/>
  <c r="I43" i="18"/>
  <c r="N43" i="18" s="1"/>
  <c r="I44" i="18"/>
  <c r="N44" i="18" s="1"/>
  <c r="I45" i="18"/>
  <c r="N45" i="18" s="1"/>
  <c r="I46" i="18"/>
  <c r="N46" i="18" s="1"/>
  <c r="I47" i="18"/>
  <c r="N47" i="18" s="1"/>
  <c r="I48" i="18"/>
  <c r="N48" i="18" s="1"/>
  <c r="I49" i="18"/>
  <c r="N49" i="18" s="1"/>
  <c r="I50" i="18"/>
  <c r="N50" i="18" s="1"/>
  <c r="I51" i="18"/>
  <c r="N51" i="18" s="1"/>
  <c r="I52" i="18"/>
  <c r="N52" i="18" s="1"/>
  <c r="I53" i="18"/>
  <c r="N53" i="18" s="1"/>
  <c r="I54" i="18"/>
  <c r="N54" i="18" s="1"/>
  <c r="I55" i="18"/>
  <c r="N55" i="18" s="1"/>
  <c r="I56" i="18"/>
  <c r="N56" i="18" s="1"/>
  <c r="I57" i="18"/>
  <c r="N57" i="18" s="1"/>
  <c r="I58" i="18"/>
  <c r="N58" i="18" s="1"/>
  <c r="I59" i="18"/>
  <c r="N59" i="18" s="1"/>
  <c r="I60" i="18"/>
  <c r="N60" i="18" s="1"/>
  <c r="I61" i="18"/>
  <c r="N61" i="18" s="1"/>
  <c r="I62" i="18"/>
  <c r="N62" i="18" s="1"/>
  <c r="I63" i="18"/>
  <c r="N63" i="18" s="1"/>
  <c r="I64" i="18"/>
  <c r="N64" i="18" s="1"/>
  <c r="I65" i="18"/>
  <c r="N65" i="18" s="1"/>
  <c r="I66" i="18"/>
  <c r="N66" i="18" s="1"/>
  <c r="I67" i="18"/>
  <c r="N67" i="18" s="1"/>
  <c r="I68" i="18"/>
  <c r="N68" i="18" s="1"/>
  <c r="I69" i="18"/>
  <c r="N69" i="18" s="1"/>
  <c r="I70" i="18"/>
  <c r="N70" i="18" s="1"/>
  <c r="I71" i="18"/>
  <c r="N71" i="18" s="1"/>
  <c r="I72" i="18"/>
  <c r="N72" i="18" s="1"/>
  <c r="I73" i="18"/>
  <c r="N73" i="18" s="1"/>
  <c r="I74" i="18"/>
  <c r="N74" i="18" s="1"/>
  <c r="I75" i="18"/>
  <c r="N75" i="18" s="1"/>
  <c r="I76" i="18"/>
  <c r="N76" i="18" s="1"/>
  <c r="I77" i="18"/>
  <c r="N77" i="18" s="1"/>
  <c r="I78" i="18"/>
  <c r="N78" i="18" s="1"/>
  <c r="I79" i="18"/>
  <c r="N79" i="18" s="1"/>
  <c r="I80" i="18"/>
  <c r="N80" i="18" s="1"/>
  <c r="I81" i="18"/>
  <c r="N81" i="18" s="1"/>
  <c r="I82" i="18"/>
  <c r="N82" i="18" s="1"/>
  <c r="I83" i="18"/>
  <c r="N83" i="18" s="1"/>
  <c r="I84" i="18"/>
  <c r="N84" i="18" s="1"/>
  <c r="I85" i="18"/>
  <c r="N85" i="18" s="1"/>
  <c r="I86" i="18"/>
  <c r="N86" i="18" s="1"/>
  <c r="I87" i="18"/>
  <c r="N87" i="18" s="1"/>
  <c r="I88" i="18"/>
  <c r="N88" i="18" s="1"/>
  <c r="I89" i="18"/>
  <c r="N89" i="18" s="1"/>
  <c r="I90" i="18"/>
  <c r="N90" i="18" s="1"/>
  <c r="I91" i="18"/>
  <c r="N91" i="18" s="1"/>
  <c r="I92" i="18"/>
  <c r="N92" i="18" s="1"/>
  <c r="I93" i="18"/>
  <c r="N93" i="18" s="1"/>
  <c r="I94" i="18"/>
  <c r="N94" i="18" s="1"/>
  <c r="I95" i="18"/>
  <c r="N95" i="18" s="1"/>
  <c r="I96" i="18"/>
  <c r="N96" i="18" s="1"/>
  <c r="I97" i="18"/>
  <c r="N97" i="18" s="1"/>
  <c r="I98" i="18"/>
  <c r="N98" i="18" s="1"/>
  <c r="I99" i="18"/>
  <c r="N99" i="18" s="1"/>
  <c r="I100" i="18"/>
  <c r="N100" i="18" s="1"/>
  <c r="I101" i="18"/>
  <c r="N101" i="18" s="1"/>
  <c r="I102" i="18"/>
  <c r="N102" i="18" s="1"/>
  <c r="I103" i="18"/>
  <c r="N103" i="18" s="1"/>
  <c r="I104" i="18"/>
  <c r="N104" i="18" s="1"/>
  <c r="I105" i="18"/>
  <c r="N105" i="18" s="1"/>
  <c r="I106" i="18"/>
  <c r="N106" i="18" s="1"/>
  <c r="I107" i="18"/>
  <c r="N107" i="18" s="1"/>
  <c r="I108" i="18"/>
  <c r="N108" i="18" s="1"/>
  <c r="I109" i="18"/>
  <c r="N109" i="18" s="1"/>
  <c r="I110" i="18"/>
  <c r="N110" i="18" s="1"/>
  <c r="I111" i="18"/>
  <c r="N111" i="18" s="1"/>
  <c r="I112" i="18"/>
  <c r="N112" i="18" s="1"/>
  <c r="I113" i="18"/>
  <c r="N113" i="18" s="1"/>
  <c r="I114" i="18"/>
  <c r="N114" i="18" s="1"/>
  <c r="I115" i="18"/>
  <c r="N115" i="18" s="1"/>
  <c r="I116" i="18"/>
  <c r="N116" i="18" s="1"/>
  <c r="I117" i="18"/>
  <c r="N117" i="18" s="1"/>
  <c r="I118" i="18"/>
  <c r="N118" i="18" s="1"/>
  <c r="I119" i="18"/>
  <c r="N119" i="18" s="1"/>
  <c r="I120" i="18"/>
  <c r="N120" i="18" s="1"/>
  <c r="I121" i="18"/>
  <c r="N121" i="18" s="1"/>
  <c r="I122" i="18"/>
  <c r="N122" i="18" s="1"/>
  <c r="I123" i="18"/>
  <c r="N123" i="18" s="1"/>
  <c r="I124" i="18"/>
  <c r="N124" i="18" s="1"/>
  <c r="I125" i="18"/>
  <c r="N125" i="18" s="1"/>
  <c r="I126" i="18"/>
  <c r="N126" i="18" s="1"/>
  <c r="I127" i="18"/>
  <c r="N127" i="18" s="1"/>
  <c r="I128" i="18"/>
  <c r="I129" i="18"/>
  <c r="N129" i="18" s="1"/>
  <c r="I130" i="18"/>
  <c r="N130" i="18" s="1"/>
  <c r="I131" i="18"/>
  <c r="N131" i="18" s="1"/>
  <c r="I132" i="18"/>
  <c r="N132" i="18" s="1"/>
  <c r="I133" i="18"/>
  <c r="N133" i="18" s="1"/>
  <c r="I134" i="18"/>
  <c r="N134" i="18" s="1"/>
  <c r="I135" i="18"/>
  <c r="N135" i="18" s="1"/>
  <c r="I136" i="18"/>
  <c r="N136" i="18" s="1"/>
  <c r="I137" i="18"/>
  <c r="N137" i="18" s="1"/>
  <c r="I138" i="18"/>
  <c r="N138" i="18" s="1"/>
  <c r="I139" i="18"/>
  <c r="N139" i="18" s="1"/>
  <c r="I140" i="18"/>
  <c r="N140" i="18" s="1"/>
  <c r="I141" i="18"/>
  <c r="N141" i="18" s="1"/>
  <c r="I142" i="18"/>
  <c r="N142" i="18" s="1"/>
  <c r="I143" i="18"/>
  <c r="N143" i="18" s="1"/>
  <c r="I144" i="18"/>
  <c r="N144" i="18" s="1"/>
  <c r="C153" i="18"/>
  <c r="C152" i="18"/>
  <c r="C151" i="18"/>
  <c r="C150" i="18"/>
  <c r="C149" i="18"/>
  <c r="C148" i="18"/>
  <c r="C147" i="18"/>
  <c r="C146" i="18"/>
  <c r="C145" i="18"/>
  <c r="C144" i="18"/>
  <c r="C143" i="18"/>
  <c r="C142" i="18"/>
  <c r="C141" i="18"/>
  <c r="C140" i="18"/>
  <c r="C139" i="18"/>
  <c r="C138" i="18"/>
  <c r="C137" i="18"/>
  <c r="C136" i="18"/>
  <c r="C135" i="18"/>
  <c r="C134" i="18"/>
  <c r="C133" i="18"/>
  <c r="C132" i="18"/>
  <c r="C131" i="18"/>
  <c r="C130" i="18"/>
  <c r="C129" i="18"/>
  <c r="C128" i="18"/>
  <c r="C127" i="18"/>
  <c r="C126" i="18"/>
  <c r="C125" i="18"/>
  <c r="C124" i="18"/>
  <c r="C123" i="18"/>
  <c r="C122" i="18"/>
  <c r="C121" i="18"/>
  <c r="C120" i="18"/>
  <c r="C119" i="18"/>
  <c r="C118" i="18"/>
  <c r="C117" i="18"/>
  <c r="C116" i="18"/>
  <c r="C115" i="18"/>
  <c r="C114" i="18"/>
  <c r="C113" i="18"/>
  <c r="C112" i="18"/>
  <c r="C111" i="18"/>
  <c r="C110" i="18"/>
  <c r="C109" i="18"/>
  <c r="C108" i="18"/>
  <c r="C107" i="18"/>
  <c r="C106" i="18"/>
  <c r="C105" i="18"/>
  <c r="C104" i="18"/>
  <c r="C103" i="18"/>
  <c r="C102" i="18"/>
  <c r="C101" i="18"/>
  <c r="C100" i="18"/>
  <c r="C99" i="18"/>
  <c r="C98" i="18"/>
  <c r="C97" i="18"/>
  <c r="C96" i="18"/>
  <c r="C95" i="18"/>
  <c r="C94" i="18"/>
  <c r="C93" i="18"/>
  <c r="C92" i="18"/>
  <c r="C91" i="18"/>
  <c r="C90" i="18"/>
  <c r="C89" i="18"/>
  <c r="C88" i="18"/>
  <c r="C87" i="18"/>
  <c r="C86" i="18"/>
  <c r="C85" i="18"/>
  <c r="C84" i="18"/>
  <c r="C83" i="18"/>
  <c r="C82" i="18"/>
  <c r="C81" i="18"/>
  <c r="C80" i="18"/>
  <c r="C79" i="18"/>
  <c r="C78" i="18"/>
  <c r="C77" i="18"/>
  <c r="C76" i="18"/>
  <c r="C75" i="18"/>
  <c r="C74" i="18"/>
  <c r="C73" i="18"/>
  <c r="C72" i="18"/>
  <c r="C71" i="18"/>
  <c r="C70" i="18"/>
  <c r="C69" i="18"/>
  <c r="C68" i="18"/>
  <c r="C67" i="18"/>
  <c r="C66" i="18"/>
  <c r="C65" i="18"/>
  <c r="C64" i="18"/>
  <c r="C63" i="18"/>
  <c r="C62" i="18"/>
  <c r="C61" i="18"/>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C31" i="18"/>
  <c r="C30" i="18"/>
  <c r="C29" i="18"/>
  <c r="C28" i="18"/>
  <c r="C27" i="18"/>
  <c r="C26" i="18"/>
  <c r="C25" i="18"/>
  <c r="C24" i="18"/>
  <c r="C23" i="18"/>
  <c r="C22" i="18"/>
  <c r="C21" i="18"/>
  <c r="C20" i="18"/>
  <c r="C19" i="18"/>
  <c r="C18" i="18"/>
  <c r="C17" i="18"/>
  <c r="C16" i="18"/>
  <c r="C15" i="18"/>
  <c r="C14" i="18"/>
  <c r="C12" i="18"/>
  <c r="C11" i="18"/>
  <c r="C10" i="18"/>
  <c r="C9" i="18"/>
  <c r="C8" i="18"/>
  <c r="C7" i="18"/>
  <c r="C6" i="18"/>
  <c r="C5" i="18"/>
  <c r="C4" i="18"/>
  <c r="C3" i="18"/>
  <c r="C2" i="18"/>
  <c r="C153" i="4"/>
  <c r="C152" i="4"/>
  <c r="C151" i="4"/>
  <c r="C150" i="4"/>
  <c r="C149" i="4"/>
  <c r="C148" i="4"/>
  <c r="C147" i="4"/>
  <c r="C146" i="4"/>
  <c r="D145" i="4"/>
  <c r="C145" i="4"/>
  <c r="C144" i="4"/>
  <c r="C143" i="4"/>
  <c r="C142" i="4"/>
  <c r="C141" i="4"/>
  <c r="D140" i="4"/>
  <c r="C140" i="4"/>
  <c r="D139" i="4"/>
  <c r="C139" i="4"/>
  <c r="D138" i="4"/>
  <c r="C138" i="4"/>
  <c r="D137" i="4"/>
  <c r="C137" i="4"/>
  <c r="D136" i="4"/>
  <c r="C136" i="4"/>
  <c r="D135" i="4"/>
  <c r="C135" i="4"/>
  <c r="D134" i="4"/>
  <c r="C134" i="4"/>
  <c r="D133" i="4"/>
  <c r="C133" i="4"/>
  <c r="D132" i="4"/>
  <c r="C132" i="4"/>
  <c r="D131" i="4"/>
  <c r="C131" i="4"/>
  <c r="D130" i="4"/>
  <c r="C130" i="4"/>
  <c r="D129" i="4"/>
  <c r="C129" i="4"/>
  <c r="D128" i="4"/>
  <c r="C128" i="4"/>
  <c r="D127" i="4"/>
  <c r="C127" i="4"/>
  <c r="D126" i="4"/>
  <c r="C126" i="4"/>
  <c r="D125" i="4"/>
  <c r="C125" i="4"/>
  <c r="D124" i="4"/>
  <c r="C124" i="4"/>
  <c r="D123" i="4"/>
  <c r="C123" i="4"/>
  <c r="D122" i="4"/>
  <c r="C122" i="4"/>
  <c r="D121" i="4"/>
  <c r="C121" i="4"/>
  <c r="D120" i="4"/>
  <c r="C120" i="4"/>
  <c r="D119" i="4"/>
  <c r="C119" i="4"/>
  <c r="D118" i="4"/>
  <c r="C118" i="4"/>
  <c r="D117" i="4"/>
  <c r="C117" i="4"/>
  <c r="D116" i="4"/>
  <c r="C116" i="4"/>
  <c r="D115" i="4"/>
  <c r="C115" i="4"/>
  <c r="D114" i="4"/>
  <c r="C114" i="4"/>
  <c r="D113" i="4"/>
  <c r="C113" i="4"/>
  <c r="D112" i="4"/>
  <c r="C112" i="4"/>
  <c r="D111" i="4"/>
  <c r="C111" i="4"/>
  <c r="D110" i="4"/>
  <c r="C110" i="4"/>
  <c r="D109" i="4"/>
  <c r="C109" i="4"/>
  <c r="D108" i="4"/>
  <c r="C108" i="4"/>
  <c r="D107" i="4"/>
  <c r="C107" i="4"/>
  <c r="D106" i="4"/>
  <c r="C106" i="4"/>
  <c r="D105" i="4"/>
  <c r="C105" i="4"/>
  <c r="D104" i="4"/>
  <c r="C104" i="4"/>
  <c r="D103" i="4"/>
  <c r="C103" i="4"/>
  <c r="D102" i="4"/>
  <c r="C102" i="4"/>
  <c r="D101" i="4"/>
  <c r="C101" i="4"/>
  <c r="D100" i="4"/>
  <c r="C100" i="4"/>
  <c r="D99" i="4"/>
  <c r="C99" i="4"/>
  <c r="D98" i="4"/>
  <c r="C98" i="4"/>
  <c r="D97" i="4"/>
  <c r="C97" i="4"/>
  <c r="D96" i="4"/>
  <c r="C96" i="4"/>
  <c r="D95" i="4"/>
  <c r="C95" i="4"/>
  <c r="D94" i="4"/>
  <c r="C94" i="4"/>
  <c r="D93" i="4"/>
  <c r="C93" i="4"/>
  <c r="D92" i="4"/>
  <c r="C92" i="4"/>
  <c r="D91" i="4"/>
  <c r="C91" i="4"/>
  <c r="D90" i="4"/>
  <c r="C90" i="4"/>
  <c r="D89" i="4"/>
  <c r="C89" i="4"/>
  <c r="D88" i="4"/>
  <c r="C88" i="4"/>
  <c r="D87" i="4"/>
  <c r="C87" i="4"/>
  <c r="D86" i="4"/>
  <c r="C86" i="4"/>
  <c r="D85" i="4"/>
  <c r="C85" i="4"/>
  <c r="D84" i="4"/>
  <c r="C84" i="4"/>
  <c r="D83" i="4"/>
  <c r="C83" i="4"/>
  <c r="D82" i="4"/>
  <c r="C82" i="4"/>
  <c r="D81" i="4"/>
  <c r="C81" i="4"/>
  <c r="D80" i="4"/>
  <c r="C80" i="4"/>
  <c r="D79" i="4"/>
  <c r="C79" i="4"/>
  <c r="D78" i="4"/>
  <c r="C78" i="4"/>
  <c r="D77" i="4"/>
  <c r="C77" i="4"/>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D6" i="4"/>
  <c r="C6" i="4"/>
  <c r="D5" i="4"/>
  <c r="C5" i="4"/>
  <c r="D4" i="4"/>
  <c r="C4" i="4"/>
  <c r="D3" i="4"/>
  <c r="C3" i="4"/>
  <c r="D2" i="4"/>
  <c r="C2" i="4"/>
  <c r="D172" i="2"/>
  <c r="D173" i="2"/>
  <c r="D174" i="2"/>
  <c r="D175" i="2"/>
  <c r="D176" i="2"/>
  <c r="D177" i="2"/>
  <c r="D178" i="2"/>
  <c r="D179" i="2"/>
  <c r="D180" i="2"/>
  <c r="D181" i="2"/>
  <c r="D182" i="2"/>
  <c r="D183" i="2"/>
  <c r="D184" i="2"/>
  <c r="D185" i="2"/>
  <c r="D186" i="2"/>
  <c r="D187" i="2"/>
  <c r="D188" i="2"/>
  <c r="D171" i="2"/>
  <c r="C172" i="2"/>
  <c r="C173" i="2"/>
  <c r="C174" i="2"/>
  <c r="C175" i="2"/>
  <c r="C176" i="2"/>
  <c r="C177" i="2"/>
  <c r="C178" i="2"/>
  <c r="C179" i="2"/>
  <c r="C180" i="2"/>
  <c r="C181" i="2"/>
  <c r="C182" i="2"/>
  <c r="C183" i="2"/>
  <c r="C184" i="2"/>
  <c r="C185" i="2"/>
  <c r="C186" i="2"/>
  <c r="C187" i="2"/>
  <c r="C188" i="2"/>
  <c r="C171" i="2"/>
  <c r="BW3" i="16"/>
  <c r="BW4" i="16"/>
  <c r="BW5" i="16"/>
  <c r="BW6" i="16"/>
  <c r="BW7" i="16"/>
  <c r="BW8" i="16"/>
  <c r="BW9" i="16"/>
  <c r="BW10" i="16"/>
  <c r="BW11" i="16"/>
  <c r="BW12" i="16"/>
  <c r="BW13" i="16"/>
  <c r="BW14" i="16"/>
  <c r="BW15" i="16"/>
  <c r="BW16" i="16"/>
  <c r="BW17" i="16"/>
  <c r="BW18" i="16"/>
  <c r="BW19" i="16"/>
  <c r="BW2" i="16"/>
  <c r="CC19" i="16"/>
  <c r="CC18" i="16"/>
  <c r="CC17" i="16"/>
  <c r="CC16" i="16"/>
  <c r="CC15" i="16"/>
  <c r="CC14" i="16"/>
  <c r="CC13" i="16"/>
  <c r="CC12" i="16"/>
  <c r="CC11" i="16"/>
  <c r="CC10" i="16"/>
  <c r="CC9" i="16"/>
  <c r="CC8" i="16"/>
  <c r="CC7" i="16"/>
  <c r="CC6" i="16"/>
  <c r="CC5" i="16"/>
  <c r="CC4" i="16"/>
  <c r="CC3" i="16"/>
  <c r="CC2" i="16"/>
  <c r="D148" i="2"/>
  <c r="D154" i="2"/>
  <c r="D169" i="2"/>
  <c r="C168" i="2"/>
  <c r="C169" i="2"/>
  <c r="C170" i="2"/>
  <c r="C142" i="2"/>
  <c r="C143" i="2"/>
  <c r="C144" i="2"/>
  <c r="C145" i="2"/>
  <c r="C146" i="2"/>
  <c r="C148" i="2"/>
  <c r="C149" i="2"/>
  <c r="C150" i="2"/>
  <c r="C151" i="2"/>
  <c r="C152" i="2"/>
  <c r="C153" i="2"/>
  <c r="C154" i="2"/>
  <c r="C155" i="2"/>
  <c r="C156" i="2"/>
  <c r="C157" i="2"/>
  <c r="C158" i="2"/>
  <c r="C159" i="2"/>
  <c r="C160" i="2"/>
  <c r="C161" i="2"/>
  <c r="C162" i="2"/>
  <c r="C163" i="2"/>
  <c r="C164" i="2"/>
  <c r="C165" i="2"/>
  <c r="C166" i="2"/>
  <c r="C167" i="2"/>
  <c r="C141" i="2"/>
  <c r="V3" i="15"/>
  <c r="D142" i="2" s="1"/>
  <c r="V4" i="15"/>
  <c r="D143" i="2" s="1"/>
  <c r="V5" i="15"/>
  <c r="D144" i="2" s="1"/>
  <c r="V6" i="15"/>
  <c r="D145" i="2" s="1"/>
  <c r="V7" i="15"/>
  <c r="D146" i="2" s="1"/>
  <c r="V9" i="15"/>
  <c r="V10" i="15"/>
  <c r="D149" i="2" s="1"/>
  <c r="V11" i="15"/>
  <c r="D150" i="2" s="1"/>
  <c r="V12" i="15"/>
  <c r="D148" i="4" s="1"/>
  <c r="V13" i="15"/>
  <c r="D152" i="2" s="1"/>
  <c r="V14" i="15"/>
  <c r="D153" i="2" s="1"/>
  <c r="V15" i="15"/>
  <c r="V16" i="15"/>
  <c r="D155" i="2" s="1"/>
  <c r="V17" i="15"/>
  <c r="D156" i="2" s="1"/>
  <c r="V18" i="15"/>
  <c r="D157" i="2" s="1"/>
  <c r="V19" i="15"/>
  <c r="D158" i="2" s="1"/>
  <c r="V20" i="15"/>
  <c r="D159" i="2" s="1"/>
  <c r="V21" i="15"/>
  <c r="D160" i="2" s="1"/>
  <c r="V22" i="15"/>
  <c r="D161" i="2" s="1"/>
  <c r="V23" i="15"/>
  <c r="D162" i="2" s="1"/>
  <c r="V24" i="15"/>
  <c r="D163" i="2" s="1"/>
  <c r="V25" i="15"/>
  <c r="D151" i="4" s="1"/>
  <c r="V26" i="15"/>
  <c r="D165" i="2" s="1"/>
  <c r="V27" i="15"/>
  <c r="D152" i="4" s="1"/>
  <c r="V28" i="15"/>
  <c r="D167" i="2" s="1"/>
  <c r="V29" i="15"/>
  <c r="D168" i="2" s="1"/>
  <c r="V30" i="15"/>
  <c r="V31" i="15"/>
  <c r="D170" i="2" s="1"/>
  <c r="V2" i="15"/>
  <c r="D141" i="4" s="1"/>
  <c r="Y31" i="15"/>
  <c r="Y30" i="15"/>
  <c r="Y29" i="15"/>
  <c r="Y28" i="15"/>
  <c r="Y27" i="15"/>
  <c r="Y26" i="15"/>
  <c r="Y25" i="15"/>
  <c r="Y24" i="15"/>
  <c r="Y23" i="15"/>
  <c r="Y22" i="15"/>
  <c r="Y21" i="15"/>
  <c r="Y20" i="15"/>
  <c r="Y19" i="15"/>
  <c r="Y18" i="15"/>
  <c r="Y17" i="15"/>
  <c r="Y16" i="15"/>
  <c r="Y15" i="15"/>
  <c r="Y14" i="15"/>
  <c r="Y13" i="15"/>
  <c r="Y12" i="15"/>
  <c r="Y11" i="15"/>
  <c r="Y10" i="15"/>
  <c r="Y9" i="15"/>
  <c r="Y7" i="15"/>
  <c r="Y6" i="15"/>
  <c r="Y5" i="15"/>
  <c r="Y4" i="15"/>
  <c r="Y3" i="15"/>
  <c r="Y2" i="15"/>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C133" i="2"/>
  <c r="C134" i="2"/>
  <c r="C135" i="2"/>
  <c r="C136" i="2"/>
  <c r="C137" i="2"/>
  <c r="C138" i="2"/>
  <c r="C139" i="2"/>
  <c r="C140"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D102" i="2"/>
  <c r="C102" i="2"/>
  <c r="M40" i="17"/>
  <c r="M39" i="17"/>
  <c r="M38" i="17"/>
  <c r="M37" i="17"/>
  <c r="M36" i="17"/>
  <c r="M35" i="17"/>
  <c r="M34" i="17"/>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M3" i="17"/>
  <c r="M2" i="17"/>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2" i="2"/>
  <c r="D2" i="2"/>
  <c r="AC2" i="13"/>
  <c r="AC3" i="13"/>
  <c r="AC4" i="13"/>
  <c r="AC5" i="13"/>
  <c r="AC6" i="13"/>
  <c r="AC7" i="13"/>
  <c r="AC8" i="13"/>
  <c r="AC9" i="13"/>
  <c r="AC10" i="13"/>
  <c r="AC11" i="13"/>
  <c r="AC12" i="13"/>
  <c r="AC13" i="13"/>
  <c r="AC14" i="13"/>
  <c r="AC15" i="13"/>
  <c r="AC16" i="13"/>
  <c r="AC17" i="13"/>
  <c r="AC18" i="13"/>
  <c r="AC19" i="13"/>
  <c r="AC20" i="13"/>
  <c r="AC21" i="13"/>
  <c r="AC22" i="13"/>
  <c r="AC23" i="13"/>
  <c r="AC24" i="13"/>
  <c r="AC25" i="13"/>
  <c r="AC26" i="13"/>
  <c r="AC27" i="13"/>
  <c r="AC28" i="13"/>
  <c r="AC29" i="13"/>
  <c r="AC30" i="13"/>
  <c r="AC31" i="13"/>
  <c r="AC32" i="13"/>
  <c r="AC33" i="13"/>
  <c r="AC34" i="13"/>
  <c r="AC35" i="13"/>
  <c r="AC36" i="13"/>
  <c r="AC37" i="13"/>
  <c r="AC38" i="13"/>
  <c r="AC39" i="13"/>
  <c r="AC40" i="13"/>
  <c r="AC41" i="13"/>
  <c r="AC42" i="13"/>
  <c r="AC43" i="13"/>
  <c r="AC44" i="13"/>
  <c r="AC45" i="13"/>
  <c r="AC46" i="13"/>
  <c r="AC47" i="13"/>
  <c r="AC48" i="13"/>
  <c r="AC49" i="13"/>
  <c r="AC50" i="13"/>
  <c r="AC51" i="13"/>
  <c r="AC52" i="13"/>
  <c r="AC53" i="13"/>
  <c r="AC54" i="13"/>
  <c r="AC55" i="13"/>
  <c r="AC56" i="13"/>
  <c r="AC57" i="13"/>
  <c r="AC58" i="13"/>
  <c r="AC59" i="13"/>
  <c r="AC60" i="13"/>
  <c r="AC61" i="13"/>
  <c r="AC62" i="13"/>
  <c r="AC63" i="13"/>
  <c r="AC64" i="13"/>
  <c r="AC65" i="13"/>
  <c r="AC66" i="13"/>
  <c r="AC67" i="13"/>
  <c r="AC68" i="13"/>
  <c r="AC69" i="13"/>
  <c r="AC70" i="13"/>
  <c r="AC71" i="13"/>
  <c r="AC72" i="13"/>
  <c r="AC73" i="13"/>
  <c r="AC74" i="13"/>
  <c r="AC75" i="13"/>
  <c r="AC76" i="13"/>
  <c r="AC77" i="13"/>
  <c r="AC78" i="13"/>
  <c r="AC79" i="13"/>
  <c r="AC80" i="13"/>
  <c r="AC81" i="13"/>
  <c r="AC82" i="13"/>
  <c r="AC83" i="13"/>
  <c r="AC84" i="13"/>
  <c r="AC85" i="13"/>
  <c r="AC86" i="13"/>
  <c r="AC87" i="13"/>
  <c r="AC88" i="13"/>
  <c r="AC89" i="13"/>
  <c r="AC90" i="13"/>
  <c r="AC91" i="13"/>
  <c r="AC92" i="13"/>
  <c r="AC93" i="13"/>
  <c r="AC94" i="13"/>
  <c r="AC95" i="13"/>
  <c r="AC96" i="13"/>
  <c r="AC97" i="13"/>
  <c r="AC98" i="13"/>
  <c r="AC99" i="13"/>
  <c r="AC100" i="13"/>
  <c r="AC101" i="13"/>
  <c r="AE2" i="13"/>
  <c r="AE3" i="13"/>
  <c r="AE4" i="13"/>
  <c r="AE5" i="13"/>
  <c r="AE6" i="13"/>
  <c r="AE7" i="13"/>
  <c r="AE8" i="13"/>
  <c r="AE9" i="13"/>
  <c r="AE10" i="13"/>
  <c r="AE11" i="13"/>
  <c r="AE12" i="13"/>
  <c r="AE13" i="13"/>
  <c r="AE14" i="13"/>
  <c r="AE15" i="13"/>
  <c r="AE16" i="13"/>
  <c r="AE17" i="13"/>
  <c r="AE18" i="13"/>
  <c r="AE19" i="13"/>
  <c r="AE20" i="13"/>
  <c r="AE21" i="13"/>
  <c r="AE22" i="13"/>
  <c r="AE23" i="13"/>
  <c r="AE24" i="13"/>
  <c r="AE25" i="13"/>
  <c r="AE26" i="13"/>
  <c r="AE27" i="13"/>
  <c r="AE28" i="13"/>
  <c r="AE29" i="13"/>
  <c r="AE30" i="13"/>
  <c r="AE31" i="13"/>
  <c r="AE32" i="13"/>
  <c r="AE33" i="13"/>
  <c r="AE34" i="13"/>
  <c r="AE35" i="13"/>
  <c r="AE36" i="13"/>
  <c r="AE37" i="13"/>
  <c r="AE38" i="13"/>
  <c r="AE39" i="13"/>
  <c r="AE40" i="13"/>
  <c r="AE41" i="13"/>
  <c r="AE42" i="13"/>
  <c r="AE43" i="13"/>
  <c r="AE44" i="13"/>
  <c r="AE45" i="13"/>
  <c r="AE46" i="13"/>
  <c r="AE47" i="13"/>
  <c r="AE48" i="13"/>
  <c r="AE49" i="13"/>
  <c r="AE50" i="13"/>
  <c r="AE51" i="13"/>
  <c r="AE52" i="13"/>
  <c r="AE53" i="13"/>
  <c r="AE54" i="13"/>
  <c r="AE55" i="13"/>
  <c r="AE56" i="13"/>
  <c r="AE57" i="13"/>
  <c r="AE58" i="13"/>
  <c r="AE59" i="13"/>
  <c r="AE60" i="13"/>
  <c r="AE61" i="13"/>
  <c r="AE62" i="13"/>
  <c r="AE63" i="13"/>
  <c r="AE64" i="13"/>
  <c r="AE65" i="13"/>
  <c r="AE66" i="13"/>
  <c r="AE67" i="13"/>
  <c r="AE68" i="13"/>
  <c r="AE69" i="13"/>
  <c r="AE70" i="13"/>
  <c r="AE71" i="13"/>
  <c r="AE72" i="13"/>
  <c r="AE73" i="13"/>
  <c r="AE74" i="13"/>
  <c r="AE75" i="13"/>
  <c r="AE76" i="13"/>
  <c r="AE77" i="13"/>
  <c r="AE78" i="13"/>
  <c r="AE79" i="13"/>
  <c r="AE80" i="13"/>
  <c r="AE81" i="13"/>
  <c r="AE82" i="13"/>
  <c r="AE83" i="13"/>
  <c r="AE84" i="13"/>
  <c r="AE85" i="13"/>
  <c r="AE86" i="13"/>
  <c r="AE87" i="13"/>
  <c r="AE88" i="13"/>
  <c r="AE89" i="13"/>
  <c r="AE90" i="13"/>
  <c r="AE91" i="13"/>
  <c r="AE92" i="13"/>
  <c r="AE93" i="13"/>
  <c r="AE94" i="13"/>
  <c r="AE95" i="13"/>
  <c r="AE96" i="13"/>
  <c r="AE97" i="13"/>
  <c r="AE98" i="13"/>
  <c r="AE99" i="13"/>
  <c r="AE100" i="13"/>
  <c r="AE101" i="13"/>
  <c r="I2" i="18"/>
  <c r="N2" i="18" s="1"/>
  <c r="AD28" i="44" l="1"/>
  <c r="AE28" i="44" s="1"/>
  <c r="AA10" i="37"/>
  <c r="AA14" i="37"/>
  <c r="AA18" i="37"/>
  <c r="W10" i="45"/>
  <c r="W12" i="45"/>
  <c r="V7" i="45"/>
  <c r="W7" i="45" s="1"/>
  <c r="W19" i="45"/>
  <c r="W20" i="45"/>
  <c r="W11" i="45"/>
  <c r="W14" i="45"/>
  <c r="W15" i="45"/>
  <c r="W21" i="45"/>
  <c r="W17" i="45"/>
  <c r="W18" i="45"/>
  <c r="W34" i="44"/>
  <c r="W38" i="44"/>
  <c r="V29" i="44"/>
  <c r="W29" i="44" s="1"/>
  <c r="AD29" i="44"/>
  <c r="AE29" i="44" s="1"/>
  <c r="AA34" i="44"/>
  <c r="W31" i="44"/>
  <c r="W35" i="44"/>
  <c r="AA31" i="44"/>
  <c r="AA35" i="44"/>
  <c r="AA32" i="44"/>
  <c r="AA33" i="44"/>
  <c r="W32" i="44"/>
  <c r="W36" i="44"/>
  <c r="AA36" i="44"/>
  <c r="V28" i="44"/>
  <c r="W28" i="44" s="1"/>
  <c r="W33" i="44"/>
  <c r="W37" i="44"/>
  <c r="Z28" i="44"/>
  <c r="AA28" i="44" s="1"/>
  <c r="AA37" i="44"/>
  <c r="W30" i="30"/>
  <c r="AA12" i="37"/>
  <c r="W25" i="38"/>
  <c r="W23" i="38"/>
  <c r="AD9" i="37"/>
  <c r="W24" i="38"/>
  <c r="W26" i="38"/>
  <c r="W22" i="38"/>
  <c r="V20" i="38"/>
  <c r="W20" i="38" s="1"/>
  <c r="AB12" i="20"/>
  <c r="AA11" i="20"/>
  <c r="AB11" i="20" s="1"/>
  <c r="D144" i="4"/>
  <c r="D149" i="4"/>
  <c r="D166" i="2"/>
  <c r="D142" i="4"/>
  <c r="D146" i="4"/>
  <c r="D161" i="18"/>
  <c r="I161" i="18" s="1"/>
  <c r="D164" i="2"/>
  <c r="D141" i="2"/>
  <c r="D151" i="2"/>
  <c r="D147" i="4"/>
  <c r="D153" i="4"/>
  <c r="D143" i="4"/>
  <c r="D161" i="4"/>
  <c r="D150" i="4"/>
  <c r="V6" i="28"/>
  <c r="W6" i="28" s="1"/>
  <c r="W29" i="30"/>
  <c r="V28" i="30"/>
  <c r="W28" i="30" s="1"/>
  <c r="W33" i="30"/>
  <c r="W34" i="30"/>
  <c r="W35" i="30"/>
  <c r="W25" i="30"/>
  <c r="W15" i="28"/>
  <c r="W12" i="28"/>
  <c r="W11" i="28"/>
  <c r="W10" i="28"/>
  <c r="AA14" i="28"/>
  <c r="W14" i="28"/>
  <c r="AA15" i="28"/>
  <c r="W13" i="28"/>
  <c r="Z6" i="28"/>
  <c r="AA6" i="28" s="1"/>
  <c r="AD7" i="28"/>
  <c r="AE7" i="28" s="1"/>
  <c r="AD6" i="28"/>
  <c r="AE6" i="28" s="1"/>
  <c r="V7" i="28"/>
  <c r="W7" i="28" s="1"/>
  <c r="W9" i="28"/>
  <c r="W16" i="28"/>
  <c r="V19" i="38"/>
  <c r="W19" i="38" s="1"/>
  <c r="W27" i="30"/>
  <c r="W32" i="30"/>
  <c r="W31" i="30"/>
  <c r="V23" i="30"/>
  <c r="W36" i="30"/>
  <c r="W26" i="30"/>
  <c r="AB17" i="20"/>
  <c r="Q2" i="20"/>
  <c r="AB16" i="20"/>
  <c r="AB18" i="20"/>
  <c r="AA15" i="37"/>
  <c r="AD10" i="37"/>
  <c r="AA16" i="37"/>
  <c r="AA13" i="37"/>
  <c r="AA17" i="37"/>
  <c r="V9" i="37"/>
  <c r="W9" i="37" s="1"/>
  <c r="Z9" i="37"/>
  <c r="AA9" i="37" s="1"/>
  <c r="V10" i="37"/>
  <c r="W10" i="37" s="1"/>
  <c r="W27" i="38"/>
  <c r="W28" i="38"/>
  <c r="W29" i="38"/>
  <c r="W33" i="38"/>
  <c r="W30" i="38"/>
  <c r="W31" i="38"/>
  <c r="W32" i="38"/>
  <c r="W13" i="45"/>
  <c r="AE34" i="44"/>
  <c r="AE31" i="44"/>
  <c r="AE35" i="44"/>
  <c r="AE32" i="44"/>
  <c r="AE36" i="44"/>
  <c r="AE33" i="44"/>
  <c r="AE37" i="44"/>
  <c r="AA29" i="44"/>
  <c r="W12" i="37"/>
  <c r="W16" i="37"/>
  <c r="W13" i="37"/>
  <c r="W17" i="37"/>
  <c r="W14" i="37"/>
  <c r="W18" i="37"/>
  <c r="W15" i="37"/>
  <c r="W19" i="37"/>
  <c r="AD8" i="37"/>
  <c r="AE15" i="37" s="1"/>
  <c r="AA7" i="28"/>
  <c r="AA9" i="28"/>
  <c r="AA10" i="28"/>
  <c r="AA11" i="28"/>
  <c r="AA13" i="28"/>
  <c r="AA12" i="28"/>
  <c r="AE11" i="28"/>
  <c r="AE10" i="28"/>
  <c r="AE13" i="28"/>
  <c r="AE14" i="28"/>
  <c r="AE9" i="28"/>
  <c r="AE12" i="28"/>
  <c r="AE15" i="28"/>
  <c r="Q26" i="20"/>
  <c r="R7" i="18"/>
  <c r="W14" i="18"/>
  <c r="S15" i="18"/>
  <c r="Z5" i="18"/>
  <c r="AA13" i="18" s="1"/>
  <c r="N161" i="18" l="1"/>
  <c r="V12" i="18"/>
  <c r="W12" i="18" s="1"/>
  <c r="Z12" i="18"/>
  <c r="AA12" i="18" s="1"/>
  <c r="R12" i="18"/>
  <c r="S12" i="18" s="1"/>
  <c r="V22" i="30"/>
  <c r="W22" i="30" s="1"/>
  <c r="W23" i="30"/>
  <c r="AA6" i="20"/>
  <c r="AB6" i="20" s="1"/>
  <c r="AA5" i="20"/>
  <c r="AB5" i="20" s="1"/>
  <c r="AE14" i="37"/>
  <c r="AE17" i="37"/>
  <c r="AE16" i="37"/>
  <c r="AE10" i="37"/>
  <c r="AE18" i="37"/>
  <c r="AE9" i="37"/>
  <c r="AE13" i="37"/>
  <c r="AE12" i="37"/>
  <c r="W10" i="18"/>
  <c r="W13" i="18"/>
  <c r="S10" i="18"/>
  <c r="S16" i="18"/>
  <c r="W11" i="18"/>
  <c r="W15" i="18"/>
  <c r="W9" i="18"/>
  <c r="W7" i="18"/>
  <c r="S14" i="18"/>
  <c r="S9" i="18"/>
  <c r="S13" i="18"/>
  <c r="S11" i="18"/>
  <c r="AA14" i="18"/>
  <c r="AA11" i="18"/>
  <c r="AA10" i="18"/>
  <c r="AA9" i="18"/>
  <c r="AA15" i="18"/>
  <c r="S7" i="18"/>
  <c r="R6" i="18" l="1"/>
  <c r="S6" i="18" s="1"/>
  <c r="Z7" i="18"/>
  <c r="AA7" i="18" s="1"/>
  <c r="V6" i="18"/>
  <c r="W6" i="18" s="1"/>
  <c r="Z6" i="18"/>
  <c r="AA6"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tc={B84E6948-E8D3-4263-A980-6A7747F31C83}</author>
  </authors>
  <commentList>
    <comment ref="A2" authorId="0" shapeId="0" xr:uid="{B84E6948-E8D3-4263-A980-6A7747F31C83}">
      <text>
        <t>[Threaded comment]
Your version of Excel allows you to read this threaded comment; however, any edits to it will get removed if the file is opened in a newer version of Excel. Learn more: https://go.microsoft.com/fwlink/?linkid=870924
Comment:
    The study have a industrial fous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tc={A8F69233-44E2-4D1A-BFC7-10F67481D66B}</author>
  </authors>
  <commentList>
    <comment ref="O38" authorId="0" shapeId="0" xr:uid="{A8F69233-44E2-4D1A-BFC7-10F67481D66B}">
      <text>
        <t xml:space="preserve">[Threaded comment]
Your version of Excel allows you to read this threaded comment; however, any edits to it will get removed if the file is opened in a newer version of Excel. Learn more: https://go.microsoft.com/fwlink/?linkid=870924
Comment:
    Unsure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tc={A04AF965-84B7-4B2A-B9B2-D2949A162F83}</author>
  </authors>
  <commentList>
    <comment ref="A1" authorId="0" shapeId="0" xr:uid="{A04AF965-84B7-4B2A-B9B2-D2949A162F83}">
      <text>
        <t>[Threaded comment]
Your version of Excel allows you to read this threaded comment; however, any edits to it will get removed if the file is opened in a newer version of Excel. Learn more: https://go.microsoft.com/fwlink/?linkid=870924
Comment:
    Filtering: only between 2016-2026, pages &gt;=5 OR 0 (num pages wasnt included), and no duplicates from previous screenings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0956D2-A17A-46B0-847C-6234E1F84106}" keepAlive="1" name="Query - acm" description="Connection to the 'acm' query in the workbook." type="5" refreshedVersion="8" background="1" saveData="1">
    <dbPr connection="Provider=Microsoft.Mashup.OleDb.1;Data Source=$Workbook$;Location=acm;Extended Properties=&quot;&quot;" command="SELECT * FROM [acm]"/>
  </connection>
  <connection id="2" xr16:uid="{FAFB3A3D-AFCE-4009-9E07-183646E8B47B}" keepAlive="1" name="Query - acm (2)" description="Connection to the 'acm (2)' query in the workbook." type="5" refreshedVersion="8" background="1" saveData="1">
    <dbPr connection="Provider=Microsoft.Mashup.OleDb.1;Data Source=$Workbook$;Location=&quot;acm (2)&quot;;Extended Properties=&quot;&quot;" command="SELECT * FROM [acm (2)]"/>
  </connection>
  <connection id="3" xr16:uid="{F34793BD-8DBD-4857-ADEA-10ACE0F69630}" keepAlive="1" name="Query - citations-studies" description="Connection to the 'citations-studies' query in the workbook." type="5" refreshedVersion="8" background="1" saveData="1">
    <dbPr connection="Provider=Microsoft.Mashup.OleDb.1;Data Source=$Workbook$;Location=citations-studies;Extended Properties=&quot;&quot;" command="SELECT * FROM [citations-studies]"/>
  </connection>
  <connection id="4" xr16:uid="{80EF6B89-02E9-4B38-B390-E9E395484D8F}" keepAlive="1" name="Query - citations-studies-iter2" description="Connection to the 'citations-studies-iter2' query in the workbook." type="5" refreshedVersion="8" background="1" saveData="1">
    <dbPr connection="Provider=Microsoft.Mashup.OleDb.1;Data Source=$Workbook$;Location=citations-studies-iter2;Extended Properties=&quot;&quot;" command="SELECT * FROM [citations-studies-iter2]"/>
  </connection>
  <connection id="5" xr16:uid="{BD346926-89A9-4D95-9CB9-DADF250343ED}" keepAlive="1" name="Query - citations-studies-iter3" description="Connection to the 'citations-studies-iter3' query in the workbook." type="5" refreshedVersion="8" background="1" saveData="1">
    <dbPr connection="Provider=Microsoft.Mashup.OleDb.1;Data Source=$Workbook$;Location=citations-studies-iter3;Extended Properties=&quot;&quot;" command="SELECT * FROM [citations-studies-iter3]"/>
  </connection>
  <connection id="6" xr16:uid="{AC4EB6C1-ADFC-44CB-947C-15071505C0F3}" keepAlive="1" name="Query - citations-studies-iter4" description="Connection to the 'citations-studies-iter4' query in the workbook." type="5" refreshedVersion="8" background="1" saveData="1">
    <dbPr connection="Provider=Microsoft.Mashup.OleDb.1;Data Source=$Workbook$;Location=citations-studies-iter4;Extended Properties=&quot;&quot;" command="SELECT * FROM [citations-studies-iter4]"/>
  </connection>
  <connection id="7" xr16:uid="{C2DCA6C9-CE8A-404F-A860-8EE4DD980679}" keepAlive="1" name="Query - citations-studies-iter5" description="Connection to the 'citations-studies-iter5' query in the workbook." type="5" refreshedVersion="8" background="1" saveData="1">
    <dbPr connection="Provider=Microsoft.Mashup.OleDb.1;Data Source=$Workbook$;Location=citations-studies-iter5;Extended Properties=&quot;&quot;" command="SELECT * FROM [citations-studies-iter5]"/>
  </connection>
  <connection id="8" xr16:uid="{CADD045D-A2BA-4EDB-AB50-93757D48789E}" keepAlive="1" name="Query - export2026 01 29-08 56 38" description="Connection to the 'export2026 01 29-08 56 38' query in the workbook." type="5" refreshedVersion="8" background="1" saveData="1">
    <dbPr connection="Provider=Microsoft.Mashup.OleDb.1;Data Source=$Workbook$;Location=&quot;export2026 01 29-08 56 38&quot;;Extended Properties=&quot;&quot;" command="SELECT * FROM [export2026 01 29-08 56 38]"/>
  </connection>
  <connection id="9" xr16:uid="{CAE92305-8D2B-4172-93C3-1CB21C0A3CB6}" keepAlive="1" name="Query - export2026 01 29-08 57 10" description="Connection to the 'export2026 01 29-08 57 10' query in the workbook." type="5" refreshedVersion="0" background="1" saveData="1">
    <dbPr connection="Provider=Microsoft.Mashup.OleDb.1;Data Source=$Workbook$;Location=&quot;export2026 01 29-08 57 10&quot;;Extended Properties=&quot;&quot;" command="SELECT * FROM [export2026 01 29-08 57 10]"/>
  </connection>
  <connection id="10" xr16:uid="{142F2CAE-3DE8-40BF-ABAC-66526843F298}" keepAlive="1" name="Query - export2026 02 10-12 43 40" description="Connection to the 'export2026 02 10-12 43 40' query in the workbook." type="5" refreshedVersion="8" background="1" saveData="1">
    <dbPr connection="Provider=Microsoft.Mashup.OleDb.1;Data Source=$Workbook$;Location=&quot;export2026 02 10-12 43 40&quot;;Extended Properties=&quot;&quot;" command="SELECT * FROM [export2026 02 10-12 43 40]"/>
  </connection>
  <connection id="11" xr16:uid="{0483BF0E-C160-44C9-B905-9215E8E6A9DC}" keepAlive="1" name="Query - export2026 02 12-07 04 45" description="Connection to the 'export2026 02 12-07 04 45' query in the workbook." type="5" refreshedVersion="0" background="1" saveData="1">
    <dbPr connection="Provider=Microsoft.Mashup.OleDb.1;Data Source=$Workbook$;Location=&quot;export2026 02 12-07 04 45&quot;;Extended Properties=&quot;&quot;" command="SELECT * FROM [export2026 02 12-07 04 45]"/>
  </connection>
  <connection id="12" xr16:uid="{7AE804AE-533D-4188-A6D4-3BE5CC5964E2}" keepAlive="1" name="Query - newacm" description="Connection to the 'newacm' query in the workbook." type="5" refreshedVersion="0" background="1" saveData="1">
    <dbPr connection="Provider=Microsoft.Mashup.OleDb.1;Data Source=$Workbook$;Location=newacm;Extended Properties=&quot;&quot;" command="SELECT * FROM [newacm]"/>
  </connection>
  <connection id="13" xr16:uid="{5CEAFA9A-495C-41F3-8741-B8965E77ACDA}" keepAlive="1" name="Query - references-studies" description="Connection to the 'references-studies' query in the workbook." type="5" refreshedVersion="8" background="1" saveData="1">
    <dbPr connection="Provider=Microsoft.Mashup.OleDb.1;Data Source=$Workbook$;Location=references-studies;Extended Properties=&quot;&quot;" command="SELECT * FROM [references-studies]"/>
  </connection>
  <connection id="14" xr16:uid="{83492F07-16BB-485E-9AA1-2807ABB08E77}" keepAlive="1" name="Query - references-studies-iter2" description="Connection to the 'references-studies-iter2' query in the workbook." type="5" refreshedVersion="8" background="1" saveData="1">
    <dbPr connection="Provider=Microsoft.Mashup.OleDb.1;Data Source=$Workbook$;Location=references-studies-iter2;Extended Properties=&quot;&quot;" command="SELECT * FROM [references-studies-iter2]"/>
  </connection>
  <connection id="15" xr16:uid="{A2CA2A9A-127D-46B0-BC6B-7899E7E17E64}" keepAlive="1" name="Query - references-studies-iter3" description="Connection to the 'references-studies-iter3' query in the workbook." type="5" refreshedVersion="8" background="1" saveData="1">
    <dbPr connection="Provider=Microsoft.Mashup.OleDb.1;Data Source=$Workbook$;Location=references-studies-iter3;Extended Properties=&quot;&quot;" command="SELECT * FROM [references-studies-iter3]"/>
  </connection>
  <connection id="16" xr16:uid="{D35FC26C-E941-48F9-B3FF-1971C88C4AD5}" keepAlive="1" name="Query - references-studies-iter4" description="Connection to the 'references-studies-iter4' query in the workbook." type="5" refreshedVersion="8" background="1" saveData="1">
    <dbPr connection="Provider=Microsoft.Mashup.OleDb.1;Data Source=$Workbook$;Location=references-studies-iter4;Extended Properties=&quot;&quot;" command="SELECT * FROM [references-studies-iter4]"/>
  </connection>
  <connection id="17" xr16:uid="{4A18813A-A476-4FB0-BDA5-203F1CFCF291}" keepAlive="1" name="Query - references-studies-iter5" description="Connection to the 'references-studies-iter5' query in the workbook." type="5" refreshedVersion="8" background="1" saveData="1">
    <dbPr connection="Provider=Microsoft.Mashup.OleDb.1;Data Source=$Workbook$;Location=references-studies-iter5;Extended Properties=&quot;&quot;" command="SELECT * FROM [references-studies-iter5]"/>
  </connection>
  <connection id="18" xr16:uid="{C83C8A2A-6C28-46B4-822E-CCA6763B69EC}" keepAlive="1" name="Query - scopus_export_Feb 10-2026_62abb5fd-7365-4391-bb25-cabc5b624cc7" description="Connection to the 'scopus_export_Feb 10-2026_62abb5fd-7365-4391-bb25-cabc5b624cc7' query in the workbook." type="5" refreshedVersion="8" background="1" saveData="1">
    <dbPr connection="Provider=Microsoft.Mashup.OleDb.1;Data Source=$Workbook$;Location=&quot;scopus_export_Feb 10-2026_62abb5fd-7365-4391-bb25-cabc5b624cc7&quot;;Extended Properties=&quot;&quot;" command="SELECT * FROM [scopus_export_Feb 10-2026_62abb5fd-7365-4391-bb25-cabc5b624cc7]"/>
  </connection>
  <connection id="19" xr16:uid="{3F1438A0-1BA6-4A1D-9236-C043034B9CCA}" keepAlive="1" name="Query - scopus_export_Feb 12-2026_86c24baa-98df-4994-a54e-3aa4c96bc1ac" description="Connection to the 'scopus_export_Feb 12-2026_86c24baa-98df-4994-a54e-3aa4c96bc1ac' query in the workbook." type="5" refreshedVersion="0" background="1" saveData="1">
    <dbPr connection="Provider=Microsoft.Mashup.OleDb.1;Data Source=$Workbook$;Location=&quot;scopus_export_Feb 12-2026_86c24baa-98df-4994-a54e-3aa4c96bc1ac&quot;;Extended Properties=&quot;&quot;" command="SELECT * FROM [scopus_export_Feb 12-2026_86c24baa-98df-4994-a54e-3aa4c96bc1ac]"/>
  </connection>
  <connection id="20" xr16:uid="{7FD1FEF0-2EBF-421A-AE24-8331C404B19C}" keepAlive="1" name="Query - scopus_export_Feb 9-2026_33fec2e4-70b4-46ed-9270-4f7dad853a32" description="Connection to the 'scopus_export_Feb 9-2026_33fec2e4-70b4-46ed-9270-4f7dad853a32' query in the workbook." type="5" refreshedVersion="0" background="1">
    <dbPr connection="Provider=Microsoft.Mashup.OleDb.1;Data Source=$Workbook$;Location=&quot;scopus_export_Feb 9-2026_33fec2e4-70b4-46ed-9270-4f7dad853a32&quot;;Extended Properties=&quot;&quot;" command="SELECT * FROM [scopus_export_Feb 9-2026_33fec2e4-70b4-46ed-9270-4f7dad853a32]"/>
  </connection>
  <connection id="21" xr16:uid="{646C1C37-6A47-4088-A8BC-509379024DA9}" keepAlive="1" name="Query - scopus_export_Feb 9-2026_37e31f3f-47e0-4d2a-8e7e-aae0422b602c" description="Connection to the 'scopus_export_Feb 9-2026_37e31f3f-47e0-4d2a-8e7e-aae0422b602c' query in the workbook." type="5" refreshedVersion="0" background="1">
    <dbPr connection="Provider=Microsoft.Mashup.OleDb.1;Data Source=$Workbook$;Location=&quot;scopus_export_Feb 9-2026_37e31f3f-47e0-4d2a-8e7e-aae0422b602c&quot;;Extended Properties=&quot;&quot;" command="SELECT * FROM [scopus_export_Feb 9-2026_37e31f3f-47e0-4d2a-8e7e-aae0422b602c]"/>
  </connection>
  <connection id="22" xr16:uid="{243D60D3-4325-4E42-8A9E-82FD6E4A4C31}" keepAlive="1" name="Query - scopus_export_Jan 29-2026_8a614084-9b9f-4394-8c9b-5a152362f81a" description="Connection to the 'scopus_export_Jan 29-2026_8a614084-9b9f-4394-8c9b-5a152362f81a' query in the workbook." type="5" refreshedVersion="8" background="1" saveData="1">
    <dbPr connection="Provider=Microsoft.Mashup.OleDb.1;Data Source=$Workbook$;Location=&quot;scopus_export_Jan 29-2026_8a614084-9b9f-4394-8c9b-5a152362f81a&quot;;Extended Properties=&quot;&quot;" command="SELECT * FROM [scopus_export_Jan 29-2026_8a614084-9b9f-4394-8c9b-5a152362f81a]"/>
  </connection>
</connections>
</file>

<file path=xl/sharedStrings.xml><?xml version="1.0" encoding="utf-8"?>
<sst xmlns="http://schemas.openxmlformats.org/spreadsheetml/2006/main" count="19484" uniqueCount="5714">
  <si>
    <t>Description</t>
  </si>
  <si>
    <t>Identifier</t>
  </si>
  <si>
    <t>Title</t>
  </si>
  <si>
    <t>EC1</t>
  </si>
  <si>
    <t>EC2</t>
  </si>
  <si>
    <t>Inclusion Criterias</t>
  </si>
  <si>
    <t>Motivation</t>
  </si>
  <si>
    <t>Focus on industrial automation/ICS and closed‑loop/real‑time control contexts.</t>
  </si>
  <si>
    <t>The study describes industrial information‑exchange protocols (IC2)</t>
  </si>
  <si>
    <t>Exclusion Criterias</t>
  </si>
  <si>
    <t>The study is not available in full-text (EC1)</t>
  </si>
  <si>
    <t>The study is not available in English (EC2)</t>
  </si>
  <si>
    <t>Unrelated domain - we are interested in automation systems (EC3)</t>
  </si>
  <si>
    <t>Short papers with four pages or less (EC4)</t>
  </si>
  <si>
    <t>Secondary studies, such as other systematic literature reviews (SLRs), systematic mapping studies (SMSs), surveys etc. (EC5)</t>
  </si>
  <si>
    <t>Full proceedings (EC6)</t>
  </si>
  <si>
    <t>Exclude papers whose primary objective is not the experimental or theoretical evaluation of communication protocols, or the improvement of methods used for such evaluations. (EC7)</t>
  </si>
  <si>
    <t>Search Strings</t>
  </si>
  <si>
    <t>Database</t>
  </si>
  <si>
    <t>IEEE</t>
  </si>
  <si>
    <t>Keywords</t>
  </si>
  <si>
    <t>Focus</t>
  </si>
  <si>
    <t>Keyword(s)</t>
  </si>
  <si>
    <t>Industrial Context (IC1)</t>
  </si>
  <si>
    <t>Industrial information-exchange protocols (IC2)</t>
  </si>
  <si>
    <t>Conceptual model for protocol evaluation (IC3)</t>
  </si>
  <si>
    <t>Search string</t>
  </si>
  <si>
    <t>#number matches</t>
  </si>
  <si>
    <t>SCOPUS</t>
  </si>
  <si>
    <t>Authors</t>
  </si>
  <si>
    <t>Author full names</t>
  </si>
  <si>
    <t>Author(s) ID</t>
  </si>
  <si>
    <t>Year</t>
  </si>
  <si>
    <t>Source title</t>
  </si>
  <si>
    <t>Volume</t>
  </si>
  <si>
    <t>Issue</t>
  </si>
  <si>
    <t>Art. No.</t>
  </si>
  <si>
    <t>Page start</t>
  </si>
  <si>
    <t>Page end</t>
  </si>
  <si>
    <t>Cited by</t>
  </si>
  <si>
    <t>DOI</t>
  </si>
  <si>
    <t>Link</t>
  </si>
  <si>
    <t>Abstract</t>
  </si>
  <si>
    <t>Publisher</t>
  </si>
  <si>
    <t>Document Type</t>
  </si>
  <si>
    <t>Publication Stage</t>
  </si>
  <si>
    <t>Open Access</t>
  </si>
  <si>
    <t>Source</t>
  </si>
  <si>
    <t>EID</t>
  </si>
  <si>
    <t>Conference paper</t>
  </si>
  <si>
    <t>Final</t>
  </si>
  <si>
    <t/>
  </si>
  <si>
    <t>Scopus</t>
  </si>
  <si>
    <t>5</t>
  </si>
  <si>
    <t>132</t>
  </si>
  <si>
    <t>Article</t>
  </si>
  <si>
    <t>All Open Access; Gold Open Access</t>
  </si>
  <si>
    <t>Elsevier Ltd</t>
  </si>
  <si>
    <t>Kim, H.; Sim, H.</t>
  </si>
  <si>
    <t>Kim, Hyunwook (59694760000); Sim, Hyun (26421402600)</t>
  </si>
  <si>
    <t>59694760000; 26421402600</t>
  </si>
  <si>
    <t>Edge Computing-Enabled Predictive Maintenance System with Multi-Protocol RTU Integration for Industry 4.0 Applications</t>
  </si>
  <si>
    <t>International Journal on Informatics Visualization</t>
  </si>
  <si>
    <t>9</t>
  </si>
  <si>
    <t>10.62527/joiv.9.6.4976</t>
  </si>
  <si>
    <t>https://www.scopus.com/inward/record.uri?eid=2-s2.0-105027526906&amp;doi=10.62527%2Fjoiv.9.6.4976&amp;partnerID=40&amp;md5=c8ad52735a8eb3b0b35aae665089ca66</t>
  </si>
  <si>
    <t>This paper presents a novel modular Remote Terminal Unit (RTU)-based edge computing architecture for industrial predictive maintenance, addressing critical limitations of cloud-centric approaches in Industry 4.0 environments. The proposed Edge-Fog-Cloud three-tier architecture integrates heterogeneous industrial protocols (RS-485, Modbus RTU/TCP, OPC UA, MQTT) within a unified firmware framework while enabling real-time processing. The system implements a progressive AI model development strategy across three stages: unsupervised anomaly detection using Isolation Forest, pattern recognition with 1D-CNNs, and temporal dependency modelling with bidirectional LSTM networks and attention mechanisms. Experimental validation in industrial testbeds demonstrated significant performance improvements: 78% reduction in response latency (from 312ms to 67ms), 46% decrease in network traffic, and optimal F1-scores of 0.974 for anomaly detection. The system successfully predicted 83% of equipment failures with 30–90-minute advance warning, achieving 31.5% reduction in Mean Time To Repair (MTTR) and 8.3% increase in Overall Equipment Effectiveness (OEE). Economic analysis revealed 192% Return on Investment within the first operational year, with annual cost savings exceeding $214 million through preventive maintenance optimization and downtime reduction. Third-party certification validated 99.43% AI model accuracy and 98.6% communication reliability under industrial conditions. The modular architecture enables incremental deployment, resulting in 35-40% lower implementation costs than commercial solutions, providing a practical framework for Industry 4.0 transformation while maintaining operational continuity and cost-effectiveness. © 2025, Politeknik Negeri Padang. All rights reserved.</t>
  </si>
  <si>
    <t>Politeknik Negeri Padang</t>
  </si>
  <si>
    <t>2-s2.0-105027526906</t>
  </si>
  <si>
    <t>All Open Access; Bronze Open Access</t>
  </si>
  <si>
    <t>Cabaj, K.; Plamowski, S.; Chaber, P.; Ławryńczuk, M.; Marusak, P.; Nebeluk, R.; Wojtulewicz, A.; Zarzycki, K.</t>
  </si>
  <si>
    <t>Cabaj, Krzysztof (23388630300); Plamowski, Sebastian (6504670888); Chaber, Patryk (56741416700); Ławryńczuk, Maciej (13608002800); Marusak, Piotr Marek (6506326495); Nebeluk, Robert (57218190174); Wojtulewicz, Andrzej (57191593903); Zarzycki, Krzysztof (57220280527)</t>
  </si>
  <si>
    <t>23388630300; 6504670888; 56741416700; 13608002800; 6506326495; 57218190174; 57191593903; 57220280527</t>
  </si>
  <si>
    <t>Cyber4OT dataset: Network traces for cyber-security vulnerability evaluation in industrial control systems</t>
  </si>
  <si>
    <t>SoftwareX</t>
  </si>
  <si>
    <t>31</t>
  </si>
  <si>
    <t>102196</t>
  </si>
  <si>
    <t>10.1016/j.softx.2025.102196</t>
  </si>
  <si>
    <t>https://www.scopus.com/inward/record.uri?eid=2-s2.0-105006654218&amp;doi=10.1016%2Fj.softx.2025.102196&amp;partnerID=40&amp;md5=900afda471033df0b4c3c52a15c9d8ff</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</si>
  <si>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 © 2025</t>
  </si>
  <si>
    <t>Elsevier B.V.</t>
  </si>
  <si>
    <t>All Open Access; Gold Open Access; Green Accepted Open Access; Green Open Access</t>
  </si>
  <si>
    <t>2-s2.0-105006654218</t>
  </si>
  <si>
    <t>Boeding, M.; Scalise, P.; Hempel, M.; Sharif, H.; Lopez, J.</t>
  </si>
  <si>
    <t>Boeding, Matthew (57983176400); Scalise, Paul (58847401400); Hempel, Michael (13613793400); Sharif, Hamid R. (7006687005); Lopez, Juan (57199358902)</t>
  </si>
  <si>
    <t>57983176400; 58847401400; 13613793400; 7006687005; 57199358902</t>
  </si>
  <si>
    <t>Exponential Backoff and Its Security Implications for Safety-Critical OT Protocols over TCP/IP Networks</t>
  </si>
  <si>
    <t>Future Internet</t>
  </si>
  <si>
    <t>17</t>
  </si>
  <si>
    <t>286</t>
  </si>
  <si>
    <t>10.3390/fi17070286</t>
  </si>
  <si>
    <t>https://www.scopus.com/inward/record.uri?eid=2-s2.0-105011604765&amp;doi=10.3390%2Ffi17070286&amp;partnerID=40&amp;md5=097d152e2324177364e3fcb17b6ca930</t>
  </si>
  <si>
    <t>The convergence of Operational Technology (OT) and Information Technology (IT) networks has become increasingly prevalent with the growth of Industrial Internet of Things (IIoT) applications. This shift, while enabling enhanced automation, remote monitoring, and data sharing, also introduces new challenges related to communication latency and cybersecurity. Oftentimes, legacy OT protocols were adapted to the TCP/IP stack without an extensive review of the ramifications to their robustness, performance, or safety objectives. To further accommodate the IT/OT convergence, protocol gateways were introduced to facilitate the migration from serial protocols to TCP/IP protocol stacks within modern IT/OT infrastructure. However, they often introduce additional vulnerabilities by exposing traditionally isolated protocols to external threats. This study investigates the security and reliability implications of migrating serial protocols to TCP/IP stacks and the impact of protocol gateways, utilizing two widely used OT protocols: Modbus TCP and DNP3. Our protocol analysis finds a significant safety-critical vulnerability resulting from this migration, and our subsequent tests clearly demonstrate its presence and impact. A multi-tiered testbed, consisting of both physical and emulated components, is used to evaluate protocol performance and the effects of device-specific implementation flaws. Through this analysis of specifications and behaviors during communication interruptions, we identify critical differences in fault handling and the impact on time-sensitive data delivery. The findings highlight how reliance on lower-level IT protocols can undermine OT system resilience, and they inform the development of mitigation strategies to enhance the robustness of industrial communication networks. © 2025 by the authors.</t>
  </si>
  <si>
    <t>Multidisciplinary Digital Publishing Institute (MDPI)</t>
  </si>
  <si>
    <t>2-s2.0-105011604765</t>
  </si>
  <si>
    <t>Rekha, D.; Pavithra, L.</t>
  </si>
  <si>
    <t>Rekha, D. (55612890200); Pavithra, L. (58612847800)</t>
  </si>
  <si>
    <t>55612890200; 58612847800</t>
  </si>
  <si>
    <t>TSCH in Edge IoT: A Comprehensive Survey of Research Challenges</t>
  </si>
  <si>
    <t>Transactions on Emerging Telecommunications Technologies</t>
  </si>
  <si>
    <t>36</t>
  </si>
  <si>
    <t>e70088</t>
  </si>
  <si>
    <t>10.1002/ett.70088</t>
  </si>
  <si>
    <t>https://www.scopus.com/inward/record.uri?eid=2-s2.0-85219515544&amp;doi=10.1002%2Fett.70088&amp;partnerID=40&amp;md5=e62b02d69141f25cfb7a6ff402b299ba</t>
  </si>
  <si>
    <t>Time-slotted channel hopping (TSCH) is a promising approach for efficient communication in Internet of Things (IoT) networks, with its significance extending to the emerging landscape of Edge computing. This survey article investigates TSCH within the framework of IoT, exploring its advantages, challenges, and applications. TSCH divides time into slots and dynamically hops between channels, enabling multiple devices to share the same frequency band while mitigating interference. The study aims to address existing research issues and motivations by providing an innovative methodology for examining TSCH's role in IoT communication. The benefits of TSCH, such as improved reliability, energy efficiency, and scalability, are discussed, alongside the challenges associated with its implementation in IoT networks, including synchronization, channel selection, slot allocation, and the energy-performance trade-off. Various techniques and algorithms proposed in the literature to tackle these challenges are reviewed, offering a comprehensive analysis of their effectiveness. The potential applications of TSCH in domains like smart homes, industrial automation, smart grids, and healthcare are explored, with a focus on the unique requirements and characteristics of each domain. How TSCH can effectively address the communication needs of these applications is highlighted. Performance evaluation of TSCH in IoT networks is presented through a review of existing studies, simulation models, and experimental deployments. Key performance metrics, such as packet delivery ratio, latency, energy consumption, and network capacity, are discussed. The paper concludes by summarizing the key findings and emphasizing TSCH's impact on IoT communication protocols. This paper serves as a valuable resource for researchers and practitioners involved in IoT communications, providing insights into TSCH's benefits, challenges, and applications in IoT networks. © 2025 John Wiley &amp; Sons Ltd.</t>
  </si>
  <si>
    <t>John Wiley and Sons Inc</t>
  </si>
  <si>
    <t>2-s2.0-85219515544</t>
  </si>
  <si>
    <t>Maurya, P.; Hazra, A.; Kalita, A.</t>
  </si>
  <si>
    <t>Maurya, Poonam (57219938532); Hazra, Abhishek (57203914210); Kalita, Alakesh (57191620748)</t>
  </si>
  <si>
    <t>57219938532; 57203914210; 57191620748</t>
  </si>
  <si>
    <t>Unleashing the Potential of Industrial IoT and Industry 5.0</t>
  </si>
  <si>
    <t>IEEE Engineering Management Review</t>
  </si>
  <si>
    <t>10.1109/EMR.2025.3644409</t>
  </si>
  <si>
    <t>https://www.scopus.com/inward/record.uri?eid=2-s2.0-105025683659&amp;doi=10.1109%2FEMR.2025.3644409&amp;partnerID=40&amp;md5=2a7e15e2d7817f24dcd8b3a16ed4ffe8</t>
  </si>
  <si>
    <t>The transition to Industry 5.0 emphasizes the need and importance of human–machine collaboration, driving the demand for intelligent Internet of Things (IoT) and communication protocols. This paper examines the essential prerequisites for Industry 5.0, evaluates the existing constraints of IoT communication protocols, and highlights the requirements for industrial convergence. Specifically, the article focuses on and discusses the role of IoT protocols and standards in realizing the key objectives of Industry 5.0 over Industry 4.0. In addition, it outlines a human-centric Industry 5.0 reference architecture designed to support managers and decision-makers through real-time data visibility, predictive maintenance insights, and resource optimization. To this end, we introduce an edge-enabled Industry 5.0 reference architecture and use cases, particularly emphasizing the enhancement of human–machine interaction. This paper also examines the 6TiSCH (IPv6 over the Time-Slotted Channel Hopping mode of IEEE 802.15.4e) wireless network protocol, focusing on its performance evaluation, prospective advantages, and upcoming advancements. Finally, several open research challenges and managerial implications are discussed to achieve Industry 5.0 resolution. © 1973-2011 IEEE.</t>
  </si>
  <si>
    <t>Institute of Electrical and Electronics Engineers Inc.</t>
  </si>
  <si>
    <t>aip</t>
  </si>
  <si>
    <t>2-s2.0-105025683659</t>
  </si>
  <si>
    <t>Springer Science and Business Media Deutschland GmbH</t>
  </si>
  <si>
    <t>Satyanarayana, S.; Gupta, N.S.; Sena, P.V.; Chari, K.K.; Aleem Pasha, M.; Rambabu, B.</t>
  </si>
  <si>
    <t>Satyanarayana, Nimmala (57202045532); Gupta, Nukala Sujata (58717728700); Sena, P. Vasanth (58882667700); Chari, K. Koteswara (57202049676); Aleem Pasha, Md A. (57477285700); Rambabu, Bandi (57210586885)</t>
  </si>
  <si>
    <t>57202045532; 58717728700; 58882667700; 57202049676; 57477285700; 57210586885</t>
  </si>
  <si>
    <t>Energy-Efficient Wireless Sensor Networks Optimization using Deep Q-Networks for Smart Energy Applications</t>
  </si>
  <si>
    <t>10.1109/ICTMIM65579.2025.10988386</t>
  </si>
  <si>
    <t>https://www.scopus.com/inward/record.uri?eid=2-s2.0-105007997515&amp;doi=10.1109%2FICTMIM65579.2025.10988386&amp;partnerID=40&amp;md5=8e35ab997c1069fc3d744e435c054e16</t>
  </si>
  <si>
    <t>Energy efficiency poses a significant difficulty in Wireless Sensor Networks (WSNs), especially within smart energy applications like smart grids, energy monitoring, and predictive maintenance. This study presents an adaptive optimization approach based on reinforcement learning utilizing Deep Q-Networks (DQN) to improve energy efficiency in Wireless Sensor Networks (WSNs) through the dynamic adjustment of transmission power and routing algorithms. The suggested model is trained and assessed utilizing the LEACH (Low-Energy Adaptive Clustering Hierarchy) dataset within a simulated NS-3 and MATLAB environment. The simulation configuration comprises 100 to 500 sensor nodes distributed inside a 100m x 100m region, each with differing energy limitations, utilizing the IEEE 802.15.4(Zigbee) communication protocol. The performance evaluation is carried out under varying traffic loads and network density, contrasting the proposed DQN-based optimization with classic LEACH, GA-based clustering, and Q-learning models. The results indicate a 27.5% enhancement in network longevity relative to LEACH, a 21.8% decrease in energy consumption per node, an 18.3% advancement in packet delivery ratio, and a 16.7% reduction in end-to-end latency, hence providing dependable data transfer. The findings underscore the efficacy of reinforcement learning in prolonging the lifespan of wireless sensor networks and enhancing energy efficiency, rendering it exceptionally appropriate for practical smart energy applications, including power grid monitoring, industrial IoT, and renewable energy management. The proposed DQN-based optimization dynamically adjusts transmission power and routing strategies, resulting in significant energy savings and improved network performance. © 2025 IEEE.</t>
  </si>
  <si>
    <t>2-s2.0-105007997515</t>
  </si>
  <si>
    <t>IEEE Transactions on Industrial Informatics</t>
  </si>
  <si>
    <t>21</t>
  </si>
  <si>
    <t>IEEE Computer Society</t>
  </si>
  <si>
    <t>Kumar, P.; Mullick, S.; Das, R.; Nandi, A.; Banerjee, I.</t>
  </si>
  <si>
    <t>Kumar, Pradeep (58536607100); Mullick, Suvrajit (59424343300); Das, Rajdeep (59140869000); Nandi, Ayushman (59424303700); Banerjee, Indrajit (23388399200)</t>
  </si>
  <si>
    <t>58536607100; 59424343300; 59140869000; 59424303700; 23388399200</t>
  </si>
  <si>
    <t>IoTForge Pro: A Security Testbed for Generating Intrusion Dataset for Industrial IoT</t>
  </si>
  <si>
    <t>IEEE Internet of Things Journal</t>
  </si>
  <si>
    <t>12</t>
  </si>
  <si>
    <t>10.1109/JIOT.2024.3501017</t>
  </si>
  <si>
    <t>https://www.scopus.com/inward/record.uri?eid=2-s2.0-105001583142&amp;doi=10.1109%2FJIOT.2024.3501017&amp;partnerID=40&amp;md5=a02dcc28121dfa2519d835e9cbf27b20</t>
  </si>
  <si>
    <t>The necessity for strong security measures to fend off cyberattacks has increased due to the growing use of industrial Internet of Things (IIoT) technologies. This research introduces IoTForge Pro, a comprehensive security testbed designed to generate a diverse and extensive intrusion dataset for IIoT environments. The testbed simulates various IIoT scenarios, incorporating network topologies and communication protocols to create realistic attack vectors and normal traffic patterns. The generated dataset, named ForgeIIOT, includes various attack types, such as denial-of-service, man-in-the-middle, ransomware, wildcard abuse, and malware-based intrusions, providing a valuable resource for developing and evaluating intrusion detection systems (IDSs). Additionally, we apply advanced machine learning techniques to analyze the ForgeIIOT dataset, demonstrating the effectiveness of different models in identifying and classifying various types of cyberattacks. Our experimental results highlight the potential of machine learning algorithms in enhancing the security of IIoT systems by accurately detecting anomalies and malicious activities. This research contributes to the field by offering a rich dataset and a robust framework for testing and improving IDS for IIoT, ultimately aiming to strengthen the cybersecurity posture of industrial networks. © 2014 IEEE.</t>
  </si>
  <si>
    <t>2-s2.0-105001583142</t>
  </si>
  <si>
    <t>Moulika, G.; Ponnusamy, P.</t>
  </si>
  <si>
    <t>Moulika, G. (57802290300); Ponnusamy, Palanisamy (19934058300)</t>
  </si>
  <si>
    <t>57802290300; 19934058300</t>
  </si>
  <si>
    <t>Simulation and modeling of a robust cybersecurity system for next-generation manufacturing execution</t>
  </si>
  <si>
    <t>Engineering Research Express</t>
  </si>
  <si>
    <t>6</t>
  </si>
  <si>
    <t>045425</t>
  </si>
  <si>
    <t>10.1088/2631-8695/ad8ff2</t>
  </si>
  <si>
    <t>https://www.scopus.com/inward/record.uri?eid=2-s2.0-85213324215&amp;doi=10.1088%2F2631-8695%2Fad8ff2&amp;partnerID=40&amp;md5=7f4a099eae258d727fe49edc9c0f75cf</t>
  </si>
  <si>
    <t>This research presents a simulation focusing on the integration of a dynamic and robust cybersecurity framework into a manufacturing execution system (MES). This research aims to address cyber security vulnerabilities inherent in manufacturing execution systems (MES). Production implementation systems commonly use various communication protocols, including RS232, IPv4, IPv6, PROFIBUS, and MODBUS. Recent manufacturing implementation systems provide a framework for separating industrial control system networks from corporate enterprise networks and the Internet. Production implementation systems strengthen cyber security as a result. However, when corporate networks and industrial control systems collaborate, cyber security becomes crucial. This process poses significant security risks that can compromise integrity and data confidentiality. This study aims to identify and mitigate gateway vulnerabilities, establish a cyber-defense framework, emphasize standardization of communication protocols, highlight its unique advantages, and benchmark the proposed method against existing cyber security solutions. The design of cyber resilience in manufacturing systems encompasses the systems’ capacity to anticipate, address, and recover from cyber threats, all while preserving operational integrity. Mathematical modeling strengthens security by exploring vulnerabilities in various control and communication protocols like PLC, SCADA, DCS, RS232, IPv4, IPv6, PROFIBUS, and MODBUS. The study reveals that the analysis of data can safeguard systems against potential attacks, given the unique security implications of each protocol. This research proposes that simple processes and mathematical models can enhance cyber security, despite the existence of various procedures. We propose mathematical models that establish functional relationships to forecast computer behavior, enhance performance, and underscore the crucial role of standardized communication protocols. We develop and investigate a mathematical model. We develop and investigate a mathematical model that takes into account the presence of various security devices, including firewall configurations, encryption systems, and access control systems. We design and propose a mathematical model and a dynamic system dynamics equation that align with the real-time conditions of the MES. The dynamic system dynamics equation determines a security metric based on specific parameters. Passing the base threshold triggers the transaction deletion logic, exposing the proactive event for security breaches. This research suggests designing and exploring MES automation with the goal of ensuring seamless service, implementing cyber security response mechanisms swiftly, and minimizing response time. The process flow diagram in figure 1 shows a structured approach to a research paper that begins with model development to create a conceptual system representation. A functional analysis follows, assessing organizational needs and objectives as well as the implementation process, which includes the framework proposal stage and tool selection. Among these, the performance evaluation entails measuring the model’s performance using established metrics, driving the MES system through dynamic response, monitoring its behavior, and making changes based on feedback. © 2024 IOP Publishing Ltd. All rights, including for text and data mining, AI training, and similar technologies, are reserved.</t>
  </si>
  <si>
    <t>Institute of Physics</t>
  </si>
  <si>
    <t>2-s2.0-85213324215</t>
  </si>
  <si>
    <t>Upadhyay, D.; Ghosh, S.; Ohno, H.; Zaman, M.; Sampalli, S.</t>
  </si>
  <si>
    <t>Upadhyay, Darshana (56594633100); Ghosh, Sagarika (57213865137); Ohno, Hiroyuki (35868047500); Zaman, Marzia B. (36476855000); Sampalli, Srinivas (59157672300)</t>
  </si>
  <si>
    <t>56594633100; 57213865137; 35868047500; 36476855000; 59157672300</t>
  </si>
  <si>
    <t>Securing industrial control systems: Developing a SCADA/IoT test bench and evaluating lightweight cipher performance on hardware simulator</t>
  </si>
  <si>
    <t>International Journal of Critical Infrastructure Protection</t>
  </si>
  <si>
    <t>47</t>
  </si>
  <si>
    <t>100705</t>
  </si>
  <si>
    <t>10.1016/j.ijcip.2024.100705</t>
  </si>
  <si>
    <t>https://www.scopus.com/inward/record.uri?eid=2-s2.0-85202298239&amp;doi=10.1016%2Fj.ijcip.2024.100705&amp;partnerID=40&amp;md5=53fb13e42a6a90570a0d9ac059750897</t>
  </si>
  <si>
    <t>This paper addresses the critical need for enhancing security in Supervisory Control and Data Acquisition (SCADA) networks within Industrial Control Systems (ICSs) to protect the industrial processes from cyber-attacks. The purpose of our work is to propose and evaluate lightweight security measures to safeguard critical infrastructure resources. The scope of our effort involves simulating a secure SCADA/IoT-based hardware test bench for ICSs, utilizing Modbus and MQTT communication protocols. Through case studies in remote servo motor control, water distribution systems, and power system voltage level indicators, vulnerabilities such as Denial of Service (DoS) and Man-in-The-Middle (MiTM) attacks are identified, and security recommendations are provided. To execute our work, we deploy lightweight ciphers such as Prime Counter &amp; Hash Chaining (PCHC) and Ascon algorithm with Compression Rate (ACR) for secure information exchange between the plant floor and the control center. Evaluation of these ciphers on Raspberry Pi focuses on execution speed and memory utilization. Additionally, a comparison with the AGA-12 protocol standard for SCADA networks is conducted to underscore the efficacy of the proposed security measures. Our findings include the identification of SCADA network vulnerabilities and the proposal of lightweight security measures to mitigate risks. Performance evaluation of the proposed ciphers on Raspberry Pi demonstrates their effectiveness, emphasizing the importance of deploying such measures to ensure resilience against cyber threats in SCADA environments. © 2024 The Author(s)</t>
  </si>
  <si>
    <t>All Open Access; Hybrid Gold Open Access</t>
  </si>
  <si>
    <t>2-s2.0-85202298239</t>
  </si>
  <si>
    <t>A Model-based Approach for Assessing the Security of Cyber-Physical Systems</t>
  </si>
  <si>
    <t>10.1145/3664476.3670470</t>
  </si>
  <si>
    <t>Association for Computing Machinery</t>
  </si>
  <si>
    <t>All Open Access; Green Accepted Open Access; Green Open Access</t>
  </si>
  <si>
    <t>Freitas, L.; Pereira, F.; Lopes, H.; Lima, A.; Marujo, P.; Ottaviano, E.; Machado, J.</t>
  </si>
  <si>
    <t>57540862800; 55821740000; 57219449834; 55554225800; 58985406000; 6603447658; 55936466500</t>
  </si>
  <si>
    <t>OPC-UA in interoperability - a performance comparative testing</t>
  </si>
  <si>
    <t>IFAC-PapersOnLine</t>
  </si>
  <si>
    <t>58</t>
  </si>
  <si>
    <t>10.1016/j.ifacol.2024.08.127</t>
  </si>
  <si>
    <t>https://www.scopus.com/inward/record.uri?eid=2-s2.0-85206150524&amp;doi=10.1016%2Fj.ifacol.2024.08.127&amp;partnerID=40&amp;md5=97ea7299061d965d7059899169a98377</t>
  </si>
  <si>
    <t>Interoperability is considered one of the main obstacles to the fully adoption of Industry4.0. Reference Architectures, like RAMI4.0, considering normal operation and maintenance of industrial equipment, paved the way to break that interoperability barrier and OPC-UA, in this context, is the reference communication protocol. This paper explores findings when performing a performance comparative study between OPC-UA and MQTT in an industrial application. The results shows that a lighter protocol brings advantages to direct applications when the data needs to be delivered fast and without a specific focus on the data structure. © © 2024 The Authors.</t>
  </si>
  <si>
    <t>2-s2.0-85206150524</t>
  </si>
  <si>
    <t>Aquilina, J.; Xuereb, P.A.; Francalanza, E.; Mallia, J.; Refalo, P.</t>
  </si>
  <si>
    <t>59260836700; 57202908592; 55303850800; 58512888100; 6508272427</t>
  </si>
  <si>
    <t>A Comparative Analysis of Application Layer Protocols Within an Industrial Internet of Things Monitoring System</t>
  </si>
  <si>
    <t>10.1109/MN60932.2024.10615777</t>
  </si>
  <si>
    <t>https://www.scopus.com/inward/record.uri?eid=2-s2.0-85201310637&amp;doi=10.1109%2FMN60932.2024.10615777&amp;partnerID=40&amp;md5=d9af82e5e178559913b6ae36bc11123b</t>
  </si>
  <si>
    <t>The Internet of Things (IoT) involves a large number of devices communicating information to each other for a number of use cases such as a monitoring systems for leakages within a pneumatic system. A critical decision when designing such a system is the selection of an appropriate application layer protocol from the plethora of options that are available. Many studies have been done to facilitate this decision, but in this paper it is argued that the results obtained by such studies may have limited applicability to an industrial scenario. Once this argument is established, the paper expands on the experimental setup designed to rectify the methodological errors present in previous studies, reports the obtained results, and highlights notable discrepancies between them and the results reported in previous studies. Based on the obtained results, it is suggested that when lower transfer times are a priority, the Message queuing Telemetry Transport (MQTT) protocol with a quality of service (QoS) level of 0 ought to be used, while Constrained Application Protocol (CoAP) with non-confirmable messages may be the better choice in scenarios with constrained bandwidth requirements. © 2024 IEEE.</t>
  </si>
  <si>
    <t>2-s2.0-85201310637</t>
  </si>
  <si>
    <t>Guarino, S.; Faramondi, L.; Oliva, G.; del Prete, E.; Setola, R.</t>
  </si>
  <si>
    <t>Guarino, Simone (57210821199); Faramondi, Luca (56200461500); Oliva, Gabriele (35194434900); del Prete, Ernesto (55213990800); Setola, R. (6603445785)</t>
  </si>
  <si>
    <t>57210821199; 56200461500; 35194434900; 55213990800; 6603445785</t>
  </si>
  <si>
    <t>Holistic Risk Assessment in Industrial Control Systems: Combining Multiple Bayesian Networks with Multi-Criteria Decision Making</t>
  </si>
  <si>
    <t>10.1109/MED61351.2024.10566260</t>
  </si>
  <si>
    <t>https://www.scopus.com/inward/record.uri?eid=2-s2.0-85198229214&amp;doi=10.1109%2FMED61351.2024.10566260&amp;partnerID=40&amp;md5=e065dd59293d55156cdd9e2f127f92e9</t>
  </si>
  <si>
    <t>In recent years, the increase in cyber-attacks on Industrial Control Systems (ICS) due to open industrial protocols has highlighted the vulnerability of critical infras-tructures to such threats. Notable incidents like Stuxnet and BlackEnergy3 have demonstrated the potential for significant operational disruptions. Such a new situation calls for a successful risk assessment approach that can address the multifaceted nature of cyber threats. Addressing such need, this paper in-troduces a novel holistic risk assessment framework combining Bayesian Networks (BNs) with Multi-Criteria Decision Making (MCDM) to compute and integrate heterogeneous risk values into a single, comprehensive risk metric. In more detail, a set of heterogeneous risk metrics, derived by resorting to an array of risk-specific BNs, is combined through the Incomplete Analytic Hierarchy Process (AHP) technique. Briefly, a set of experts is asked to compare the relevance of pairs of risks, and this relative information is translated into a weight associated to each metric. The effectiveness of the proposed risk assessment technique is evaluated against a real hardware-in-the-loop case study in a laboratory environment, namely the Water Distribution Testbed (WDT) for cyber-physical security testing. © 2024 IEEE.</t>
  </si>
  <si>
    <t>2-s2.0-85198229214</t>
  </si>
  <si>
    <t>Li, X.; Wang, C.; Liu, C.; Cao, Y.</t>
  </si>
  <si>
    <t>Li, Xionglong (59558085900); Wang, Chuang (57229741600); Liu, Chaoyang (59721293600); Cao, Yi (59722013800)</t>
  </si>
  <si>
    <t>59558085900; 57229741600; 59721293600; 59722013800</t>
  </si>
  <si>
    <t>Enhancing Industrial Communication Protocol Fuzz Testing Through Virtualization And Intelligent Guidance</t>
  </si>
  <si>
    <t>10.1109/ICFTIC64248.2024.10913239</t>
  </si>
  <si>
    <t>https://www.scopus.com/inward/record.uri?eid=2-s2.0-105001673483&amp;doi=10.1109%2FICFTIC64248.2024.10913239&amp;partnerID=40&amp;md5=4aaaf7481eef89e6b733aec5f64e0ae1</t>
  </si>
  <si>
    <t>Industrial Control Systems (ICS) are pivotal to national critical infrastructure, making their security of utmost importance. However, traditional security testing methods struggle with the complexities of the ICS environment. This paper introduces an innovative fuzz testing approach that integrates virtualization and intelligent guidance to address these challenges [1]. The approach encompasses three key innovations: a virtualized testing environment simulating real-world ICS scenarios for comprehensive, non-disruptive testing; a state tree-guided fuzzing method that systematically explores a broader range of inputs to enhance testing efficiency; and a cross-segment feedback optimization mechanism that improves vulnerability discovery rates by optimizing testing across ICS segments. Our experimental results indicate significant improvements in test coverage and vulnerability discovery efficiency, underscoring the transformative potential of this method in the field of ICS security testing. © 2024 IEEE.</t>
  </si>
  <si>
    <t>2-s2.0-105001673483</t>
  </si>
  <si>
    <t>Liu, K.; Xie, Y.; Xie, S.; Sun, L.</t>
  </si>
  <si>
    <t>Liu, Kaixiang (58722913400); Xie, Yongfang (55609506600); Xie, Shiwen (56193851100); Sun, Linmin (35308519200)</t>
  </si>
  <si>
    <t>58722913400; 55609506600; 56193851100; 35308519200</t>
  </si>
  <si>
    <t>SEAG: A novel dynamic security risk assessment method for industrial control systems with consideration of social engineering</t>
  </si>
  <si>
    <t>Journal of Process Control</t>
  </si>
  <si>
    <t>103131</t>
  </si>
  <si>
    <t>10.1016/j.jprocont.2023.103131</t>
  </si>
  <si>
    <t>https://www.scopus.com/inward/record.uri?eid=2-s2.0-85177847467&amp;doi=10.1016%2Fj.jprocont.2023.103131&amp;partnerID=40&amp;md5=fa81b00a54e05ab0a21a26c09065e990</t>
  </si>
  <si>
    <t>The development of information and communication technology and its wide application in industrial control systems (ICSs) has brought a growing number of security risks to ICSs. Quantifying and dynamically assessing the security risks of ICSs is of great significance to protect ICSs from cyber attacks. Current risk assessment methods, however, do not take into account social engineering (SE) attacks and the potential cyber-to-physical risks associated with cyber attacks. To address these issues, we propose a novel method for the dynamic security risk assessment of ICSs, called SEAG. Specifically, the scheme first extends and modifies three metrics in the common vulnerability scoring system to four metrics for objectively calculating the exploit probability of SE. Then, we construct the attack graph by relying on the knowledge graph that integrates three kinds of knowledge including SE knowledge, common vulnerability knowledge, and control system knowledge. In addition, we combine real time attack data that causes system performance loss with the industrial protocol function code attack detected by the intrusion detection system to accurately quantify the potential cyber-to-physical risks associated with cyber attacks. This method allows us to dynamically assess the security risks of ICSs in real time. Finally, the method is verified by one simulation testbed, which shows the effectiveness and accuracy of the proposed method for dynamic quantitative evaluating security risks of ICSs. © 2023 Elsevier Ltd</t>
  </si>
  <si>
    <t>2-s2.0-85177847467</t>
  </si>
  <si>
    <t>Cabrera, A.J.; Castillo, E.; Escobar-Molero, A.; Cruz-Cozar, J.; Morales, D.P.; Parrilla, L.</t>
  </si>
  <si>
    <t>Cabrera, Antonio J. (57366594000); Castillo, Encarnacion (13404490200); Escobar-Molero, Antonio (57205436697); Cruz-Cozar, Juan (57305392100); Morales, Diego Pedro (18434438000); Parrilla, L. M. (6603015698)</t>
  </si>
  <si>
    <t>57366594000; 13404490200; 57205436697; 57305392100; 18434438000; 6603015698</t>
  </si>
  <si>
    <t>Secure Sensor Prototype Using Hardware Security Modules and Trusted Execution Environments in a Blockchain Application: Wine Logistic Use Case</t>
  </si>
  <si>
    <t>Electronics (Switzerland)</t>
  </si>
  <si>
    <t>2987</t>
  </si>
  <si>
    <t>10.3390/electronics12132987</t>
  </si>
  <si>
    <t>https://www.scopus.com/inward/record.uri?eid=2-s2.0-85164830098&amp;doi=10.3390%2Felectronics12132987&amp;partnerID=40&amp;md5=73e9302aa505a122a96b8ea0f004aaad</t>
  </si>
  <si>
    <t>The security of Industrial Internet of Things (IIoT) systems is a challenge that needs to be addressed immediately, as the increasing use of new communication paradigms and the abundant use of sensors opens up new opportunities to compromise these types of systems. In this sense, technologies such as Trusted Execution Environments (TEEs) and Hardware Security Modules (HSMs) become crucial for adding new layers of security to IIoT systems, especially to edge nodes that incorporate sensors and perform continuous measurements. These technologies, coupled with new communication paradigms such as Blockchain, offer a high reliability, robustness and good interoperability between them. This paper proposes the design of a secure sensor incorporating the above mentioned technologies—HSMs and a TEE—in a hardware device based on a dual-core architecture. Through this combination of technologies, one of the cores collects the data extracted by the sensors and implements the security mechanisms to guarantee the integrity of these data, while the remaining core is responsible for sending these data through the appropriate communication protocol. This proposed approach fits into the Blockchain networks, which act as an Oracle. Finally, to illustrate the application of this concept, a use case applied to wine logistics is described, where this secure sensor is integrated into a Blockchain that collects data from the storage and transport of barrels, and a performance evaluation of the implemented prototype is provided. © 2023 by the authors.</t>
  </si>
  <si>
    <t>2-s2.0-85164830098</t>
  </si>
  <si>
    <t>Applied Sciences (Switzerland)</t>
  </si>
  <si>
    <t>13</t>
  </si>
  <si>
    <t>Koroniotis, N.; Moustafa, N.; Schiliro, F.; Gauravaram, P.; Janicke, H.</t>
  </si>
  <si>
    <t>Koroniotis, Nickolaos (57202213787); Moustafa, Nour (56816761200); Schiliro, Francesco (57193009068); Gauravaram, Praveen (23466918000); Janicke, Helge (14028408400)</t>
  </si>
  <si>
    <t>57202213787; 56816761200; 57193009068; 23466918000; 14028408400</t>
  </si>
  <si>
    <t>The SAir-IIoT Cyber Testbed as a Service: A Novel Cybertwins Architecture in IIoT-Based Smart Airports</t>
  </si>
  <si>
    <t>IEEE Transactions on Intelligent Transportation Systems</t>
  </si>
  <si>
    <t>24</t>
  </si>
  <si>
    <t>10.1109/TITS.2021.3106378</t>
  </si>
  <si>
    <t>https://www.scopus.com/inward/record.uri?eid=2-s2.0-85148571745&amp;doi=10.1109%2FTITS.2021.3106378&amp;partnerID=40&amp;md5=66eb7c09feaa21ebb1838b76557a8586</t>
  </si>
  <si>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 © 2000-2011 IEEE.</t>
  </si>
  <si>
    <t>2-s2.0-85148571745</t>
  </si>
  <si>
    <t>Gorrela, A.; Choudhury, N.; Hazarika, A.; Lloret, J.</t>
  </si>
  <si>
    <t>Gorrela, Alekhya (58984044800); Choudhury, Nikumani (57193604757); Hazarika, Anakhi (57209273202); Lloret, Jaime (23389476400)</t>
  </si>
  <si>
    <t>58984044800; 57193604757; 57209273202; 23389476400</t>
  </si>
  <si>
    <t>Contention Congestion Collision Adaptive Data Rate for LoRaWAN-Based Challenging Industrial IoT</t>
  </si>
  <si>
    <t>10.1109/GCWkshps58843.2023.10465013</t>
  </si>
  <si>
    <t>https://www.scopus.com/inward/record.uri?eid=2-s2.0-85190262940&amp;doi=10.1109%2FGCWkshps58843.2023.10465013&amp;partnerID=40&amp;md5=74abb358b801ff8c3ea68b4e06926f83</t>
  </si>
  <si>
    <t>Industrial IoT (IIoT) environments face several challenges that must be addressed to ensure successful implementation and operation, especially through an effective communication protocol. Long Range Wide Area Network (LoRaWAN) is a low-power protocol facilitating reliable, robust, and long-range communication suited for large, remote, and harsh environment-based IIoT applications. The Adaptive Data Rate (ADR) is a key feature of LoRaWAN that allows sensor devices in such IIoT applications to adjust the data-rate dynamically based on channel conditions. This ensures robust communication and helps increase the sensor device's battery longevity. In harsh IIoT environments, the channel traffic often varies, including high contention and interference, and data loss in such an environment can be disastrous. The current ADR algorithm has several limitations, such as slow convergence time and limited flexibility. Further, the standard ADR technique focuses only on link-level performance and assigns configuration parameters such as Spreading Factor (SF), Transmission Power (TP) to end devices individually, getting overwhelmed in high-traffic networks as observed in large IIoT applications. This results in sub-optimal network performance. Therefore, this paper presents an efficient contention congestion collision-aware ADR (CCC-ADR) that reduces collisions and packet loss. The proposed CCC-ADR initially determines the collision probability and path losses and later clusters the end devices based on the computed path losses. CCC-ADR assigns different SFs to spread the traffic across different channels to reduce contention and collisions, resulting in better network performance. Through simulations and testbed implementation, the performance of CCC-ADR is analyzed in terms of packet success rate, power-consumption, and convergence time. © 2023 IEEE.</t>
  </si>
  <si>
    <t>2-s2.0-85190262940</t>
  </si>
  <si>
    <t>Monges, Y.; Lopez, M.; Flecha, E.; Chaparro, E.</t>
  </si>
  <si>
    <t>Monges, Yessica (58068978700); Lopez, Mario (58069247100); Flecha, Enrique (58855109900); Chaparro, Enrique Ramón (51863190900)</t>
  </si>
  <si>
    <t>58068978700; 58069247100; 58855109900; 51863190900</t>
  </si>
  <si>
    <t>Performance evaluation of MQTT and CoAP communication protocols in IIoT for electrical substations based on the IEC 61850 standard</t>
  </si>
  <si>
    <t>10.1109/INDUSCON58041.2023.10374829</t>
  </si>
  <si>
    <t>https://www.scopus.com/inward/record.uri?eid=2-s2.0-85183663661&amp;doi=10.1109%2FINDUSCON58041.2023.10374829&amp;partnerID=40&amp;md5=695e6407d63f272f1917d20e41612cb2</t>
  </si>
  <si>
    <t>A solution for the integration of Smart Grid communication protocols is proposed through an IEC 61850 - IIoT (Industrial Internet of Things) test bench. The IIoT is one of the main implementations for the fourth industrial revolution, known as Industry 4.0. However, it is known that the incorporation of new technologies in the electricity sector, for monitoring systems and actuation by digital commands, are slower due to the requirements of efficiency and security in data transmission. Some of the most relevant IoT standards are: Constrained Application Protocol (CoAP) and Message Queue Telemetry Transport (MQTT). The implemented test bench allows the management of information through IEC 61850 services, with MQTT/COAP - IIoT messages, in an SF6 gas monitoring application. Likewise, it provides interoperability evaluations of isolated systems that use non-interoperable communication protocols in the substation and, therefore, are not capable of integrating monitoring signals and data into the SCADA system. Communication performance test results for both protocols, MQTT y CoAP, in the implemented IIoT platform and integration performance comparisons for digital substations are presented, showing the efficiency of the proposal. ©2023 IEEE.</t>
  </si>
  <si>
    <t>2-s2.0-85183663661</t>
  </si>
  <si>
    <t>An FPGA-based Unidirectional Gateway Proposal for OT-IT Network Separation to Secure Industrial Automation Systems</t>
  </si>
  <si>
    <t>10.1109/INDIN51400.2023.10218126</t>
  </si>
  <si>
    <t>Calder, M.; Ahmed, M.; Nagaraja, S.</t>
  </si>
  <si>
    <t>Calder, Matthew (59428950200); Ahmed, Chuadhry Mujeeb (57191034515); Nagaraja, Shishir (23398029100)</t>
  </si>
  <si>
    <t>59428950200; 57191034515; 23398029100</t>
  </si>
  <si>
    <t>SWaP: A Water Process Testbed for ICS Security Research</t>
  </si>
  <si>
    <t>10.1109/COINS57856.2023.10189315</t>
  </si>
  <si>
    <t>https://www.scopus.com/inward/record.uri?eid=2-s2.0-85167866348&amp;doi=10.1109%2FCOINS57856.2023.10189315&amp;partnerID=40&amp;md5=97e8694aec759098de30fc49c44a71cd</t>
  </si>
  <si>
    <t>This paper presents the Security Water Processing (SWaP) testbed, an Industrial Control System (ICS) for security research and training. SWaP will be used to (a) assess the security of industrial protocols, (b) design and test the defense technologies, (c) assess the effectiveness of side channel based defenses, and (d) share the datasets with the security community. SWaP consists of a 3-stage water process, each stage is autonomously controlled by Programmable Logic Controllers (PLCs). The local communications between sensors, actuators, and PLCs is realized through wired and wireless channels. All the details on the process layer, network layer and field layer are provided in this paper. The testbed is designed to be a resource to a wider research community and encourage collaborative research in the field of ICS security. We envision to make this resource available for practical work among the ICS security community. Towards that end, as a first step, we have collected and curated a dataset to be shared with the research community. Moreover, given the scarcity of attack/anomalous data; several attacks are designed and executed on the testbed, providing examples of attack data, which can further be used for model based and machine learning based security research. © 2023 IEEE.</t>
  </si>
  <si>
    <t>2-s2.0-85167866348</t>
  </si>
  <si>
    <t>A Comparative Study to Evaluate the Performance of Communication Protocols for Process Industry</t>
  </si>
  <si>
    <t>10.1109/ITNAC55475.2022.9998327</t>
  </si>
  <si>
    <t>IEEE International Conference on Emerging Technologies and Factory Automation, ETFA</t>
  </si>
  <si>
    <t>2022-September</t>
  </si>
  <si>
    <t>Fang, D.; Song, Z.; Guan, L.; Liu, P.; Peng, A.; Cheng, K.; Zheng, Y.; Liu, P.; Zhu, H.; Sun, L.</t>
  </si>
  <si>
    <t>Fang, Dongliang (57226320753); Song, Zhanwei (57214781689); Guan, Le (56031642100); Liu, Puzhuo (57226314794); Peng, Anni (57199049249); Cheng, Kai (57192379485); Zheng, Yaowen (56978368300); Liu, Peng (36727836300); Zhu, Hongsong (8971557100); Sun, Linmin (35308519200)</t>
  </si>
  <si>
    <t>57226320753; 57214781689; 56031642100; 57226314794; 57199049249; 57192379485; 56978368300; 36727836300; 8971557100; 35308519200</t>
  </si>
  <si>
    <t>ICS3Fuzzer: A Framework for Discovering Protocol Implementation Bugs in ICS Supervisory Software by Fuzzing</t>
  </si>
  <si>
    <t>ACM International Conference Proceeding Series</t>
  </si>
  <si>
    <t>10.1145/3485832.3488028</t>
  </si>
  <si>
    <t>https://www.scopus.com/inward/record.uri?eid=2-s2.0-85121654370&amp;doi=10.1145%2F3485832.3488028&amp;partnerID=40&amp;md5=57daf3d0fc077397ad9df5762e3f4667</t>
  </si>
  <si>
    <t>The supervisory software is widely used in industrial control systems (ICSs) to manage field devices such as PLC controllers. Once compromised, it could be misused to control or manipulate these physical devices maliciously, endangering manufacturing process or even human lives. Therefore, extensive security testing of supervisory software is crucial for the safe operation of ICS. However, fuzzing ICS supervisory software is challenging due to the prevalent use of proprietary protocols. Without the knowledge of the program states and packet formats, it is difficult to enter the deep states for effective fuzzing. In this work, we present a fuzzing framework to automatically discover implementation bugs residing in the communication protocols between the supervisory software and the field devices. To avoid heavy human efforts in reverse-engineering the proprietary protocols, the proposed approach constructs a state-book based on the readily-available execution trace of the supervisory software and the corresponding inputs. Then, we propose a state selection algorithm to find the protocol states that are more likely to have bugs. Our fuzzer distributes more budget on those interesting states. To quickly reach the interesting states, traditional snapshot-based method does not work since the communication protocols are time sensitive. We address this issue by synchronously managing external events (GUI operations and network traffic) during the fuzzing loop. We have implemented a prototype and used it to fuzz the supervisory software of four popular ICS platforms. We have found 13 bugs and received 3 CVEs, 2 are classified as critical (CVSS3.x score CRITICAL 9.8) and affected 40 different products. © 2021 Association for Computing Machinery.</t>
  </si>
  <si>
    <t>2-s2.0-85121654370</t>
  </si>
  <si>
    <t>Silva, D.; Carvalho, L.I.; Soares, J.; Sofia, R.C.</t>
  </si>
  <si>
    <t>Silva, Daniel Maniglia Amancio Da (57219898951); Carvalho, Liliana I. (57219669775); Soares, José (57208836451); Sofia, Rute C. (23398615900)</t>
  </si>
  <si>
    <t>57219898951; 57219669775; 57208836451; 23398615900</t>
  </si>
  <si>
    <t>A performance analysis of internet of things networking protocols: Evaluating MQTT, CoAP, OPC UA</t>
  </si>
  <si>
    <t>11</t>
  </si>
  <si>
    <t>4879</t>
  </si>
  <si>
    <t>10.3390/app11114879</t>
  </si>
  <si>
    <t>https://www.scopus.com/inward/record.uri?eid=2-s2.0-85107523321&amp;doi=10.3390%2Fapp11114879&amp;partnerID=40&amp;md5=c8cc2ef0262a9b705c10833da82f973c</t>
  </si>
  <si>
    <t>IoT data exchange is supported today by different communication protocols and different protocolar frameworks, each of which with its own advantages and disadvantages, and often coexisting in a way that is mandated by vendor policies. Although different protocols are relevant in different domains, there is not a protocol that provides better performance (jitter, latency, energy consumption) across different scenarios. The focus of this work is two-fold. First, to provide a comparison of the different available solutions in terms of protocolar features such as type of transport, type of communication pattern support, security aspects, including Named-data networking as relevant example of an Information-centric networking architecture. Secondly, the work focuses on evaluating three of the most popular protocols used both in Consumer as well as in Industrial IoT environments: MQTT, CoAP, and OPC UA. The experimentation has been carried out first on a local testbed for MQTT, COAP and OPC UA. Then, larger experiments have been carried out for MQTT and CoAP, based on the large-scale FIT-IoT testbed. Results show that CoAP is the protocol that achieves across all scenarios lowest time-to-completion, while OPC UA, albeit exhibiting less variability, resulted in higher time-to-completion in comparison to CoAP or MQTT. © 2021 by the authors. Licensee MDPI, Basel, Switzerland.</t>
  </si>
  <si>
    <t>MDPI AG</t>
  </si>
  <si>
    <t>2-s2.0-85107523321</t>
  </si>
  <si>
    <t>Al-Hawawreh, M.; Sitnikova, E.</t>
  </si>
  <si>
    <t>Al-Hawawreh, Muna (57193866778); Sitnikova, Elena (55757859300)</t>
  </si>
  <si>
    <t>57193866778; 55757859300</t>
  </si>
  <si>
    <t>Developing a security testbed for industrial internet of things</t>
  </si>
  <si>
    <t>8</t>
  </si>
  <si>
    <t>9233425</t>
  </si>
  <si>
    <t>10.1109/JIOT.2020.3032093</t>
  </si>
  <si>
    <t>https://www.scopus.com/inward/record.uri?eid=2-s2.0-85103342498&amp;doi=10.1109%2FJIOT.2020.3032093&amp;partnerID=40&amp;md5=d2df5996ce479723b30292ccf264b96c</t>
  </si>
  <si>
    <t>While achieving security for Industrial Internet of Things (IIoT) is a critical and nontrivial task, more attention is required for brownfield IIoT systems. This is a consequence of long life cycles of their legacy devices which were initially designed without considering security and IoT connectivity, but they are now becoming more connected and integrated with emerging IoT technologies and messaging communication protocols. Deploying today's methodologies and solutions in brownfield IIoT systems is not viable, as security solutions must co-exist and fit these systems' requirements. This necessitates a realistic standardized IIoT testbed that can be used as an optimal format to measure the credibility of security solutions of IIoT networks, analyze IIoT attack landscapes and extract threat intelligence. Developing a testbed for brownfield IIoT systems is considered a significant challenge as these systems are comprised of legacy, heterogeneous devices, communication layers and applications that need to be implemented holistically to achieve high fidelity. In this article, we propose a new generic end-to-end IIoT security testbed, with a particular focus on the brownfield system and provide details of the testbed's architectural design and the implementation process. The proposed testbed can be easily reproduced and reconfigured to support the testing activities of new processes and various security scenarios. The proposed testbed operation is demonstrated on different connected devices, communication protocols and applications. The experiments demonstrate that this testbed is effective in terms of its operation and security testing. A comparison with existing testbeds, including a table of features is provided. © 2014 IEEE.</t>
  </si>
  <si>
    <t>2-s2.0-85103342498</t>
  </si>
  <si>
    <t>Chattha, H.A.; Rehman, M.M.U.; Mustafa, G.; Khan, A.Q.; Abid, M.; Haq, E.U.</t>
  </si>
  <si>
    <t>Chattha, Haseeb Ahmed (57491203200); Rehman, Muhammad Miftah Ur (57491624600); Mustafa, Ghulam (57226263062); Khan, Abdul Qayyum (10040299600); Abid, Muhammad Ahtasham (57615720500); Haq, Ehtisham Ul (57491763400)</t>
  </si>
  <si>
    <t>57491203200; 57491624600; 57226263062; 10040299600; 57615720500; 57491763400</t>
  </si>
  <si>
    <t>Implementation of Cyber-Physical Systems with Modbus Communication for Security Studies</t>
  </si>
  <si>
    <t>10.1109/ICCWS53234.2021.9702959</t>
  </si>
  <si>
    <t>https://www.scopus.com/inward/record.uri?eid=2-s2.0-85126526829&amp;doi=10.1109%2FICCWS53234.2021.9702959&amp;partnerID=40&amp;md5=f997930209867d645cd4b3afa507f0fd</t>
  </si>
  <si>
    <t>Modbus is a popular industrial communication protocol supported by most automation devices. Despite its popularity, it is not a secure protocol because when it was developed, security was not a concern due to closed environments of industrial control systems. With the convergence of information technology and operational technology in recent years, the security of industrial control systems has become a serious concern. Due to the high availability requirements, it is not practical or feasible to do security experimentation of production systems. We present an implementation of cyber-physical systems with Modbus/TCP communication for real-time security testing. The proposed architecture consists of a process simulator, an IEC 61131-3 compliant programmable logic controller, and a human-machine interface, all communicating via Modbus/TCP protocol. We use Simulink as the process simulator. It does not have built-in support for the Modbus protocol. A contribution of the proposed work is to extend the functionality of Simulink with a custom block to enable Modbus communication. We use two case studies to demonstrate the utility of the cyber-physical system architecture. We can model complex industrial processes with this architecture, can launch cyber-attacks, and develop protection mechanisms. © 2021 IEEE.</t>
  </si>
  <si>
    <t>2-s2.0-85126526829</t>
  </si>
  <si>
    <t>1</t>
  </si>
  <si>
    <t>7</t>
  </si>
  <si>
    <t>42</t>
  </si>
  <si>
    <t>IEEE Access</t>
  </si>
  <si>
    <t>Cheminod, M.; Durante, L.; Seno, L.; Valenzano, A.</t>
  </si>
  <si>
    <t>Cheminod, Manuel (22978124600); Durante, Luca (6603443809); Seno, Lucia (24476670200); Valenzano, Adriano (7003332587)</t>
  </si>
  <si>
    <t>22978124600; 6603443809; 24476670200; 7003332587</t>
  </si>
  <si>
    <t>Performance Evaluation and Modeling of an Industrial Application-Layer Firewall</t>
  </si>
  <si>
    <t>14</t>
  </si>
  <si>
    <t>10.1109/TII.2018.2802903</t>
  </si>
  <si>
    <t>https://www.scopus.com/inward/record.uri?eid=2-s2.0-85041497493&amp;doi=10.1109%2FTII.2018.2802903&amp;partnerID=40&amp;md5=e64785980ff4e6493e9c8804735d2d6a</t>
  </si>
  <si>
    <t>The availability of performance studies and simple models for firewalls able to deal with industrial application-layer communication protocols, such as Modbus/TCP, is crucial when the impact of these devices has to be estimated, even roughly, before their actual deployment in industrial networks. Unfortunately, most manufacturers do not provide this kind of information for commercial off-the-shelf available products. Thus, a viable solution is the development and experimental validation of simple models that can be used by designers to predict those firewall characteristics not explicitly related to their security capabilities. As an example, latency introduced on message forwarding is an aspect of significant interest in many industrial control systems, where delays and jitters in data delivery can severely impact on the effectiveness of the control actions. This paper reports on our experience in developing a performance model for a commercial device able to perform advanced application-layer filtering, in particular of Modbus/TCP traffic. A set of ad hoc designed experiments, performed by means of a purposely developed laboratory testbed, enabled both model development and validation, confirming a good correspondence of the estimated performance with the device actual behavior. © 2005-2012 IEEE.</t>
  </si>
  <si>
    <t>IEEE Computer Society help@computer.org</t>
  </si>
  <si>
    <t>2-s2.0-85041497493</t>
  </si>
  <si>
    <t>Wu, X.; Xie, L.</t>
  </si>
  <si>
    <t>Wu, Xuepei (36500562900); Xie, Lihua (57211550487)</t>
  </si>
  <si>
    <t>36500562900; 57211550487</t>
  </si>
  <si>
    <t>End-to-End Delay Evaluation of Industrial Automation Systems Based on EtherCAT</t>
  </si>
  <si>
    <t>2017-October</t>
  </si>
  <si>
    <t>8109331</t>
  </si>
  <si>
    <t>10.1109/LCN.2017.14</t>
  </si>
  <si>
    <t>https://www.scopus.com/inward/record.uri?eid=2-s2.0-85040607119&amp;doi=10.1109%2FLCN.2017.14&amp;partnerID=40&amp;md5=0812118976ef27697acbc473aa7fffe7</t>
  </si>
  <si>
    <t>In industrial automation, EtherCAT is a real-time communication protocol widely employed in the local computer networks for fast and predictable data communication between system processes. End-to-end delay is a key performance indicator to industrial applications as it reflects the real-time capability of the system. This paper explores end-to-end delays of EtherCAT-based control systems under different schemes of synchronization, including free-running, frame-driven and clock-driven schemes. A simulation study is presented to assess the delays using various schemes. Simulation results demonstrate that free-running and frame-driven approaches could be adopted in traditional automation applications, while clock-driven scheme can be advantageous in networked control systems where deterministic data communication is required. © 2017 IEEE.</t>
  </si>
  <si>
    <t>2-s2.0-85040607119</t>
  </si>
  <si>
    <t>37</t>
  </si>
  <si>
    <t>Decision</t>
  </si>
  <si>
    <t>Page number</t>
  </si>
  <si>
    <t>Number of pages</t>
  </si>
  <si>
    <t>EC3</t>
  </si>
  <si>
    <t>EC4</t>
  </si>
  <si>
    <t>EC5</t>
  </si>
  <si>
    <t>EC6</t>
  </si>
  <si>
    <t>EC7</t>
  </si>
  <si>
    <t>Document Title</t>
  </si>
  <si>
    <t>Author Affiliations</t>
  </si>
  <si>
    <t>Publication Title</t>
  </si>
  <si>
    <t>Date Added To Xplore</t>
  </si>
  <si>
    <t>Publication Year</t>
  </si>
  <si>
    <t>Start Page</t>
  </si>
  <si>
    <t>End Page</t>
  </si>
  <si>
    <t>ISSN</t>
  </si>
  <si>
    <t>ISBNs</t>
  </si>
  <si>
    <t>Funding Information</t>
  </si>
  <si>
    <t>PDF Link</t>
  </si>
  <si>
    <t>Author Keywords</t>
  </si>
  <si>
    <t>IEEE Terms</t>
  </si>
  <si>
    <t>Mesh_Terms</t>
  </si>
  <si>
    <t>Article Citation Count</t>
  </si>
  <si>
    <t>Patent Citation Count</t>
  </si>
  <si>
    <t>Reference Count</t>
  </si>
  <si>
    <t>License</t>
  </si>
  <si>
    <t>Online Date</t>
  </si>
  <si>
    <t>Issue Date</t>
  </si>
  <si>
    <t>Meeting Date</t>
  </si>
  <si>
    <t>Document Identifier</t>
  </si>
  <si>
    <t>IEEE Conferences</t>
  </si>
  <si>
    <t>Towards a modular security testing framework for industrial automation and control systems: ISuTest</t>
  </si>
  <si>
    <t>S. Pfrang; D. Meier; V. Kautz</t>
  </si>
  <si>
    <t>Fraunhofer IOSB, Karlsruhe, Germany; Fraunhofer IOSB, Karlsruhe, Germany; Karlsruhe Institute of Technology, Germany</t>
  </si>
  <si>
    <t>2017 22nd IEEE International Conference on Emerging Technologies and Factory Automation (ETFA)</t>
  </si>
  <si>
    <t>Industrial automation and control systems (IACS) play a key role in modern production facilities. On the one hand, they provide real-time functionality to the connected field devices. On the other hand, they get more and more connected to local networks and the internet in order to facilitate use cases promoted by “Industry 4.0”. This makes IACS susceptible to cyber-attacks which exploit vulnerabilities, for example in order to interrupt the automation process. Security testing targets at discovering those vulnerabilities before they are exploited. In order to enable IACS manufacturers and integrators to perform security testing for their devices, we present ISuTest, a modular security testing framework for IACS. ISuTest is designed to be extendable regarding all kinds of automation protocols, different connection paths as well as evaluating arbitrary outputs of the tested devices. This paper describes the fundamental ideas behind ISuTest, its design and a basic evaluation in which the ISuTest framework was able to discover a vulnerability in a programmable logic controller (PLC). The paper concludes with a broad overview of the planned future work.</t>
  </si>
  <si>
    <t>1946-0759</t>
  </si>
  <si>
    <t>978-1-5090-6505-9</t>
  </si>
  <si>
    <t>10.1109/ETFA.2017.8247727</t>
  </si>
  <si>
    <t>https://ieeexplore.ieee.org/stamp/stamp.jsp?arnumber=8247727</t>
  </si>
  <si>
    <t>Testing;Security;Automation;Protocols;Control systems;Software;Hardware</t>
  </si>
  <si>
    <t>12-15 Sept. 2017</t>
  </si>
  <si>
    <t>Performance Evaluation of MQTT and CoAP Communication Protocols in IIoT for Electrical Substations Based on the IEC 61850 Standard</t>
  </si>
  <si>
    <t>Y. Monges; M. Lopez; E. Flecha; E. Chaparro</t>
  </si>
  <si>
    <t>Itaipu Technology Park, Hernandarias, Paraguay; Itaipu Technology Park, Hernandarias, Paraguay; Itaipu Technology Park, Hernandarias, Paraguay; Polytechnic Faculty of the East National University, Ciudad del Este, Paraguay</t>
  </si>
  <si>
    <t>2023 15th IEEE International Conference on Industry Applications (INDUSCON)</t>
  </si>
  <si>
    <t>774</t>
  </si>
  <si>
    <t>779</t>
  </si>
  <si>
    <t>A solution for the integration of Smart Grid communication protocols is proposed through an IEC 61850 - IIoT (Industrial Internet of Things) test bench. The IIoT is one of the main implementations for the fourth industrial revolution, known as Industry 4.0. However, it is known that the incorporation of new technologies in the electricity sector, for monitoring systems and actuation by digital commands, are slower due to the requirements of efficiency and security in data transmission. Some of the most relevant IoT standards are: Constrained Application Protocol (CoAP) and Message Queue Telemetry Transport (MQTT). The implemented test bench allows the management of information through IEC 61850 services, with MQTT/COAP – IIoT messages, in an SF6 gas monitoring application. Likewise, it provides interoperability evaluations of isolated systems that use non-interoperable communication protocols in the substation and, therefore, are not capable of integrating monitoring signals and data into the SCADA system. Communication performance test results for both protocols, MQTT y CoAP, in the implemented IIoT platform and integration performance comparisons for digital substations are presented, showing the efficiency of the proposal.</t>
  </si>
  <si>
    <t>2572-1445</t>
  </si>
  <si>
    <t>979-8-3503-1418-2</t>
  </si>
  <si>
    <t>https://ieeexplore.ieee.org/stamp/stamp.jsp?arnumber=10374829</t>
  </si>
  <si>
    <t>IEC 61850;Industrial Internet of Things;Smart Grids;SF6;Interoperability;SCADA</t>
  </si>
  <si>
    <t>Performance evaluation;Temperature sensors;Protocols;Substations;Sulfur hexafluoride;Fourth Industrial Revolution;IEC Standards</t>
  </si>
  <si>
    <t>22-24 Nov. 2023</t>
  </si>
  <si>
    <t>X. Li; C. Wang; C. Liu; Y. Cao</t>
  </si>
  <si>
    <t>Beijing lnstitute of Control and Electronics Technology, Beijing, China; Beijing lnstitute of Control and Electronics Technology, Beijing, China; Beijing Zhangshang Yunji Technology Co., Ltd, Beijing; Beijing Zhangshang Yunji Technology Co., Ltd, Beijing</t>
  </si>
  <si>
    <t>2024 6th International Conference on Frontier Technologies of Information and Computer (ICFTIC)</t>
  </si>
  <si>
    <t>1542</t>
  </si>
  <si>
    <t>1546</t>
  </si>
  <si>
    <t>Industrial Control Systems (ICS) are pivotal to national critical infrastructure, making their security of utmost importance. However, traditional security testing methods struggle with the complexities of the ICS environment. This paper introduces an innovative fuzz testing approach that integrates virtualization and intelligent guidance to address these challenges [1]. The approach encompasses three key innovations: a virtualized testing environment simulating real-world ICS scenarios for comprehensive, non-disruptive testing; a state tree-guided fuzzing method that systematically explores a broader range of inputs to enhance testing efficiency; and a cross-segment feedback optimization mechanism that improves vulnerability discovery rates by optimizing testing across ICS segments. Our experimental results indicate significant improvements in test coverage and vulnerability discovery efficiency, underscoring the transformative potential of this method in the field of ICS security testing.</t>
  </si>
  <si>
    <t>979-8-3315-4175-0</t>
  </si>
  <si>
    <t>https://ieeexplore.ieee.org/stamp/stamp.jsp?arnumber=10913239</t>
  </si>
  <si>
    <t>insert Industrial Control Systems;Communication Protocols;Fuzz Testing;Virtualization;Intelligent Guidance</t>
  </si>
  <si>
    <t>Technological innovation;Protocols;Industrial control;Industrial communication;Fuzzing;Critical infrastructure;Virtualization;Computer security;Optimization;Testing</t>
  </si>
  <si>
    <t>13-15 Dec. 2024</t>
  </si>
  <si>
    <t>J. Aquilina; P. A. Xuereb; E. Francalanza; J. Mallia; P. Refalo</t>
  </si>
  <si>
    <t>Department of Computer Information Systems, University of Malta, Msida, Malta; Department of Computer Information Systems, University of Malta, Msida, Malta; Department of Industrial and Manufacturing Engineering, University of Malta, Msida, Malta; Department of Industrial and Manufacturing Engineering, University of Malta, Msida, Malta; Department of Industrial and Manufacturing Engineering, University of Malta, Msida, Malta</t>
  </si>
  <si>
    <t>2024 IEEE International Symposium on Measurements &amp; Networking (M&amp;N)</t>
  </si>
  <si>
    <t>The Internet of Things (IoT) involves a large number of devices communicating information to each other for a number of use cases such as a monitoring systems for leakages within a pneumatic system. A critical decision when designing such a system is the selection of an appropriate application layer protocol from the plethora of options that are available. Many studies have been done to facilitate this decision, but in this paper it is argued that the results obtained by such studies may have limited applicability to an industrial scenario. Once this argument is established, the paper expands on the experimental setup designed to rectify the methodological errors present in previous studies, reports the obtained results, and highlights notable discrepancies between them and the results reported in previous studies. Based on the obtained results, it is suggested that when lower transfer times are a priority, the Message queuing Telemetry Transport (MQTT) protocol with a quality of service (QoS) level of 0 ought to be used, while Constrained Application Protocol (CoAP) with non-confirmable messages may be the better choice in scenarios with constrained bandwidth requirements.</t>
  </si>
  <si>
    <t>2639-5061</t>
  </si>
  <si>
    <t>979-8-3503-7053-9</t>
  </si>
  <si>
    <t xml:space="preserve">Malta Council for Science and Technology (MCST); </t>
  </si>
  <si>
    <t>https://ieeexplore.ieee.org/stamp/stamp.jsp?arnumber=10615777</t>
  </si>
  <si>
    <t>communication protocols;application layer protocols;internet of things;industrial internet of things;performance evaluation</t>
  </si>
  <si>
    <t>Performance evaluation;Protocols;Wireless networks;Quality of service;Bandwidth;Throughput;Manufacturing</t>
  </si>
  <si>
    <t>2-5 July 2024</t>
  </si>
  <si>
    <t>N. Koroniotis; N. Moustafa; F. Schiliro; P. Gauravaram; H. Janicke</t>
  </si>
  <si>
    <t>Cyber Security Cooperative Research Centre (CSCRC), Perth, WA, Australia; Cyber Security Cooperative Research Centre (CSCRC), Perth, WA, Australia; Cyber Security Cooperative Research Centre (CSCRC), Perth, WA, Australia; Cyber Security Cooperative Research Centre (CSCRC), Perth, WA, Australia; Cyber Security Cooperative Research Centre (CSCRC), Perth, WA, Australia</t>
  </si>
  <si>
    <t>2368</t>
  </si>
  <si>
    <t>2381</t>
  </si>
  <si>
    <t>Rapid technological advancements have resulted in increasingly more efficient and lightweight devices that, coupled with low-power and wide-range wireless connectivity, have given rise to Industrial Internet of Things (IIoT) systems. As a result, the concept of intelligent environments was developed, such as smart airports, where ubiquitous sensors seamlessly cooperate through several types of communication technologies, such as WiFi, BLE, ZigBEE and 5G, enable the collection of data and the dynamic adaption of the system to changing circumstances. However, along with certain benefits, such as augmented communication, enhanced business processes and improved efficiency, IIoT introduces new vulnerabilities, enabling cyber-attackers to compromise not only the digital infrastructure of IIoT architecture-enabled smart airports, but also affecting their physical assets. In this paper, we present a novel smart airport cybertwins security-oriented IIoT testbed, named SAir-IIoT, which comprises multiple heterogeneous IIoT devices and communication protocols, organised into distinct zones, automatically interconnected with each other, that can be remotely accessed as-a-service. To the best of our knowledge, this is the first cybertwins security-oriented testbed that enables researchers and practitioners to remotely practice attack and defence scenarios in smart airport IIoT environments. Additionally, we introduce a new data management technique for dynamically collecting, analysing and tagging heterogeneous data from diverse data sources including IIoT devices and network flows. Finally, we compare SAir-IIoT with other IIoT-based testbeds, revealing its complexity and effectiveness to evaluate new cyber security methods.</t>
  </si>
  <si>
    <t>1558-0016</t>
  </si>
  <si>
    <t xml:space="preserve">Cyber Security Research Centre, Ltd; Australian Government’s Cooperative Research Centres Programme(grant numbers:RG201120); </t>
  </si>
  <si>
    <t>https://ieeexplore.ieee.org/stamp/stamp.jsp?arnumber=9525156</t>
  </si>
  <si>
    <t>Smart airport;testbed;cybertwins;Industrial Internet of Things (IIoT);artificial intelligence (AI);cyber defences</t>
  </si>
  <si>
    <t>Industrial Internet of Things;Airports;Computer crime;Security;Testing;Australia;Protocols</t>
  </si>
  <si>
    <t>Feb. 2023</t>
  </si>
  <si>
    <t>IEEE Journals</t>
  </si>
  <si>
    <t>VTET: A Virtual Industrial Control System Testbed for Cyber Security Research</t>
  </si>
  <si>
    <t>Y. Xie; W. Wang; F. Wang; R. Chang</t>
  </si>
  <si>
    <t>State Key Laboratory of Mathematical Engineering and Advanced Computing, Zhengzhou, China; State Key Laboratory of Mathematical Engineering and Advanced Computing, Zhengzhou, China; College of Control Science and Engineering, Zhejiang University, Hangzhou, China; State Key Laboratory of Mathematical Engineering and Advanced Computing, Zhengzhou, China</t>
  </si>
  <si>
    <t>2018 Third International Conference on Security of Smart Cities, Industrial Control System and Communications (SSIC)</t>
  </si>
  <si>
    <t>Nowadays Industrial Control System (ICS) are suffering the increasing cyber attacks. The ICS testbed is a ideal platform since that it could make the security research more controllable and safe. In contrast to the physically replication testbed, the virtual testbed is more economic, safe and maintainable which will makes it advantageous in the laboratorial environment. In this paper, we present VTET, a virtual ICS testbed for cyber security research. VTET contains a virtual chemical industrial process, and both virtual and physical controllers. We provide a detailed description of VTET implementation such as the migration of controllers and the configuration of network. And we also demonstrate the 5 attack schemes simulated in VTET to prove its availability. Since the convenience of configuration and deployment, VTET is very suitable for academic ICS security research.</t>
  </si>
  <si>
    <t>978-1-5386-8187-9</t>
  </si>
  <si>
    <t>10.1109/SSIC.2018.8556732</t>
  </si>
  <si>
    <t>https://ieeexplore.ieee.org/stamp/stamp.jsp?arnumber=8556732</t>
  </si>
  <si>
    <t>Industrial Control System;Cyber Security;Virtual Testbed</t>
  </si>
  <si>
    <t>Integrated circuits;Economics;Protocols;Smart cities;Laboratories;Process control;Control systems</t>
  </si>
  <si>
    <t>18-19 Oct. 2018</t>
  </si>
  <si>
    <t>2327-4662</t>
  </si>
  <si>
    <t>1941-0050</t>
  </si>
  <si>
    <t>Developing a Security Testbed for Industrial Internet of Things</t>
  </si>
  <si>
    <t>M. Al-Hawawreh; E. Sitnikova</t>
  </si>
  <si>
    <t>School of Engineering and Information Technology, University of New South Wales–Australian Defence Force Academy, Canberra, ACT, Australia; School of Engineering and Information Technology, University of New South Wales–Australian Defence Force Academy, Canberra, ACT, Australia</t>
  </si>
  <si>
    <t>5558</t>
  </si>
  <si>
    <t>5573</t>
  </si>
  <si>
    <t>While achieving security for Industrial Internet of Things (IIoT) is a critical and nontrivial task, more attention is required for brownfield IIoT systems. This is a consequence of long life cycles of their legacy devices which were initially designed without considering security and IoT connectivity, but they are now becoming more connected and integrated with emerging IoT technologies and messaging communication protocols. Deploying today's methodologies and solutions in brownfield IIoT systems is not viable, as security solutions must co-exist and fit these systems' requirements. This necessitates a realistic standardized IIoT testbed that can be used as an optimal format to measure the credibility of security solutions of IIoT networks, analyze IIoT attack landscapes and extract threat intelligence. Developing a testbed for brownfield IIoT systems is considered a significant challenge as these systems are comprised of legacy, heterogeneous devices, communication layers and applications that need to be implemented holistically to achieve high fidelity. In this article, we propose a new generic end-to-end IIoT security testbed, with a particular focus on the brownfield system and provide details of the testbed's architectural design and the implementation process. The proposed testbed can be easily reproduced and reconfigured to support the testing activities of new processes and various security scenarios. The proposed testbed operation is demonstrated on different connected devices, communication protocols and applications. The experiments demonstrate that this testbed is effective in terms of its operation and security testing. A comparison with existing testbeds, including a table of features is provided.</t>
  </si>
  <si>
    <t>https://ieeexplore.ieee.org/stamp/stamp.jsp?arnumber=9233425</t>
  </si>
  <si>
    <t>Brownfield;Industrial Internet of Things (IIoT);security testing;testbed</t>
  </si>
  <si>
    <t>Security;Testing;Protocols;Sensors;Resilience</t>
  </si>
  <si>
    <t>1 April1, 2021</t>
  </si>
  <si>
    <t>Test Bed Development for a Security Engineered SCADA Laboratory</t>
  </si>
  <si>
    <t>S. Hopkins; S. Bagui; E. Kalaimannan; A. Mishra; B. Mishra; D. Kelly</t>
  </si>
  <si>
    <t>Department of Computer Science, University of West Florida, Pensacola, FL, USA; Department of Computer Science, University of West Florida, Pensacola, FL, USA; Department of Computer Science, University of West Florida, Pensacola, FL, USA; Department of Computer Science, University of West Florida, Pensacola, FL, USA; Department of Computer Science, University of West Florida, Pensacola, FL, USA; Department of Computer Science, University of West Florida, Pensacola, FL, USA</t>
  </si>
  <si>
    <t>2019 SoutheastCon</t>
  </si>
  <si>
    <t>Supervisory Control and Data Acquisition (SCADA) systems and Industrial Control Systems (ICS) are critical for infrastructure operations, production processes, automation systems, and other automated control systems. SCADA systems are vulnerable to cyber physical attacks from many vectors. The attack surface varies widely. The problem is complicated by the inherent focus on performance, reliability, and safety rather than cybersecurity. The Secure SCADA Framework establishes a security engineered approach evolving SCADA and ICS systems towards a more cybersecure posture. The encapsulating and integrating concepts of the Secure SCADA Framework require development and analysis of implementations achieving the eight framework goals. This work provides a solution for research, design, development, and evaluation of components of a Secure SCADA System. A Security Engineered SCADA Laboratory requires a test bed with which engineering and science designs can be developed. This paper presents a test bed which can model and collect data on simulated attacks, analyze data to evaluate performance, and provide the foundations for a Security Engineered SCADA Laboratory.</t>
  </si>
  <si>
    <t>1558-058X</t>
  </si>
  <si>
    <t>978-1-7281-0137-8</t>
  </si>
  <si>
    <t>10.1109/SoutheastCon42311.2019.9020480</t>
  </si>
  <si>
    <t>https://ieeexplore.ieee.org/stamp/stamp.jsp?arnumber=9020480</t>
  </si>
  <si>
    <t>Cybersecurity;SCADA;Industrial Control Systems (ICS) security;Vulnerability analysis</t>
  </si>
  <si>
    <t>Physical layer;Performance evaluation;Security;SCADA systems;Adaptation models;Protocols;Servers</t>
  </si>
  <si>
    <t>11-14 April 2019</t>
  </si>
  <si>
    <t>Cyber security of industrial communication protocols</t>
  </si>
  <si>
    <t>W. Su; A. Antoniou; C. Eagle</t>
  </si>
  <si>
    <t>Department of Electrical and Computer Engineering, Naval Postgraduate School, Monterey, CA; Department of Electrical and Computer Engineering, Naval Postgraduate School, Monterey, CA; Department of Electrical and Computer Engineering, Naval Postgraduate School, Monterey, CA</t>
  </si>
  <si>
    <t>4</t>
  </si>
  <si>
    <t>In this paper, an industrial testbed is proposed utilizing commercial-off-the-shelf equipment, and it is used to study the weakness of industrial Ethernet, i.e., PROFINET. The investigation is based on observation of the principles of operation of PROFINET and the functionality of industrial control systems.</t>
  </si>
  <si>
    <t>10.1109/ETFA.2017.8247769</t>
  </si>
  <si>
    <t>https://ieeexplore.ieee.org/stamp/stamp.jsp?arnumber=8247769</t>
  </si>
  <si>
    <t>PROFINET;Industrial Control Systems;Industrial Communication Protocols;Cyber Security;Testbed</t>
  </si>
  <si>
    <t>Integrated circuits;Protocols;Monitoring;Portals;Security;Programming;Machinery</t>
  </si>
  <si>
    <t>USGov</t>
  </si>
  <si>
    <t>2169-3536</t>
  </si>
  <si>
    <t>CCBY</t>
  </si>
  <si>
    <t>2020</t>
  </si>
  <si>
    <t>Access Control Framework for Cross-Platform Interoperability in the Industrial Internet of Things</t>
  </si>
  <si>
    <t>J. Koo; G. Kang; Y. -G. Kim</t>
  </si>
  <si>
    <t>Department of Computer and Information Security, Sejong University, Seoul, South Korea; Department of Computer and Information Security, and Convergence Engineering for Intelligent Drone, Sejong University, Seoul, South Korea; Department of Computer and Information Security, and Convergence Engineering for Intelligent Drone, Sejong University, Seoul, South Korea</t>
  </si>
  <si>
    <t>801</t>
  </si>
  <si>
    <t>810</t>
  </si>
  <si>
    <t>The rapid advancement of the industrial Internet of things (IIoTs) has facilitated the development of diverse platforms and management technologies. However, the lack of standardized protocols and interoperability between platforms developed by various organizations hinders seamless integration. These limitations represent the primary challenge in access control between different IIoT platforms, resulting in limited service utilization across heterogeneous platforms. This study addresses the challenges of effectively sharing user attributes and representations for access control between heterogeneous IIoT platforms using blockchain and a metadata registry (MDR). Utilizing blockchain ensures tamper-proof and transparent attribute sharing, whereas the MDR facilitates the accurate mapping of user attributes for cross-platform resource access control. We demonstrated the feasibility of the proposed framework by successfully implementing access control between two representative standard platforms, namely oneM2M and FIWARE. Our results indicate that enhancing service utilization through access control between heterogeneous IIoT platforms can improve security and efficiency across various industries.</t>
  </si>
  <si>
    <t>10.1109/TII.2024.3461783</t>
  </si>
  <si>
    <t xml:space="preserve">National Research Foundation of Korea; Korea Government(grant numbers:RS-2024-00419201); </t>
  </si>
  <si>
    <t>https://ieeexplore.ieee.org/stamp/stamp.jsp?arnumber=10698779</t>
  </si>
  <si>
    <t>Access control;cross-platform;industrial Internet of things (IIoTs);interoperability;metadata registry (MDR)</t>
  </si>
  <si>
    <t>Access control;Industrial Internet of Things;Security;Interoperability;Authentication;Semantics;Ontologies;Blockchains;Authorization;Organizations</t>
  </si>
  <si>
    <t>Jan. 2025</t>
  </si>
  <si>
    <t>SCADA-SST: a SCADA security testbed</t>
  </si>
  <si>
    <t>A. Ghaleb; S. Zhioua; A. Almulhem</t>
  </si>
  <si>
    <t>Information and Computer Science Department, KFUPM, Dhahran, KSA; Information and Computer Science Department, KFUPM, Dhahran, KSA; Computer Engineering Department, KFUPM, Dhahran, KSA</t>
  </si>
  <si>
    <t>2016 World Congress on Industrial Control Systems Security (WCICSS)</t>
  </si>
  <si>
    <t>The number of reported cybersecurity incidents on SCADA (Supervisory Control and Data Acquisition) systems increased significantly in the past few years. One contributing factor is the fact that security testing of live SCADA systems is not practical as such systems are expected to be operational 24/7. Also and most importantly, conducting live security testing on these types of systems is generally costly. A practical and cost-effective solution is to carry out security testing on a simulated version of the physical setting. The main contribution of this paper is to present a SCADA simulation environment (SCADA-SST) suitable for security testing. The simulation environment is generic, easy to setup (comes with a detailed manual), and supports hybrid architectures (involving simulated as well as physical components). We show how SCADA-SST can be used to simulate two realistic settings, namely, Water distribution and Electrical power grid. Finally, for the sake of security testing example, we show how SCADASST can be used to assess the resilience of common SCADA nodes to DOS attacks.</t>
  </si>
  <si>
    <t>978-1-9083-2063-6</t>
  </si>
  <si>
    <t>10.1109/WCICSS.2016.7882610</t>
  </si>
  <si>
    <t>https://ieeexplore.ieee.org/stamp/stamp.jsp?arnumber=7882610</t>
  </si>
  <si>
    <t>Simulation;Security testing;Industrial Control Systems;Network attacks</t>
  </si>
  <si>
    <t>Testing;SCADA systems;Industrial control;Protocols;Computer crime;Smart grids</t>
  </si>
  <si>
    <t>12-14 Dec. 2016</t>
  </si>
  <si>
    <t>Behavior and Vulnerability Assessment of Drones-Enabled Industrial Internet of Things (IIoT)</t>
  </si>
  <si>
    <t>V. Sharma; G. Choudhary; Y. Ko; I. You</t>
  </si>
  <si>
    <t>Department of Information Security Engineering, Soonchunhyang University, Asan, South Korea; Department of Information Security Engineering, Soonchunhyang University, Asan, South Korea; Department of Information Security Engineering, Soonchunhyang University, Asan, South Korea; Department of Information Security Engineering, Soonchunhyang University, Asan, South Korea</t>
  </si>
  <si>
    <t>43368</t>
  </si>
  <si>
    <t>43383</t>
  </si>
  <si>
    <t>Accessibility to industrial processes and direct obtaining of the desired services are the major facilities of Industrial Internet of Things (IIoT). IIoT covers crucial aspects of smart systems, such as automation, keenly intellective setups, asset management, and user-industry collaboration. These user-industry setups are facilitated by modern era network technologies, which also include an immense dependence on drones as one of the on-demand components for amending the quality and maximizing the coverage. However, these kinds of network formations require precise operations of drones and their perpetual assessment. The existing studies have highlighted these issues but fail to provide the behavior as well as the vulnerability evaluations of drones enabled IIoT. In addition, the existing studies are unable to provide statewise verification of drones and do not recognize anomaly drones based on their behavior over varying properties. Furthermore, the existing solutions lack facilities for including security policies which help in assessing the vulnerabilities with a higher accuracy. This paper fills this gap by using a novel N-layered hierarchical context-aware aspect-oriented Petri net model that not only evaluates the drone behavior but also assesses it for potential vulnerabilities by the utilization of security policies. Statewise verification is performed for the proposed model along with a simulation study, which designates its paramountcy in providing low-complex and low-overhead-based solution with a detection rate higher than 95% and accuracy as high as 99.9%. The proposed approach increases the probability of selecting a correct drone by 81.71% even in the case of a high number of failures.</t>
  </si>
  <si>
    <t>10.1109/ACCESS.2018.2856368</t>
  </si>
  <si>
    <t xml:space="preserve">Institute for Information &amp; Communications Technology Promotion through the Korea Government (MSIT) (Rule Specification-based Misbehavior Detection for IoT-Embedded Cyber Physical Systems)(grant numbers:2017-0-00664); Soonchunhyang University; </t>
  </si>
  <si>
    <t>https://ieeexplore.ieee.org/stamp/stamp.jsp?arnumber=8411430</t>
  </si>
  <si>
    <t>Behavior modeling;drones;HCAPN;IIoT;vulnerability assessment</t>
  </si>
  <si>
    <t>Drones;Security;Monitoring;Internet of Things;Reliability;Industries;Petri nets</t>
  </si>
  <si>
    <t>OAPA</t>
  </si>
  <si>
    <t>2018</t>
  </si>
  <si>
    <t>Secure Onboarding of IIoT Devices using OPC UA</t>
  </si>
  <si>
    <t>F. Kohnhäuser; S. Grüner; J. Heuschkel</t>
  </si>
  <si>
    <t>ABB Corporate Research Center, Ladenburg, Germany; ABB Corporate Research Center, Ladenburg, Germany; ABB Corporate Research Center, Ladenburg, Germany</t>
  </si>
  <si>
    <t>2022 IEEE 27th International Conference on Emerging Technologies and Factory Automation (ETFA)</t>
  </si>
  <si>
    <t>In today’s Industrial Internet of Things (IIoT), a broad range of communication protocols are utilized. Built-in security mechanisms enable these protocols to protect communication and defend against network attacks. However, before IIoT devices can utilize these security mechanisms, they need to be securely onboarded in the network. Although several onboarding solutions exist, there is no widely applicable and easy solution for all protocols. Thus, owners of IIoT devices must currently perform multiple processes until they can securely use a device in operation, which requires a high amount of manual effort and onboarding infrastructure.In this work, we present a generic secure onboarding solution for a broad range of network protocols based on OPC UA. OPC UA is particularly suited for this task, as it is one of the most widespread IIoT protocols and one of few protocols whose standard defines a secure onboarding. Our solution leverages the OPC UA onboarding process to equip other IIoT protocols with the initial trust and credentials to establish secure connections. To this end, only minor extensions to the OPC UA implementation on devices are necessary, such that device owners can reuse their OPC UA onboarding infrastructure without any modifications. As a proof of concept for our solution, we demonstrate the secure onboarding of an HTTPS web server. Our implementation fully reuses the reference implementation OPC UA sample server as infrastructure and only needs minor extensions to the IIoT device.</t>
  </si>
  <si>
    <t>978-1-6654-9996-5</t>
  </si>
  <si>
    <t>10.1109/ETFA52439.2022.9921547</t>
  </si>
  <si>
    <t xml:space="preserve">Ministry of Education; </t>
  </si>
  <si>
    <t>https://ieeexplore.ieee.org/stamp/stamp.jsp?arnumber=9921547</t>
  </si>
  <si>
    <t>OPC UA;secure onboarding;Industry 4.0</t>
  </si>
  <si>
    <t>Performance evaluation;Protocols;Authentication;Web servers;Security;Task analysis;Standards</t>
  </si>
  <si>
    <t>6-9 Sept. 2022</t>
  </si>
  <si>
    <t>URLLC-Based Cooperative Industrial IoT Networks With Nonlinear Energy Harvesting</t>
  </si>
  <si>
    <t>S. Kurma; P. K. Sharma; K. Singh; S. Mumtaz; C. -P. Li</t>
  </si>
  <si>
    <t>Department of Electronics and Communication Engineering, Visvesvaraya National Institute of Technology, Nagpur, India; Department of Electronics and Communication Engineering, Visvesvaraya National Institute of Technology, Nagpur, India; Institute of Communications Engineering, National Sun Yat-sen University, Kaohsiung, Taiwan; Instituto de Telecomunicações, Aveiro, Portugal; Institute of Communications Engineering, National Sun Yat-sen University, Kaohsiung, Taiwan</t>
  </si>
  <si>
    <t>2078</t>
  </si>
  <si>
    <t>2088</t>
  </si>
  <si>
    <t>The efficient and effective framework for next-generation (5G and beyond 5G) wireless networks should include mission-critical aspects such as ultralow latency ($\leq \!\!1$ ms), ultrahigh reliability (99.999%), and enhanced data rate. Billions of ubiquitously connected devices are expected to serve various industrial applications in upcoming industry standards such as Industry 5.0. These industrial applications include mission-critical tasks such as smart grids, remote surgery, and intelligent transportation systems. This article considers an industrial Internet of Things (IIoT) environment in mission-critical ultrareliable low latency communication (URLLC) application where the main industrial unit or industrial control node (CN) sends messages to the target device (TD) with the aid of a cooperative device (CD). We investigate a novel transmission protocol and analyze the network’s performance. Considering the nonlinear energy harvesting (EH) mechanism at power-constrained nodes and direct and cooperative phase transmissions, the outage probability (OP) and block error rate (BLER) performances are evaluated for Rayleigh distributed fading channels. The analytical results are validated through Monte–Carlo simulations.</t>
  </si>
  <si>
    <t>10.1109/TII.2022.3166808</t>
  </si>
  <si>
    <t xml:space="preserve">Ministry of Science and Technology, Taiwan(grant numbers:MOST 110-2221-E-110-020,MOST 109-2221-E-110-050-MY3); </t>
  </si>
  <si>
    <t>https://ieeexplore.ieee.org/stamp/stamp.jsp?arnumber=9756304</t>
  </si>
  <si>
    <t>Device selection;energy harvesting (EH);industrial Internet of Things (IIoT);nonlinear (NL);outage probability (OP);ultrareliable low latency communication (URLLC)</t>
  </si>
  <si>
    <t>Ultra reliable low latency communication;Signal to noise ratio;Protocols;Industrial Internet of Things;Reliability;Performance evaluation;Internet of Things</t>
  </si>
  <si>
    <t>X. Wang; İ. Mutlu; F. Rani; L. Drowatzky; L. Urbas</t>
  </si>
  <si>
    <t>Faculty of Electrical and Computer Engineering, Technische Universität Dresden, Germany; Faculty of Electrical and Computer Engineering, Technische Universität Dresden, Germany; Faculty of Electrical and Computer Engineering, Technische Universität Dresden, Germany; Faculty of Mechanical Science and Engineering, Technische Universität Dresden, Germany; Faculty of Electrical and Computer Engineering, Technische Universität Dresden, Germany</t>
  </si>
  <si>
    <t>2022 32nd International Telecommunication Networks and Applications Conference (ITNAC)</t>
  </si>
  <si>
    <t>170</t>
  </si>
  <si>
    <t>177</t>
  </si>
  <si>
    <t>With the boom of Industry 4.0 for industrial automation, the data exchange between the different industrial devices has tremendously increased through local (edge) and cloud computing. Nowadays, several communication protocols are available to realize data acquisition in the industry. As a result, understanding the practical capabilities of each communication protocol arises as an essential issue in optimizing the data acquisition and storage in industrial plants. This study aims to develop a software-based test environment to evaluate the performance of two widely used communication protocols within the scope of the Industrial Internet of Things (IIoT). These contemplated protocols are Open Platform Communications Unified Architecture (OPC UA) and Message Queuing Telemetry Transport (MQTT). With the help of the developed test environment, several performance metrics, like packet overhead, latency, packet loss ratio, and CPU utilization, are evaluated for different application scenarios where the varying number of clients and subscribers are considered. Derived results indicate the stronger parts of each protocol under varying communication configurations.</t>
  </si>
  <si>
    <t>2474-154X</t>
  </si>
  <si>
    <t>978-1-6654-7103-9</t>
  </si>
  <si>
    <t>https://ieeexplore.ieee.org/stamp/stamp.jsp?arnumber=9998327</t>
  </si>
  <si>
    <t>Communication Protocols;OPC UA;MQTT;Performance Evaluation;Data Exchange;Industry 4.0</t>
  </si>
  <si>
    <t>Industries;Protocols;Data acquisition;Packet loss;Computer architecture;Communications technology;Industrial plants</t>
  </si>
  <si>
    <t>EU</t>
  </si>
  <si>
    <t>30 Nov.-2 Dec. 2022</t>
  </si>
  <si>
    <t>Network Simulation in a TCP-Enabled Industrial Internet of Things Environment-Reproducibility Issues for Performance Evaluation</t>
  </si>
  <si>
    <t>D. Morato; C. Pérez-Gómara; E. Magaña; M. Izal</t>
  </si>
  <si>
    <t>Department of Electrical, Electronic, and Communications Engineering, Public University of Navarre, Pamplona, Spain; Department of Automatics and Computer Sciences, Public University of Navarre, Pamplona, Spain; Department of Electrical, Electronic, and Communications Engineering, Public University of Navarre, Pamplona, Spain; Department of Electrical, Electronic, and Communications Engineering, Public University of Navarre, Pamplona, Spain</t>
  </si>
  <si>
    <t>807</t>
  </si>
  <si>
    <t>815</t>
  </si>
  <si>
    <t>Network simulation is a tool used to analyze and predict the performance of Industrial Internet of Things deployments while dealing with the complexity of real testbeds. Large network deployments with complex protocols such as transmission control protocol are subject to chaos-theory behavior, i.e., small changes in the implementation of the protocol stack or simulator behavior may result in large differences in the performance results. In this article, we present the results of simulating two different scenarios using three simulators. The first scenario focuses on the Incast phenomenon in a local area network where sensor data are collected. The second scenario focuses on a congested link traversed by the collected measurements. The performance metrics obtained from the simulators are compared among them and with ground-truth obtained from real network experiments. The results demonstrate how subtle implementation differences in network simulators impact performance results, and how network engineers must consider these differences.</t>
  </si>
  <si>
    <t>10.1109/TII.2021.3084128</t>
  </si>
  <si>
    <t xml:space="preserve">Agencia Estatal de Investigación(grant numbers:PID2019-104451RB-C22/AEI/10.13039/501100011033); </t>
  </si>
  <si>
    <t>https://ieeexplore.ieee.org/stamp/stamp.jsp?arnumber=9442332</t>
  </si>
  <si>
    <t>Computer simulation;internet of Things;reproducibility</t>
  </si>
  <si>
    <t>Protocols;Industrial Internet of Things;Data models;Computational modeling;Switches;Software;Informatics</t>
  </si>
  <si>
    <t>Feb. 2022</t>
  </si>
  <si>
    <t>P. Kumar; S. Mullick; R. Das; A. Nandi; I. Banerjee</t>
  </si>
  <si>
    <t>Department of Information Technology, Indian Institute of Engineering Science and Technology Shibpur, Howrah, India; Department of Information Technology, Indian Institute of Engineering Science and Technology Shibpur, Howrah, India; Department of Computer Science and Business Systems, Institute of Engineering and Management, Kolkata, India; Department of Computer Science and Business Systems, Institute of Engineering and Management, Kolkata, India; Department of Information Technology, Indian Institute of Engineering Science and Technology Shibpur, Howrah, India</t>
  </si>
  <si>
    <t>8453</t>
  </si>
  <si>
    <t>8460</t>
  </si>
  <si>
    <t>The necessity for strong security measures to fend off cyberattacks has increased due to the growing use of industrial Internet of Things (IIoT) technologies. This research introduces IoTForge Pro, a comprehensive security testbed designed to generate a diverse and extensive intrusion dataset for IIoT environments. The testbed simulates various IIoT scenarios, incorporating network topologies and communication protocols to create realistic attack vectors and normal traffic patterns. The generated dataset, named ForgeIIOT, includes various attack types, such as denial-of-service, man-in-the-middle, ransomware, wildcard abuse, and malware-based intrusions, providing a valuable resource for developing and evaluating intrusion detection systems (IDSs). Additionally, we apply advanced machine learning techniques to analyze the ForgeIIOT dataset, demonstrating the effectiveness of different models in identifying and classifying various types of cyberattacks. Our experimental results highlight the potential of machine learning algorithms in enhancing the security of IIoT systems by accurately detecting anomalies and malicious activities. This research contributes to the field by offering a rich dataset and a robust framework for testing and improving IDS for IIoT, ultimately aiming to strengthen the cybersecurity posture of industrial networks.</t>
  </si>
  <si>
    <t>https://ieeexplore.ieee.org/stamp/stamp.jsp?arnumber=10755037</t>
  </si>
  <si>
    <t>Attack detection;industrial Internet of Things (IIoT)/cybersecurity datasets;intrusion detection system (IDS);machine learning;message queuing telemetry transport (MQTT)</t>
  </si>
  <si>
    <t>Industrial Internet of Things;Computer crime;Machine learning;Intrusion detection;IP networks;Telecommunication traffic;Protocols;Machine learning algorithms;Training;Sensor phenomena and characterization</t>
  </si>
  <si>
    <t>1 April1, 2025</t>
  </si>
  <si>
    <t>Architecture of Modular System for Assessing Security of Telemetry Information Transmission System</t>
  </si>
  <si>
    <t>A. I. Frid; A. M. Vulfin; V. V. Berkholts</t>
  </si>
  <si>
    <t>Department of Computer Science and Robotics, Ufa State Aviation Technical University, Ufa, Russia; Department of Computer Science and Robotics, Ufa State Aviation Technical University, Ufa, Russia; Department of Computer Science and Robotics, Ufa State Aviation Technical University, Ufa, Russia</t>
  </si>
  <si>
    <t>2018 International Conference on Industrial Engineering, Applications and Manufacturing (ICIEAM)</t>
  </si>
  <si>
    <t>This article discusses an assessment system of security level of aircraft's telemetry information transmission system. The paper analyses methods of air-ground communication systems and their security level. Analysis shows a need to build an assessment system of the overall integral index of dependability. This article contains detailed structural scheme of collection and transmission of telemetry system and scheme of protocols used in such type of communication. The security assessment system is presented as a bunch of different modules such as attack graph building module, module for simulation actions of an intruder, etc. All of them are connected to each other. As a result, the user can get recommendations on how to fix discovered software and hardware vulnerabilities as well as a list of identified weaknesses in the security policy. This allows to form an integral evaluation of the overall level of system security, as one of the basic components of the dependability as well as the level of the security of its components.</t>
  </si>
  <si>
    <t>978-1-5386-4307-5</t>
  </si>
  <si>
    <t>10.1109/ICIEAM.2018.8728730</t>
  </si>
  <si>
    <t>https://ieeexplore.ieee.org/stamp/stamp.jsp?arnumber=8728730</t>
  </si>
  <si>
    <t>imitation modeling;security;IIoT;aircraft communication;telemetry;dependability</t>
  </si>
  <si>
    <t>Security;Aircraft;Telemetry;Atmospheric modeling;Synthetic aperture sonar;Aircraft manufacture;Analytical models</t>
  </si>
  <si>
    <t>15-18 May 2018</t>
  </si>
  <si>
    <t>Safeguarding Inter-Device Communications for Connected Systems: A Holistic Security Framework</t>
  </si>
  <si>
    <t>V. Eftekhari Moghadam; P. Prinetto</t>
  </si>
  <si>
    <t>CINI Cybersecurity National Lab., Politecnico di Torino, Turin, Italy; CINI Cybersecurity National Lab., Politecnico di Torino, Turin, Italy</t>
  </si>
  <si>
    <t>2023 3rd International Conference on Electrical, Computer, Communications and Mechatronics Engineering (ICECCME)</t>
  </si>
  <si>
    <t>Embedded devices are a critical part of modern interconnected systems, from industrial control systems to consumer electronics. These devices are designed to perform specific functions and are often connected to networks or other devices, enabling them to exchange data and commands. However, as these devices become more connected, they also become more vulnerable to security threats.One area of particular concern is the security of embedded communication protocols. These protocols play a critical role in enabling devices to exchange data and commands with each other, but they are also vulnerable to various attack vectors that can be exploited by attackers to gain unauthorized access, modify data, or disrupt communication. To mitigate these security risks, the National Institute of Standards and Technology (NIST) has provided guidelines for securing communication protocols. These guidelines emphasize the importance of implementing secure design practices, such as using encryption, authentication, and authorization mechanisms, and limiting communication to only what is necessary.To address embedded devices’ security needs and ensure information security while abstracting away the use of particular communication protocols, this paper aims to introduce a security-enhanced communication framework over standard communication protocols used in embedded devices that are deployed in many mission-critical or safety-critical domains. The work also presents an implementation of the framework over standard I2C communication protocol as a reference implementation.</t>
  </si>
  <si>
    <t>979-8-3503-2297-2</t>
  </si>
  <si>
    <t>10.1109/ICECCME57830.2023.10252717</t>
  </si>
  <si>
    <t>https://ieeexplore.ieee.org/stamp/stamp.jsp?arnumber=10252717</t>
  </si>
  <si>
    <t>cybersecurity;information security;embedded systems;communication protocols;IoT;distributed systems</t>
  </si>
  <si>
    <t>Performance evaluation;Protocols;Mechatronics;Limiting;Mission critical systems;Information security;Interconnected systems</t>
  </si>
  <si>
    <t>19-21 July 2023</t>
  </si>
  <si>
    <t>A Survey on Industrial Control System Testbeds and Datasets for Security Research</t>
  </si>
  <si>
    <t>M. Conti; D. Donadel; F. Turrin</t>
  </si>
  <si>
    <t>Department of Mathematics, University of Padova, Padua, Italy; Department of Mathematics, University of Padova, Padua, Italy; Department of Mathematics, University of Padova, Padua, Italy</t>
  </si>
  <si>
    <t>IEEE Communications Surveys &amp; Tutorials</t>
  </si>
  <si>
    <t>2248</t>
  </si>
  <si>
    <t>2294</t>
  </si>
  <si>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t>
  </si>
  <si>
    <t>1553-877X</t>
  </si>
  <si>
    <t>10.1109/COMST.2021.3094360</t>
  </si>
  <si>
    <t xml:space="preserve">Cariparo Foundation; Yarix S.r.l; </t>
  </si>
  <si>
    <t>https://ieeexplore.ieee.org/stamp/stamp.jsp?arnumber=9471765</t>
  </si>
  <si>
    <t>Cyber-physical systems;industrial control systems;security;intrusion detection systems;dataset;testbed</t>
  </si>
  <si>
    <t>Integrated circuits;Security;Testing;Protocols;Companies;Tutorials;Trojan horses</t>
  </si>
  <si>
    <t>Fourthquarter 2021</t>
  </si>
  <si>
    <t>Security and Effectiveness Analysis of the Gateway Integrity Checking Protocol</t>
  </si>
  <si>
    <t>M. M. de Lucena; A. A. Fröhlich</t>
  </si>
  <si>
    <t>Federal University of Santa Catarina, Florianópolis, Brazil; Federal University of Santa Catarina, Florianópolis, Brazil</t>
  </si>
  <si>
    <t>IEEE Transactions on Dependable and Secure Computing</t>
  </si>
  <si>
    <t>2396</t>
  </si>
  <si>
    <t>2404</t>
  </si>
  <si>
    <t>Industrial Internet of Things (IIoT) gateways connected to the Internet are often based on conventional operating systems such as Linux and on conventional communication protocols such as HTTPS and therefore are valuable targets for malicious attackers. When compromised, a malicious IIoT gateway can interfere with data exchanged between IIoT devices and systems running on servers or the Cloud. The Gateway Integrity Checking Protocol (GIP), proposed in previous work, defines a gossip mechanism to collect data from sets of IIoT devices to respond to security challenges issued by an External Security Agent (ESA) to assess a gateway's trustworthiness. GIP relies on a secure channel between IIoT devices and the ESA, which is achieved using a Public Key Infrastructure (PKI) for message authentication and encryption. In this article, we perform an analysis of the security measures employed by GIP, using formal descriptions to demonstrate that GIP is no less secure than the hash algorithm and the public key infrastructure used. Additionally, we simulate different configurations of GIP to measure detection rate and time to detect integrity faults.</t>
  </si>
  <si>
    <t>1941-0018</t>
  </si>
  <si>
    <t>10.1109/TDSC.2021.3058057</t>
  </si>
  <si>
    <t xml:space="preserve">Coordenação de Aperfeiçoamento de Pessoal de Nível Superior; </t>
  </si>
  <si>
    <t>https://ieeexplore.ieee.org/stamp/stamp.jsp?arnumber=9351706</t>
  </si>
  <si>
    <t>Network Security;IIoT gateway;secure communication protocols;gateway integrity checking</t>
  </si>
  <si>
    <t>Logic gates;Protocols;Security;Industrial Internet of Things;Public key;Internet;Cloud computing</t>
  </si>
  <si>
    <t>1 July-Aug. 2022</t>
  </si>
  <si>
    <t>1949-0313</t>
  </si>
  <si>
    <t>Methodology for Analyzing the Performance of 5G-NR Networks During Initial Planning Without Deployment Using the NS-3 Network Simulator</t>
  </si>
  <si>
    <t>A. Y. Larionov; E. E. Karanova</t>
  </si>
  <si>
    <t>ITMO University, ITMO, Saint-Petersburg, Russia; LLC “STC”, Saint-Petersburg, Russia</t>
  </si>
  <si>
    <t>2024 International Conference on Industrial Engineering, Applications and Manufacturing (ICIEAM)</t>
  </si>
  <si>
    <t>1141</t>
  </si>
  <si>
    <t>1145</t>
  </si>
  <si>
    <t>The primary goal of this research is to improve the performance of fifth-generation (5G) wireless networks. This study will examine existing algorithms for creating and implementing 5G infrastructure, as well as conducting simulation experiments using current network configurations. Through these trials, we will gain insights into the parameters of 5G systems and assess the effectiveness of these networks at the initial stage of planning, before actual deployment. This process will significantly enhance the efficiency of communication network planning, especially in industrial Internet of Things (IoT) applications. Furthermore, by optimizing 5G networks for industrial use cases, this research aims to unlock transformative capabilities, such as real-time monitoring, predictive maintenance, and seamless integration of machinery and devices, thereby fostering Industry 4.0 initiatives and enhancing productivity and competitiveness in industrial settings.</t>
  </si>
  <si>
    <t>979-8-3503-9501-3</t>
  </si>
  <si>
    <t>10.1109/ICIEAM60818.2024.10554060</t>
  </si>
  <si>
    <t>https://ieeexplore.ieee.org/stamp/stamp.jsp?arnumber=10554060</t>
  </si>
  <si>
    <t>algorithm;model;scheduler;performance evaluation;resource allocation;NS-3;5G-NR</t>
  </si>
  <si>
    <t>Performance evaluation;Transport protocols;Analytical models;5G mobile communication;Wireless networks;Throughput;Planning</t>
  </si>
  <si>
    <t>20-24 May 2024</t>
  </si>
  <si>
    <t>The Cybersecurity Landscape in Industrial Control Systems</t>
  </si>
  <si>
    <t>S. McLaughlin; C. Konstantinou; X. Wang; L. Davi; A. -R. Sadeghi; M. Maniatakos; R. Karri</t>
  </si>
  <si>
    <t>KNOX Security, Samsung Research America, Mountain View, CA, USA; Polytechnic School of Engineering, New York University, Brooklyn, NY, USA; Polytechnic School of Engineering, New York University, Brooklyn, NY, USA; Technische Universität Darmstadt, Darmstadt, Germany; Technische Universität Darmstadt, Darmstadt, Germany; Electrical and Computer Engineering Department, New York University Abu Dhabi, Abu Dhabi, UAE; Polytechnic School of Engineering, New York University, Brooklyn, NY, USA</t>
  </si>
  <si>
    <t>Proceedings of the IEEE</t>
  </si>
  <si>
    <t>1039</t>
  </si>
  <si>
    <t>1057</t>
  </si>
  <si>
    <t>Industrial control systems (ICSs) are transitioning from legacy-electromechanical-based systems to modern information and communication technology (ICT)-based systems creating a close coupling between cyber and physical components. In this paper, we explore the ICS cybersecurity landscape including: 1) the key principles and unique aspects of ICS operation; 2) a brief history of cyberattacks on ICS; 3) an overview of ICS security assessment; 4) a survey of “uniquely-ICS” testbeds that capture the interactions between the various layers of an ICS; and 5) current trends in ICS attacks and defenses.</t>
  </si>
  <si>
    <t>1558-2256</t>
  </si>
  <si>
    <t>10.1109/JPROC.2015.2512235</t>
  </si>
  <si>
    <t xml:space="preserve">German Science Foundation; European Union's Seventh Framework Programme(grant numbers:609611); Intel Collaborative Research Institute for Secure Computing (ICRI-SC); Consolidated Edison, Inc.(grant numbers:4265141); U.S. Office of Naval Research(grant numbers:N00014-15-1-2182); NYU Center for Cyber Security (New York and Abu Dhabi); </t>
  </si>
  <si>
    <t>https://ieeexplore.ieee.org/stamp/stamp.jsp?arnumber=7434576</t>
  </si>
  <si>
    <t>Computer security;industrial control;networked control systems;power system security;SCADA systems;security;Computer security;industrial control;networked control systems;power system security;SCADA systems;security</t>
  </si>
  <si>
    <t>Computer security;Process control;Production facilities;Computer crime;Cyber-physical systems;SCADA systems;Industrial plants</t>
  </si>
  <si>
    <t>May 2016</t>
  </si>
  <si>
    <t>Performance Evaluation of Containerization in Edge-Cloud Computing Stacks for Industrial Applications: A Client Perspective</t>
  </si>
  <si>
    <t>Y. Liu; D. Lan; Z. Pang; M. Karlsson; S. Gong</t>
  </si>
  <si>
    <t>Department of Science and Technology, Linköping University, Norrköping, Sweden; Department of Informatics, University of Oslo, Oslo, Norway; ABB AB, Corporate Research, Forskargränd 7, Västerås, Västmanland, Sweden; Department of Science and Technology, Linköping University, Norrköping, Sweden; Department of Science and Technology, Linköping University, Norrköping, Sweden</t>
  </si>
  <si>
    <t>IEEE Open Journal of the Industrial Electronics Society</t>
  </si>
  <si>
    <t>153</t>
  </si>
  <si>
    <t>168</t>
  </si>
  <si>
    <t>Today, the edge-cloud computing paradigm starts to gain increasing popularity, aiming to enable short latency, fast decision-making and intelligence at the network edge, especially for industrial applications. The container-based virtualization technology has been put on the roadmap by the industry to implement edge-cloud computing infrastructures. Has the performance of the container-based edge-cloud computing stacks reached industry requirement? In this paper, from the industrial client perspective, we provide a performance evaluation methodology and apply it to the state-of-the-art containerization-based edge-cloud computing infrastructures. The influences of the message sending interval, payload, network bandwidth and concurrent devices on full stack latency are measured, and the processing capability of executing machine learning tasks are benchmarked. The results show that containerization on the edge does not introduce noticeable performance degradation in terms of communication, computing and intelligence capabilities, making it a promising technology for the edge-cloud computing paradigm. However, there is a large room for performance improvement between current implementation of the edge-cloud infrastructure and the demanding requirements anticipated by time-critical industrial applications. We also emphasize and showcase that partitioning of an industrial application into microservices throughout the whole stack can be considered during solution design. The proposed evaluation methodology can be a reference to users of edge-cloud computing as well as developers to get a client perspective overview of system performance.</t>
  </si>
  <si>
    <t>2644-1284</t>
  </si>
  <si>
    <t>10.1109/OJIES.2021.3055901</t>
  </si>
  <si>
    <t xml:space="preserve">Swedish Innovation Agency, Vinnova; </t>
  </si>
  <si>
    <t>https://ieeexplore.ieee.org/stamp/stamp.jsp?arnumber=9343777</t>
  </si>
  <si>
    <t>Performance evaluation;edge-cloud computing;containerization;partitioning</t>
  </si>
  <si>
    <t>Cloud computing;Performance evaluation;Computational modeling;Containers;Protocols;Industrial electronics;Computer architecture</t>
  </si>
  <si>
    <t>2021</t>
  </si>
  <si>
    <t>Design and Implementation of Full-Scale Industrial Control System Test Bed for Assessing Cyber-Security Defenses</t>
  </si>
  <si>
    <t>R. E. Gillen; L. A. Anderson; C. Craig; J. Johnson; A. Columbia; R. Anderson; A. Craig; S. L. Scott</t>
  </si>
  <si>
    <t>Oak Ridge National Laboratory; Oak Ridge National Laboratory; Oak Ridge National Laboratory; Oak Ridge National Laboratory; University of Texas, San Antonio; Massachusetts Institute of Technology; Tennessee Technological University; Tennessee Technological University</t>
  </si>
  <si>
    <t>2020 IEEE 21st International Symposium on "A World of Wireless, Mobile and Multimedia Networks" (WoWMoM)</t>
  </si>
  <si>
    <t>341</t>
  </si>
  <si>
    <t>346</t>
  </si>
  <si>
    <t>In response to the increasing awareness of the Ethernet-based threat surface of industrial control systems (ICS), both the research and commercial communities are responding with ICS-specific security solutions. Unfortunately, many of the properties of ICS environments that contribute to the extent of this threat surface (e.g. age of devices, inability or unwillingness to patch, criticality of the system) similarly prevent the proper testing and evaluation of these security solutions. Production environments are often too fragile to introduce unvetted technology and most organizations lack test environments that are sufficiently consistent with production to yield actionable results. Cost and space requirements prevent the creation of mirrored physical environments leading many to look towards simulation or virtualization. Examples in literature provide various approaches to building ICS test beds, though most of these suffer from a lack of realism due to contrived scenarios, synthetic data and other compromises. In this paper, we provide a design methodology for building highly realistic ICS test beds for validating cybersecurity defenses. We then apply that methodology to the design and building of a specific test bed and describe the results and experimental use cases.</t>
  </si>
  <si>
    <t>978-1-7281-7374-0</t>
  </si>
  <si>
    <t>10.1109/WoWMoM49955.2020.00064</t>
  </si>
  <si>
    <t>https://ieeexplore.ieee.org/stamp/stamp.jsp?arnumber=9217693</t>
  </si>
  <si>
    <t>industrial control systems;test beds;cyber security</t>
  </si>
  <si>
    <t>Production;Hardware;Integrated circuit modeling;Safety;Computer security</t>
  </si>
  <si>
    <t>31 Aug.-3 Sept. 2020</t>
  </si>
  <si>
    <t>A Cyber-Security Methodology for a Cyber-Physical Industrial Control System Testbed</t>
  </si>
  <si>
    <t>M. Noorizadeh; M. Shakerpour; N. Meskin; D. Unal; K. Khorasani</t>
  </si>
  <si>
    <t>Department of Electrical Engineering, Qatar University, Doha, Qatar; KINDI Center for Computing Research, Qatar University, Doha, Qatar; Department of Electrical Engineering, Qatar University, Doha, Qatar; KINDI Center for Computing Research, Qatar University, Doha, Qatar; Department of Electrical and Computer Engineering, Concordia University, Montreal, Canada</t>
  </si>
  <si>
    <t>16239</t>
  </si>
  <si>
    <t>16253</t>
  </si>
  <si>
    <t>Due to recent increase in deployment of Cyber-Physical Industrial Control Systems in different critical infrastructures, addressing cyber-security challenges of these systems is vital for assuring their reliability and secure operation in presence of malicious cyber attacks. Towards this end, developing a testbed to generate real-time data-sets for critical infrastructure that would be utilized for validation of real-time attack detection algorithms are indeed highly needed. This paper investigates and proposes the design and implementation of a cyber-physical industrial control system testbed where the Tennessee Eastman process is simulated in real-time on a PC and the closed-loop controllers are implemented on the Siemens PLCs. False data injection cyber attacks are injected to the developed testbed through the man-in-the-middle structure where the malicious hackers can in real-time modify the sensor measurements that are sent to the PLCs. Furthermore, various cyber attack detection algorithms are developed and implemented in real-time on the testbed and their performance and capabilities are compared and evaluated.</t>
  </si>
  <si>
    <t>10.1109/ACCESS.2021.3053135</t>
  </si>
  <si>
    <t xml:space="preserve">Qatar National Research Fund (a member of the Qatar Foundation) through the National Priorities Research Program (NPRP)(grant numbers:10-0105-17017); North Atlantic Treaty Organization (NATO) through the Emerging Security Challenges Division Program; </t>
  </si>
  <si>
    <t>https://ieeexplore.ieee.org/stamp/stamp.jsp?arnumber=9328778</t>
  </si>
  <si>
    <t>Industrial control systems;cyber attack;attack detection algorithm;man-in-the-middle attack;hybrid testbed</t>
  </si>
  <si>
    <t>Cyberattack;Real-time systems;Detection algorithms;Protocols;Process control;Data models;Water pollution</t>
  </si>
  <si>
    <t>Improving Substation Network Security with DevSecOps and AIOps</t>
  </si>
  <si>
    <t>W. Yu; J. Qian; R. Xu; C. Jin; H. Fang; X. Shi</t>
  </si>
  <si>
    <t>State Grid Zhoushan Electric Power Supply Company of Zhejiang Power Corporation, Zhoushan, China; State Grid Zhoushan Electric Power Supply Company of Zhejiang Power Corporation, Zhoushan, China; State Grid Zhoushan Electric Power Supply Company of Zhejiang Power Corporation, Zhoushan, China; State Grid Zhoushan Electric Power Supply Company of Zhejiang Power Corporation, Zhoushan, China; State Grid Zhoushan Electric Power Supply Company of Zhejiang Power Corporation, Zhoushan, China; State Grid Zhoushan Electric Power Supply Company of Zhejiang Power Corporation, Zhoushan, China</t>
  </si>
  <si>
    <t>2024 IEEE 10th Conference on Big Data Security on Cloud (BigDataSecurity)</t>
  </si>
  <si>
    <t>113</t>
  </si>
  <si>
    <t>118</t>
  </si>
  <si>
    <t>Substation networks face growing cybersecurity threats as they adopt more connected technologies and IP-based communication protocols. However, the complex and heterogeneous nature of these operational technology (OT) environments makes manual security management inefficient and reactive. This paper proposes a framework to enhance substation network security using DevSecOps and AIOps. DevSecOps integrates security into development and operations workflows while AIOps leverages artificial intelligence to automate IT operations. Our framework implements continuous security monitoring, automated threat detection, and orchestrated response mechanisms. We developed a prototype on an emulated substation network and conducted experiments to evaluate its effectiveness. Results show the framework can automatically handle 82.4% of security alerts while reducing mean time to respond by 62.3%. The use of machine learning also enables the system to improve detection accuracy over time. This research highlights the benefits of combining AIOps and DevSecOps to build intelligent and proactive security capabilities for substation networks. Further work is needed to test the framework under diverse operating conditions.</t>
  </si>
  <si>
    <t>979-8-3503-8952-4</t>
  </si>
  <si>
    <t>10.1109/BigDataSecurity62737.2024.00027</t>
  </si>
  <si>
    <t>https://ieeexplore.ieee.org/stamp/stamp.jsp?arnumber=10565215</t>
  </si>
  <si>
    <t>Substation Network Security;Cybersecurity Threats;DevSecOps;AIOps;Automated Threat Detection;Machine Learning</t>
  </si>
  <si>
    <t>Substations;Protocols;Security management;Prototypes;Machine learning;Network security;Threat assessment</t>
  </si>
  <si>
    <t>10-12 May 2024</t>
  </si>
  <si>
    <t>Modelling Autonomous Mobile Robot Interaction with IIoT Environments</t>
  </si>
  <si>
    <t>A. M. J. Skulimowski; W. Szulc</t>
  </si>
  <si>
    <t>Decision Science Laboratory, AGH University, Kraków, Poland; Automatic Control and Robotics, AGH University</t>
  </si>
  <si>
    <t>2024 10th International Conference on Control, Decision and Information Technologies (CoDIT)</t>
  </si>
  <si>
    <t>2459</t>
  </si>
  <si>
    <t>2464</t>
  </si>
  <si>
    <t>This article studies the deployment of autonomous robots in smart environments equipped with Industrial Internet of Things (IIoT) infrastructure. First, we characterize state-of-the-art IIoT solutions based on a bibliographic and openweb surveys, focusing on the interaction between autonomous robots and the IIoT infrastructures in the context of Robot-as-a-Service (RaaS) paradigm. Then, we define the criteria and requirements for optimal integration of a robot team equipped with an Internet of Vehicles (IoV) communication protocol with an existing IIoT. Sensors, edge devices, and data exchange algorithms are highlighted as crucial elements of seamless soft- and hardware integration. Establishing a quick interaction of robot decision-making algorithms with IIoT is seen as instrumental in identifying bottlenecks and vulnerabilities of the overall system, and a key to its desired performance. Another relevant issue is safety assurance of robot team in an IIoT environment as reflected in the appropriate standards that advocate responsible and sustainable technological progress in AI-enabled robotic systems. Finally, we will provide a real-life application example illustrating the principles and advantages of appropriate multirobot team integration in covered crops smart horticulture. This example pertains to the relevant area of Agricultural IoT (AIoT) applications, specifically focusing on the design of autonomous fruit-picking robots embedded in a greenhouse or polytunnel control infrastructures. Existing AIoT and crop control is integrated with robot software such as anticipatory coordination algorithms, world model building, navigation, and SLAM. Optimal integration is reached via a prior simulation with a dedicated Digital Twin application implemented in Matlab.</t>
  </si>
  <si>
    <t>2576-3555</t>
  </si>
  <si>
    <t>979-8-3503-7397-4</t>
  </si>
  <si>
    <t>10.1109/CoDIT62066.2024.10708457</t>
  </si>
  <si>
    <t xml:space="preserve">European Regional Development Fund; </t>
  </si>
  <si>
    <t>https://ieeexplore.ieee.org/stamp/stamp.jsp?arnumber=10708457</t>
  </si>
  <si>
    <t>Industrial IoT;Agricultural IoT;Autonomous robots;Multi-robot teams;Discrete-event systems;Integration</t>
  </si>
  <si>
    <t>Performance evaluation;Protocols;Service robots;Robot kinematics;Mathematical models;Safety;Robots;Standards;Industrial Internet of Things;Autonomous robots</t>
  </si>
  <si>
    <t>1-4 July 2024</t>
  </si>
  <si>
    <t>Security intelligence for industrial control systems</t>
  </si>
  <si>
    <t>A. Amrein; V. Angeletti; A. Beitler; M. Német; M. Reiser; S. Riccetti; M. P. Stoecklin; A. Wespi</t>
  </si>
  <si>
    <t>Hochschule für Technik, Rapperswil HSR, Rapperswil, Switzerland; Enel Global ICT, Pisa, Italy; IBM Research Division, IBM Research - Zurich, Rueschlikon, Switzerland; IBM Research Division, IBM Research - Zurich, Rueschlikon, Switzerland; Hochschule für Technik, Rapperswil HSR, Rapperswil, Switzerland; IBM Global Cyber Security Intelligence and Response Team (CSIRT), IBM Italia, Segrate, Italy; IBM Research Division, IBM Thomas J. Watson Research Center, Yorktown Heights, NY, USA; IBM Research Division, IBM Research - Zurich, Rueschlikon, Switzerland</t>
  </si>
  <si>
    <t>IBM Journal of Research and Development</t>
  </si>
  <si>
    <t>13:1</t>
  </si>
  <si>
    <t>13:12</t>
  </si>
  <si>
    <t>While there is a broad corpus of security intelligence technologies and solutions for IT (information technology) networks, only moderate experience and investment exists in applying security intelligence approaches to OT (operational technology) networks. OT networks have traditionally been isolated from IT networks, and therefore, security has been of minor concern. Given the trend toward interconnecting OT and IT networks for business reasons, and given the disclosure of highly sophisticated attacks against OT environments, OT network operators increasingly recognize the need to deploy security solutions that are widely known in IT also to OT. OT networks are running critical control processes. Configuration changes are avoided to reduce the risk of misconfiguration or unforeseeable side effects detrimental to the network's operation. Therefore, passive non-intrusive security technologies are favored. Consequently, security intelligence applied to passively collected network data is the most acceptable technology to be deployed in OT networks. In this paper, we show how IT-specific security intelligence techniques can be applied to passively collected OT network data. The techniques have been developed for protecting SCADA (Supervisory Control and Data Acquisition) systems and have been validated in an industrial cyber security testing laboratory.</t>
  </si>
  <si>
    <t>0018-8646</t>
  </si>
  <si>
    <t>10.1147/JRD.2016.2575698</t>
  </si>
  <si>
    <t>https://ieeexplore.ieee.org/stamp/stamp.jsp?arnumber=7523351</t>
  </si>
  <si>
    <t>Indutrial control systems;Process control;Integrated circuits;Computer security;Software testing;Monitoring</t>
  </si>
  <si>
    <t>IBM</t>
  </si>
  <si>
    <t>July-Aug. 2016</t>
  </si>
  <si>
    <t>IBM Journals</t>
  </si>
  <si>
    <t>2473-3504</t>
  </si>
  <si>
    <t>676</t>
  </si>
  <si>
    <t>Experimental Platform for Testing Open Process Automation Technologies Based on OPC UA and IEC 61499</t>
  </si>
  <si>
    <t>E. T. G. Ramos; A. P. V. D. A. Aguiar; G. Acioli Júnior; P. Rezende Barros; M. Lopes de Lima</t>
  </si>
  <si>
    <t>Electrical Engineering Department, Federal University of Campina Grande, Campina Grande, Brazil; Electrical Engineering Department, Federal University of Campina Grande, Campina Grande, Brazil; Electrical Engineering Department, Federal University of Campina Grande, Campina Grande, Brazil; Electrical Engineering Department, Federal University of Campina Grande, Campina Grande, Brazil; CENPES/Petrobras, Rio de Janeiro, Brazil</t>
  </si>
  <si>
    <t>2024 Symposium on Internet of Things (SIoT)</t>
  </si>
  <si>
    <t>This paper presents a process control system platform for testing Open Process Automation technologies and Industrial Internet of Things attributes. The platform comprises a temperature process and two controllers running a distributed IEC 61499 function blocks application. The OPC UA protocol is used for the data exchange between the devices, with the definition of an information model. A test was performed by connecting an external client to the platform to monitor and control the process variables. By combining the IEC 61499 distributed control applications with the OPC UA protocol, the setup is used to assess the attributes of interoperability, modularity and application portability.</t>
  </si>
  <si>
    <t>979-8-3315-0746-6</t>
  </si>
  <si>
    <t>10.1109/SIoT63830.2024.10780765</t>
  </si>
  <si>
    <t>https://ieeexplore.ieee.org/stamp/stamp.jsp?arnumber=10780765</t>
  </si>
  <si>
    <t>Industrial automation;Open Process Automation;IIoT;OPC UA;IEC 61499</t>
  </si>
  <si>
    <t>Performance evaluation;Temperature sensors;Temperature measurement;Automation;Protocols;Process control;Temperature control;IEC Standards;Standards;Testing</t>
  </si>
  <si>
    <t>15-18 Oct. 2024</t>
  </si>
  <si>
    <t>Feasibility Study on Virtual Process Controllers as Basis for Future Industrial Automation Systems</t>
  </si>
  <si>
    <t>M. Gundall; C. Glas; H. D. Schotten</t>
  </si>
  <si>
    <t>German Research Center for Artificial Intelligence GmbH (DFKI), Kaiserslautern, Germany; German Research Center for Artificial Intelligence GmbH (DFKI), Kaiserslautern, Germany; German Research Center for Artificial Intelligence GmbH (DFKI), Kaiserslautern, Germany</t>
  </si>
  <si>
    <t>2021 22nd IEEE International Conference on Industrial Technology (ICIT)</t>
  </si>
  <si>
    <t>1080</t>
  </si>
  <si>
    <t>1087</t>
  </si>
  <si>
    <t>Industry 4.0 offers many possibilities for creating highly efficient and flexible manufacturing. To create such advantages, highly automated and thus digitized processes and systems are required. Here, most technologies known from the office floor are basically suitable for these tasks, but cannot meet the high demands of industrial use cases. Therefore, they cannot replace industrial technologies and devices that have performed well over decades “out of the box”. For this reason, many technologies known from the office floor are being investigated and adapted for industrial environments. An important task is the virtualization of process controls, as more and more devices use computation offloading, e.g. due to limited resources. In this paper we extend the work on our novel architecture that enables numerous use cases and meets industrial requirements by virtualizing process controllers. In addition, a testbed based on a factory scenario is proposed to evaluate the most important features of the presented architecture.</t>
  </si>
  <si>
    <t>978-1-7281-5730-6</t>
  </si>
  <si>
    <t>10.1109/ICIT46573.2021.9453651</t>
  </si>
  <si>
    <t>https://ieeexplore.ieee.org/stamp/stamp.jsp?arnumber=9453651</t>
  </si>
  <si>
    <t>Industry 4.0;Smart Manufacturing;Industrial Internet of Things;Virtualized Process Controller;Reconfiguration;Redeployment;Resilience</t>
  </si>
  <si>
    <t>Performance evaluation;Industries;Process control;Computer architecture;Production facilities;Internet;Task analysis</t>
  </si>
  <si>
    <t>10-12 March 2021</t>
  </si>
  <si>
    <t>12-16 May 2025</t>
  </si>
  <si>
    <t>A dual-standard solution for industrial Wireless Sensor Network deployment: Experimental testbed and performance evaluation</t>
  </si>
  <si>
    <t>E. Jecan; C. Pop; Z. Padrah; O. Ratiu; E. Puschita</t>
  </si>
  <si>
    <t>R&amp;D Department, Control Data Systems (CDS), Cluj-Napoca, Romania; R&amp;D Department, Control Data Systems (CDS), Cluj-Napoca, Romania; R&amp;D Department, Control Data Systems (CDS), Cluj-Napoca, Romania; R&amp;D Department, Control Data Systems (CDS), Cluj-Napoca, Romania; Communications Department, Technical University of Cluj-Napoca (TUC-N), Cluj-Napoca, Romania</t>
  </si>
  <si>
    <t>2018 14th IEEE International Workshop on Factory Communication Systems (WFCS)</t>
  </si>
  <si>
    <t>The scope of this paper is to evaluate the performance of a dual-standard, ISA100.11a and WirelessHART, industrial Wireless Sensor Network (WSN) testbed targeting the Industrial Internet of Things (IIoT). The originality of this paper consists in the evaluation of ISA100.11a and WirelessHART network performance not only side-by-side, but also within a dual-standard architecture. All test scenarios were performed on a real testbed comprising one Dual-Standard VR950 Gateway and 100 VS210 wireless field sensors configured in star and mesh network topologies. The key performance indicators considered are network join time, sensor data publishing success rate and Client/Server interrogations response time. Besides the enhancements provided by a multi-radio access system, the results of this work indicate that a dual-standard solution merges the standalone advantages into an overall better performing Industrial WSN.</t>
  </si>
  <si>
    <t>978-1-5386-1066-4</t>
  </si>
  <si>
    <t>10.1109/WFCS.2018.8402360</t>
  </si>
  <si>
    <t>https://ieeexplore.ieee.org/stamp/stamp.jsp?arnumber=8402360</t>
  </si>
  <si>
    <t>dual-standard gateway;ISA100;WirelessHART;Industrial WSN;IIoT;experimental testbed</t>
  </si>
  <si>
    <t>Wireless sensor networks;Logic gates;Wireless communication;Sensors;Protocols;IEEE 802.15 Standard</t>
  </si>
  <si>
    <t>13-15 June 2018</t>
  </si>
  <si>
    <t>Enabling multi-layer cyber-security assessment of Industrial Control Systems through Hardware-In-The-Loop testbeds</t>
  </si>
  <si>
    <t>A. Keliris; C. Konstantinou; N. G. Tsoutsos; R. Baiad; M. Maniatakos</t>
  </si>
  <si>
    <t>New York University, School of Engineering, New York, USA; New York University, School of Engineering, New York, USA; New York University, School of Engineering, New York, USA; New York University Abu Dhabi, Abu Dhabi, UAE; New York University Abu Dhabi, Abu Dhabi, UAE</t>
  </si>
  <si>
    <t>2016 21st Asia and South Pacific Design Automation Conference (ASP-DAC)</t>
  </si>
  <si>
    <t>511</t>
  </si>
  <si>
    <t>518</t>
  </si>
  <si>
    <t>Industrial Control Systems (ICS) are under modernization towards increasing efficiency, reliability, and controllability. Despite the numerous benefits of interconnecting ICS components, the wide adoption of Information Technologies (IT) has introduced new security challenges and vulnerabilities to industrial processes, previously obscured by the systems' custom designs. Towards securing the backbone of critical infrastructure, selection of the proper assessment environment for performing cyber-security assessments is crucial. In this paper, we present a layered analysis of vulnerabilities and threats in ICS components, that identifies the need for including real hardware components in the assessment environment. Moreover, we advocate the suitability of Hardware-In-The-Loop testbeds for ICS cyber-security assessment and present their advantages over other assessment environments.</t>
  </si>
  <si>
    <t>2153-697X</t>
  </si>
  <si>
    <t>978-1-4673-9569-4</t>
  </si>
  <si>
    <t>10.1109/ASPDAC.2016.7428063</t>
  </si>
  <si>
    <t>https://ieeexplore.ieee.org/stamp/stamp.jsp?arnumber=7428063</t>
  </si>
  <si>
    <t>Computer security;Hardware;Software;Protocols;Process control;Circuit faults</t>
  </si>
  <si>
    <t>25-28 Jan. 2016</t>
  </si>
  <si>
    <t>77</t>
  </si>
  <si>
    <t>H. A. Chattha; M. M. U. Rehman; G. Mustafa; A. Q. Khan; M. Abid; E. U. Haq</t>
  </si>
  <si>
    <t>Department of Electrical Engineering, Pakistan Institute of Engineering and Applied Sciences, Islamabad, Pakistan; Department of Electrical Engineering, Pakistan Institute of Engineering and Applied Sciences, Islamabad, Pakistan; Department of Electrical Engineering, Pakistan Institute of Engineering and Applied Sciences, Islamabad, Pakistan; Department of Electrical Engineering, Pakistan Institute of Engineering and Applied Sciences, Islamabad, Pakistan; Department of Electrical Engineering, Pakistan Institute of Engineering and Applied Sciences, Islamabad, Pakistan; Department of Electrical Engineering, Pakistan Institute of Engineering and Applied Sciences, Islamabad, Pakistan</t>
  </si>
  <si>
    <t>2021 International Conference on Cyber Warfare and Security (ICCWS)</t>
  </si>
  <si>
    <t>45</t>
  </si>
  <si>
    <t>50</t>
  </si>
  <si>
    <t>Modbus is a popular industrial communication protocol supported by most automation devices. Despite its popularity, it is not a secure protocol because when it was developed, security was not a concern due to closed environments of industrial control systems. With the convergence of information technology and operational technology in recent years, the security of industrial control systems has become a serious concern. Due to the high availability requirements, it is not practical or feasible to do security experimentation of production systems. We present an implementation of cyber-physical systems with Modbus/TCP communication for real-time security testing. The proposed architecture consists of a process simulator, an IEC 61131-3 compliant programmable logic controller, and a human-machine interface, all communicating via Modbus/TCP protocol. We use Simulink as the process simulator. It does not have built-in support for the Modbus protocol. A contribution of the proposed work is to extend the functionality of Simulink with a custom block to enable Modbus communication. We use two case studies to demonstrate the utility of the cyber-physical system architecture. We can model complex industrial processes with this architecture, can launch cyber-attacks, and develop protection mechanisms.</t>
  </si>
  <si>
    <t>978-1-6654-1208-7</t>
  </si>
  <si>
    <t xml:space="preserve">Higher Education Commission of Pakistan; </t>
  </si>
  <si>
    <t>https://ieeexplore.ieee.org/stamp/stamp.jsp?arnumber=9702959</t>
  </si>
  <si>
    <t>Cyber-physical systems;Modbus protocol;Cyber-attack;SCADA;OpenPLC;Matlab/Simulink</t>
  </si>
  <si>
    <t>Protocols;Software packages;Programmable logic devices;Process control;Cyber-physical systems;Real-time systems;Security</t>
  </si>
  <si>
    <t>23-25 Nov. 2021</t>
  </si>
  <si>
    <t>On the Cost of Asset Discovery Techniques for Industrial Control Systems</t>
  </si>
  <si>
    <t>J. Chyzy; M. M. Cook; D. Pezaros</t>
  </si>
  <si>
    <t>School of Computing Science, University of Glasgow, Glasgow, United Kingdom; School of Computing Science, University of Glasgow, Glasgow, United Kingdom; School of Computing Science, University of Glasgow, Glasgow, United Kingdom</t>
  </si>
  <si>
    <t>2025 IEEE 8th International Conference on Industrial Cyber-Physical Systems (ICPS)</t>
  </si>
  <si>
    <t>Industrial Control Systems (ICS) are an integral component of critical infrastructure, encompassing sectors such as water treatment and renewable energy. ICS are typically complex and heterogeneous networks, containing legacy resource-constrained devices such as Programmable Logic Controllers (PLCs). Maintaining an inventory of active devices is essential for network upkeep and security, often achieved by performing asset discovery. Asset discovery research in ICS is limited and to date has primarily focused on the analysis of returned information from different scanning tools, rather than examining the overheads of scanning techniques to understand their inherent applicability to resource-constrained industrial networks. In this paper, we empirically evaluate and compare the performance of ARP, ICMP and TCP-based scanning in the context of ICS. Furthermore, we explore the use of SNMP as a scanning technique for ICS environments and compare the overheads of SNMP with other techniques. Experimental results using a representative ICS testbed with real industrial devices show that SNMP excels in identifying device-level information about assets with greater precision compared to alternative techniques. Even though slower than ARP and ICMP, SNMP produces the second lowest network overhead, only sending one extra packet per device.</t>
  </si>
  <si>
    <t>2769-3899</t>
  </si>
  <si>
    <t>979-8-3315-4299-3</t>
  </si>
  <si>
    <t>10.1109/ICPS65515.2025.11087898</t>
  </si>
  <si>
    <t>https://ieeexplore.ieee.org/stamp/stamp.jsp?arnumber=11087898</t>
  </si>
  <si>
    <t>Asset Discovery;Network Scanning;Cyber-Security;Industrial Control Systems (ICS);Programmable Logic Controllers (PLCs)</t>
  </si>
  <si>
    <t>Performance evaluation;Renewable energy sources;Network topology;Industrial control;Programmable logic devices;Telecommunication traffic;Topology;Security;Water resources;Standards</t>
  </si>
  <si>
    <t>12-15 May 2025</t>
  </si>
  <si>
    <t>Design, Analysis and Implementation of a Security Assessment/Enhancement Platform for Cyber-Physical Systems</t>
  </si>
  <si>
    <t>X. Ning; J. Jiang</t>
  </si>
  <si>
    <t>Department of Electrical and Computer Engineering, Western University, London, ON, Canada; Department of Electrical and Computer Engineering, Western University, London, ON, Canada</t>
  </si>
  <si>
    <t>1154</t>
  </si>
  <si>
    <t>1164</t>
  </si>
  <si>
    <t>To support cyber security assessment and enhancement of cyber-physical systems, a cross-layered experimental prototype platform has been developed. In this article, to make the prototype versatile, a modular approach has been taken. There are in total four modules: 1) Attack scenario generation; 2) security enhancement; 3) security evaluation; and 4) platform management. In reference to typical cyber-enabled industrial control systems, the design philosophy and selection of the architecture for this platform have been examined. To provide interested readers with additional details and to demonstrate the effectiveness of the proposed platform, a hardware-based cyber security assessment and enhancement prototype platform has been implemented on a lab-scale cyber-physical system. Two types of cyberattacks have been considered to demonstrate the operation of the platform and to validate its functions in an event of a security breach. The results have demonstrated that the design methodology is effective for practical cyber-physical systems, and the platform is a useful tool to identify and analyze vulnerabilities and to evaluate the effectiveness of different security enhancement strategies.</t>
  </si>
  <si>
    <t>10.1109/TII.2021.3085543</t>
  </si>
  <si>
    <t xml:space="preserve">Natural Sciences and Engineering Research Council of Canada; University Network of Excellence in Nuclear Engineering; </t>
  </si>
  <si>
    <t>https://ieeexplore.ieee.org/stamp/stamp.jsp?arnumber=9444805</t>
  </si>
  <si>
    <t>Cyber-physical systems (CPSs);cyber security;security assessment and enhancement</t>
  </si>
  <si>
    <t>Security;Cyber-physical systems;Process control;Tools;Prototypes;Computer crime;Sensors</t>
  </si>
  <si>
    <t>Hierarchical Blockchain Framework for Node Authentication in IoT Networks: A Comprehensive Analysis</t>
  </si>
  <si>
    <t>D. Kumar; A. R. Yadulla; A. Bhuvanesh; P. Pawar; V. K. Kasula; R. Keerthanadevi</t>
  </si>
  <si>
    <t>Department of Information Technology, University of the Cumberlands, Williamsburg, USA; Department of Information Technology, University of the Cumberlands, Williamsburg, USA; Department of EEE, PSN College of Engineering and Technology, Tirunelveli, India; Department of Information Technology, University of the Cumberlands, Williamsburg, USA; Department of Information Technology, University of the Cumberlands, Williamsburg, USA; Department of CSE, PSN College of Engineering and Technology, Tirunelveli, India</t>
  </si>
  <si>
    <t>2025 International Conference in Advances in Power, Signal, and Information Technology (APSIT)</t>
  </si>
  <si>
    <t>Most of these huge networks of tiny devices connected to the Internet of Things (IoT) need a strong security system that can grow and adapt to the devices' limited resources. Internet of Things security relies heavily on node authentication. The existing authentication systems have a single point of failure since they rely on a central trusted party for authentication. One decentralised option for node authentication is blockchain, which is a network of interconnected digital nodes that uses decentralised authentication. Most blockchain uses in the Internet of Things (IoT) are now connected to older blockchain networks by devices with more processing power. This makes them less adaptable to IoT networks and adds the problem of a single point of failure. This study presents a decentralised authentication system that relies on blockchain technology. It accomplishes this by grouping Internet of Things (IoT) devices into clusters according to their computing power, energy reserve, and geographic position. Each cluster's devices are verified via a hierarchical network of linked blockchains. We implemented a consensus mechanism to lessen the computational burden by checking the device and cluster's identity-based encryption key signature. Simulations of the suggested topology have demonstrated that IoT devices' CPU and memory loads are reduced. A lot of testing on networks made up of Docker containers and Raspberry Pi devices has shown that the suggested blockchain design and consensus method greatly lower the need for computing power.</t>
  </si>
  <si>
    <t>979-8-3315-2989-5</t>
  </si>
  <si>
    <t>10.1109/APSIT63993.2025.11086262</t>
  </si>
  <si>
    <t>https://ieeexplore.ieee.org/stamp/stamp.jsp?arnumber=11086262</t>
  </si>
  <si>
    <t>IoT;Blockchain;Authentication;Security</t>
  </si>
  <si>
    <t>Network topology;Design methodology;Authentication;Blockchains;Topology;Internet of Things;Security;Standards;Testing;Load modeling</t>
  </si>
  <si>
    <t>23-25 May 2025</t>
  </si>
  <si>
    <t>M. Calder; M. Ahmed; S. Nagaraja</t>
  </si>
  <si>
    <t>Computer and Information Sciences, University of Strathclyde, Glasgow, United Kingdom; School of Computing, Newcastle University, Newcastle, United Kingdom; School of Computing, Newcastle University, Newcastle, United Kingdom</t>
  </si>
  <si>
    <t>2023 IEEE International Conference on Omni-layer Intelligent Systems (COINS)</t>
  </si>
  <si>
    <t>This paper presents the Security Water Processing (SWaP) testbed, an Industrial Control System (ICS) for security research and training. SWaP will be used to (a) assess the security of industrial protocols, (b) design and test the defense technologies, (c) assess the effectiveness of side channel based defenses, and (d) share the datasets with the security community. SWaP consists of a 3-stage water process, each stage is autonomously controlled by Programmable Logic Controllers (PLCs). The local communications between sensors, actuators, and PLCs is realized through wired and wireless channels. All the details on the process layer, network layer and field layer are provided in this paper. The testbed is designed to be a resource to a wider research community and encourage collaborative research in the field of ICS security. We envision to make this resource available for practical work among the ICS security community. Towards that end, as a first step, we have collected and curated a dataset to be shared with the research community. Moreover, given the scarcity of attack/anomalous data; several attacks are designed and executed on the testbed, providing examples of attack data, which can further be used for model based and machine learning based security research.</t>
  </si>
  <si>
    <t>979-8-3503-4647-3</t>
  </si>
  <si>
    <t>https://ieeexplore.ieee.org/stamp/stamp.jsp?arnumber=10189315</t>
  </si>
  <si>
    <t>Cyber physical systems;Industrial control systems;Security;Testbed</t>
  </si>
  <si>
    <t>Integrated circuits;Wireless communication;Training;Wireless sensor networks;Protocols;Programmable logic devices;Process control</t>
  </si>
  <si>
    <t>23-25 July 2023</t>
  </si>
  <si>
    <t>2305-7254</t>
  </si>
  <si>
    <t>An Adaptive Intrusion Detection System for IoT Networks Using Deep Learning</t>
  </si>
  <si>
    <t>P. Harshavardhanan; V. Muneeswaran; D. Saravanan; P. Vijayakarthik; R. Natchadalingam; P. C. S. Reddy</t>
  </si>
  <si>
    <t>School of Computing Science and Engineering, VIT Bhopal University, Kothrikalan, Madhya Pradesh, India; School of Computing Science and Engineering, VIT Bhopal University, Kothrikalan, Madhya Pradesh, India; School of Computing Science and Engineering, VIT Bhopal University, Kothrikalan, Madhya Pradesh, India; Computer Science and Engineering R.L Jalappa Institute of Technology, Doddaballapur, Karnataka, India; CSE-Data Science, R.L. Jalappa Institute of Technology, Bengaluru, Karnataka, India; School of Computer Science and Engineering, Lovely Professional University, Phagwara, Punjab, India</t>
  </si>
  <si>
    <t>2023 IEEE Fifth International Conference on Advances in Electronics, Computers and Communications (ICAECC)</t>
  </si>
  <si>
    <t>The rapid expansion of the Internet-of-Things (IoT) has never before attracted the attention of cybercriminals. The increasing prevalence of cyberattacks against IoT devices and intermediary communication channels lends credence to this assertion. If an IoT attack goes unnoticed for too long, it might disrupt services severely, costing money. In addition, it poses the risk of having one's identity stolen. For IoT-enabled services to be dependable, secure and financially fruitful, real-time intrusion detection on IoT devices is a must. A new intrusion detection design for IoT devices based on Deep Learning (DL) is presented in this research. In order to identify potentially harmful traffic that could lead to assaults on Internet of Things (IoT) gadgets, this smart framework employs a 4layer deep Fully-Connected (FC) network architecture. To simplify deployment, the suggested system was designed to work with any available communication protocol. During experimental performance evaluation, the suggested system has proven to be effective against both simulated and real invasions. According to the data, the proposed model is more accurate than existing methods. This novel deep learning-based IDS has highest detection rate of 95.7 percent, making it suitable for bolstering the safety of IoT networks.</t>
  </si>
  <si>
    <t>2642-6595</t>
  </si>
  <si>
    <t>979-8-3503-0544-9</t>
  </si>
  <si>
    <t>10.1109/ICAECC59324.2023.10560150</t>
  </si>
  <si>
    <t>https://ieeexplore.ieee.org/stamp/stamp.jsp?arnumber=10560150</t>
  </si>
  <si>
    <t>Intrusion-Detection System;IoT;deep-learning;communication protocol;FC network</t>
  </si>
  <si>
    <t>Deep learning;Accuracy;Computer hacking;Intrusion detection;Training data;Real-time systems;Safety</t>
  </si>
  <si>
    <t>7-8 Sept. 2023</t>
  </si>
  <si>
    <t>Covert Channels-Based Stealth Attacks in Industry 4.0</t>
  </si>
  <si>
    <t>C. Alcaraz; G. Bernieri; F. Pascucci; J. Lopez; R. Setola</t>
  </si>
  <si>
    <t>Computer Science Department, University of Malaga, Malaga, Spain; Department of Mathematics, University of Padua, Padua, Italy; Department of Engineering, Roma Tre University, Rome, Italy; Computer Science Department, University of Malaga, Malaga, Spain; Complex System and Security Lab, University Campus Bio-Medico, Rome, Italy</t>
  </si>
  <si>
    <t>IEEE Systems Journal</t>
  </si>
  <si>
    <t>3980</t>
  </si>
  <si>
    <t>3988</t>
  </si>
  <si>
    <t>Industry 4.0 advent opens several cyber-threats scenarios originally designed for classic information technology (IT), drawing the attention to serious risks for the modern industrial control networks. To cope with this problem, in this paper, we address the security issues related to covert channels applied to industrial networks, identifying the new vulnerability points when ITs converge with operational technologies such as edge computing infrastructures. Specifically, we define two signaling strategies where we exploit the Modbus/transmission control protocol (TCP) as target to set up a covert channel. Once the threat channel is established, passive and active offensive methodologies are further exploited by implementing and testing them on a real industrial Internet of Things testbed. The experimental results highlight the potential damage of such specific threats and the easy extrapolation of the attacks to other types of channels in order to show the new risks for the Industry 4.0. Related to this, we discuss some countermeasures offering an overview of possible mitigation and defensive measures.</t>
  </si>
  <si>
    <t>1937-9234</t>
  </si>
  <si>
    <t>10.1109/JSYST.2019.2912308</t>
  </si>
  <si>
    <t xml:space="preserve">SealedGRID project(grant numbers:H2020-MSCA-RISE-2017,777996); EU Commission; SADCIP(grant numbers:RTC-2016-4847-8); Spanish Ministry of Economy, Industry and Competitiveness; HANSEL(grant numbers:LR132008 FILASRU20141193); Regione Lazio; Design and Implementation of Security Services for the Industrial Internet of Things; University of Malaga (I Plan Propio de Investigación y Transferencia); Italian Presidency of the Council of Ministers; Universita Campus Bio-Medico di Roma in 2017; </t>
  </si>
  <si>
    <t>https://ieeexplore.ieee.org/stamp/stamp.jsp?arnumber=8715420</t>
  </si>
  <si>
    <t>Command and control (C&amp;C);covert channel;data exfiltration;industry 4.0;stealth attacks</t>
  </si>
  <si>
    <t>Servers;Protocols;Industries;Security;Malware;Payloads;Timing</t>
  </si>
  <si>
    <t>Dec. 2019</t>
  </si>
  <si>
    <t>Real-Time Communication over LoRa Networks</t>
  </si>
  <si>
    <t>S. Fahmida; V. P. Modekurthy; D. Ismail; A. Jain; A. Saifullah</t>
  </si>
  <si>
    <t>Wayne State University, Detroit, USA; University of Nevada Las Vegas, Las Vegas, USA; Southern Illinois University, Edwardsville, USA; Iowa State University, Ames, USA; Iowa State University, Ames, USA</t>
  </si>
  <si>
    <t>2022 IEEE/ACM Seventh International Conference on Internet-of-Things Design and Implementation (IoTDI)</t>
  </si>
  <si>
    <t>27</t>
  </si>
  <si>
    <t>Today, industrial Internet of Things (IIoT) are emerging in large-scale and wide-area applications (e.g., oil-field management). Traditional wireless solutions for industrial automation depend on short-range wireless technologies (WirelessHART, ISA100.11a), posing a big challenge to support the scale of today's IIoT. To address this limitation, we propose to adopt LoRa, a prominent low-power wide-area network technology, for industrial automation. Adopting LoRa for industrial automation poses some unique challenges. The fundamental building blocks of any industrial automation system are feedback control loops that largely rely on real-time communication. LoRa usually adopts a simple protocol based on ALOHA with no collision avoidance to minimize energy consumption which is less suitable for real-time communication. Existing real-time protocols for short-range technologies cannot be applied to a LoRa network due to its unique characteristics such as asymmetry between downlink and the uplink spectrum, predefined modes (class) of operation, and concurrent reception through orthogonal spreading factors. In this paper, we address these challenges and propose RTPL- a Real-Time communication Protocol for LoRa networks. RTPL is a low-overhead and conflict-free communication protocol allowing autonomous real-time communication of low-energy devices and exploits LoRa's capability of parallel communication. We implement our approach on LoRa devices and evaluate through both physical experiments and large scale simulations. All results show that RTPL achieves on average 75% improvement in real-time performance without sacrificing throughput or energy compared to traditional LoRa.</t>
  </si>
  <si>
    <t>978-1-6654-9641-4</t>
  </si>
  <si>
    <t>10.1109/IoTDI54339.2022.00019</t>
  </si>
  <si>
    <t xml:space="preserve">NSF(grant numbers:CNS-2211510,CAREER-2211523,CCF-2118202); ONR(grant numbers:N00014-22-1-2155); </t>
  </si>
  <si>
    <t>https://ieeexplore.ieee.org/stamp/stamp.jsp?arnumber=9797411</t>
  </si>
  <si>
    <t>LoRa;Low Power Wide Area Networks;Real-Time;Industrial Internet-of-Things;Closed Loop;Internet-of-Things;Cyber Physical Systems</t>
  </si>
  <si>
    <t>Wireless communication;Performance evaluation;Automation;Protocols;Job shop scheduling;Throughput;Downlink</t>
  </si>
  <si>
    <t>4-6 May 2022</t>
  </si>
  <si>
    <t>CrossTest: a cross-domain physical testbed environment for cybersecurity performance evaluations</t>
  </si>
  <si>
    <t>M. Karch; D. Rösch; K. André; A. Meshram; C. Haas; S. Nicolai</t>
  </si>
  <si>
    <t>Information Management and Production Control, Fraunhofer IOSB, Karlsruhe, Germany; Fraunhofer IOSB, IOSB-AST, Cognitive Energy Systems, Ilmenau, Germany; Fraunhofer IOSB, IOSB-AST, Cognitive Energy Systems, Ilmenau, Germany; KASTEL Security Research Labs Vision and Fusion Laboratory (IES), Karlsruhe Institute of Technology, Karlsruhe, Germany; Information Management and Production Control, Fraunhofer IOSB, Karlsruhe, Germany; Fraunhofer IOSB, IOSB-AST, Cognitive Energy Systems, Ilmenau, Germany</t>
  </si>
  <si>
    <t>Network based intrusion detection systems (NIDS) play a vital role in protecting valuable assets or applications in a wide range of industrial domains. Especially commercial NIDS providers need to address very specific requirements and challenges for theses domains, such as supporting a variety of different network protocols. Despite such challenges, most commercial NIDS vendors offer one solution for multiple industrial domains. In contrast, most NIDSs proposed by researchers are evaluated on only a few domain-specific datasets due to the lack of publicly available industrial datasets. Therefore, conclusions about the applicability of research-oriented NIDS across industrial domains cannot be made. Domain-agnostic threat detection methods are required when advanced persistent threats (APT) are evolving across multiple sectors. This research work presents a cross-domain physical cybersecurity testbed environment, CrossTest, for the development and evaluation of domain-agnostic threat detection methods. For this purpose, two testbeds were designed, one for the energy and another for the production domain. Multiple cyber-attacks were implemented in both testbeds and network traffic was recorded as PCAP files. The dataset containing PCAP files with corresponding description will be made publicly available upon request. Furthermore, we demonstrate the evaluation of an open source network traffic analysis tool, Malcolm, with CrossTest. The evaluation identified major issues that are briefly described in this work.</t>
  </si>
  <si>
    <t>10.1109/ETFA52439.2022.9921672</t>
  </si>
  <si>
    <t>https://ieeexplore.ieee.org/stamp/stamp.jsp?arnumber=9921672</t>
  </si>
  <si>
    <t>Network Intrusion Detection;Cyber Physical Systems;Industrial Control Systems;Cybersecurity Testbed</t>
  </si>
  <si>
    <t>Performance evaluation;Protocols;Intrusion detection;Telecommunication traffic;Production;Control systems;Computer security</t>
  </si>
  <si>
    <t>2022</t>
  </si>
  <si>
    <t>Indoor Localization-based Energy Management for Smart Home</t>
  </si>
  <si>
    <t>G. Shan; H. Lee; B. -h. Roh</t>
  </si>
  <si>
    <t>Dept. of Software and Computer Engineering, Ajou University, Suwon; Dept. of AI Convergence Network, Ajou University, Suwon; Dept. of AI Convergence Nework and Dept. of Computer Engineering, Ajou University, Suwon</t>
  </si>
  <si>
    <t>2022 IEEE PES 14th Asia-Pacific Power and Energy Engineering Conference (APPEEC)</t>
  </si>
  <si>
    <t>With the development of the Internet of Things (IoT) industry, many services and applications have been developed, such as indoor localization, proximity detection, smart home, and so on. However, many services are severely limited due to energy constraints. Many researchers have proposed solutions to reduce energy consumption in these applications and improve energy utilization. For instance, Bluetooth low energy (BLE)-based data transmission scheme and sensor-based energy management scheme. In this paper, we combine BLE and sensors to propose an indoor localization-based energy management system for smart homes, which can effectively solve the energy waste caused by users forgetting to turn off the device's power. The analysis results show that the proposed scheme can save energy effectively.</t>
  </si>
  <si>
    <t>978-1-6654-6738-4</t>
  </si>
  <si>
    <t>10.1109/APPEEC53445.2022.10072129</t>
  </si>
  <si>
    <t>https://ieeexplore.ieee.org/stamp/stamp.jsp?arnumber=10072129</t>
  </si>
  <si>
    <t>Energy management;Indoor localization;Smart home;Bluetooth low energy</t>
  </si>
  <si>
    <t>Location awareness;Performance evaluation;Industries;Simulation;Smart homes;Machine learning;User experience</t>
  </si>
  <si>
    <t>20-23 Nov. 2022</t>
  </si>
  <si>
    <t>M. Cheminod; L. Durante; L. Seno; A. Valenzano</t>
  </si>
  <si>
    <t>Institute of Electronics, Computer and Telecommunication Engineering, National Research Council of Italy, Torino, Italy; Institute of Electronics, Computer and Telecommunication Engineering, National Research Council of Italy, Torino, Italy; Institute of Electronics, Computer and Telecommunication Engineering, National Research Council of Italy, Torino, Italy; Institute of Electronics, Computer and Telecommunication Engineering, National Research Council of Italy, Torino, Italy</t>
  </si>
  <si>
    <t>2159</t>
  </si>
  <si>
    <t>2170</t>
  </si>
  <si>
    <t>The availability of performance studies and simple models for firewalls able to deal with industrial application-layer communication protocols, such as Modbus/TCP, is crucial when the impact of these devices has to be estimated, even roughly, before their actual deployment in industrial networks. Unfortunately, most manufacturers do not provide this kind of information for commercial off-the-shelf available products. Thus, a viable solution is the development and experimental validation of simple models that can be used by designers to predict those firewall characteristics not explicitly related to their security capabilities. As an example, latency introduced on message forwarding is an aspect of significant interest in many industrial control systems, where delays and jitters in data delivery can severely impact on the effectiveness of the control actions. This paper reports on our experience in developing a performance model for a commercial device able to perform advanced application-layer filtering, in particular of Modbus/TCP traffic. A set of ad hoc designed experiments, performed by means of a purposely developed laboratory testbed, enabled both model development and validation, confirming a good correspondence of the estimated performance with the device actual behavior.</t>
  </si>
  <si>
    <t>https://ieeexplore.ieee.org/stamp/stamp.jsp?arnumber=8283561</t>
  </si>
  <si>
    <t>Application-layer filtering;industrial firewall (IFW);Modbus/TCP;modeling;performance analysis;security of industrial systems</t>
  </si>
  <si>
    <t>Performance evaluation;Protocols;Integrated circuits;Security;Informatics;Ports (Computers);Inspection</t>
  </si>
  <si>
    <t>May 2018</t>
  </si>
  <si>
    <t>X. Wu; L. Xie</t>
  </si>
  <si>
    <t>School of Electrical and Electronic Engineering, Nanyang Technological University, Singapore; School of Electrical and Electronic Engineering, Nanyang Technological University, Singapore</t>
  </si>
  <si>
    <t>2017 IEEE 42nd Conference on Local Computer Networks (LCN)</t>
  </si>
  <si>
    <t>70</t>
  </si>
  <si>
    <t>In industrial automation, EtherCAT is a real-time communication protocol widely employed in the local computer networks for fast and predictable data communication between system processes. End-to-end delay is a key performance indicator to industrial applications as it reflects the real-time capability of the system. This paper explores end-to-end delays of EtherCAT-based control systems under different schemes of synchronization, including free-running, frame-driven and clock-driven schemes. A simulation study is presented to assess the delays using various schemes. Simulation results demonstrate that free-running and frame-driven approaches could be adopted in traditional automation applications, while clock-driven scheme can be advantageous in networked control systems where deterministic data communication is required.</t>
  </si>
  <si>
    <t>0742-1303</t>
  </si>
  <si>
    <t>978-1-5090-6523-3</t>
  </si>
  <si>
    <t>https://ieeexplore.ieee.org/stamp/stamp.jsp?arnumber=8109331</t>
  </si>
  <si>
    <t>EtherCAT;end-to-end delay;performance evaluation;networked control systems</t>
  </si>
  <si>
    <t>Delays;Sensors;Synchronization;Process control;Actuators;Automation</t>
  </si>
  <si>
    <t>9-12 Oct. 2017</t>
  </si>
  <si>
    <t>Adversarial Generation of Modbus TCP Packets Using WGANs for ICS Security Testing</t>
  </si>
  <si>
    <t>M. Tawfik; W. Badawy</t>
  </si>
  <si>
    <t>Department of Artificial Intelligence, School of Artificial Intelligence, Egyptian Russian University, Cairo, Egypt; Department of Data Science, School of Artificial Intelligence, Egyptian Russian University, Cairo, Egypt</t>
  </si>
  <si>
    <t>2025 International Telecommunications Conference (ITC-Egypt)</t>
  </si>
  <si>
    <t>167</t>
  </si>
  <si>
    <t>172</t>
  </si>
  <si>
    <t>In industrial control systems (ICS), the Modbus TCP protocol serves as a fundamental communication standard between field devices and supervisory platforms. However, the scarcity of rich, diverse, and representative datasets poses a significant challenge for the advancement of cybersecurity tools tailored to these environments. In this work, we introduce a novel method for the adversarial generation of Modbus TCP packets using a Wasserstein Generative Adversarial Network (WGAN) enhanced with Gumbel-Softmax sampling. Trained on a comprehensive dataset comprising 609,934 real Modbus packets, our model learns to replicate key structural and statistical characteristics—producing synthetic packets that closely mirror the format, variability, and byte distribution of authentic network traffic. The architecture employs a generator-critic framework, optimized with gradient penalties and implemented in PyTorch for high scalability and performance. When evaluated in a live server environment, the generated packets achieved a 93.92% Test System Reception Rate (TSRR), demonstrating their practical validity. Additionally, comparative analyses show a strong alignment between the real and synthetic data distributions, supported by diversity metrics and protocol conformity. This approach offers a secure and scalable means of generating high-fidelity Modbus data, making it particularly valuable for intrusion detection system (IDS) development, robustness testing, and simulation in privacy-constrained or operationally sensitive ICS settings.</t>
  </si>
  <si>
    <t>978-1-6654-5800-9</t>
  </si>
  <si>
    <t>10.1109/ITC-Egypt66095.2025.11186573</t>
  </si>
  <si>
    <t>https://ieeexplore.ieee.org/stamp/stamp.jsp?arnumber=11186573</t>
  </si>
  <si>
    <t>Modbus TCP;GAN;WGAN-GP;Synthetic Data Generation;Industrial Cybersecurity;Packet Simulation;Gumbel-Softmax</t>
  </si>
  <si>
    <t>Measurement;Protocols;Tensors;Industrial control;Telecommunication traffic;Generative adversarial networks;Telecommunications;Computer security;Testing;Synthetic data</t>
  </si>
  <si>
    <t>28-31 July 2025</t>
  </si>
  <si>
    <t>Li-Fi in Industrial Environments: Performance Analysis Compared to Wi-Fi and Ethernet</t>
  </si>
  <si>
    <t>O. A. Tobar-Rosero; J. S. Castro-Fernandez; O. D. D. Mendoza; J. E. Candelo-Becerra; O. A. Salamanca; H. A. F. Celis; G. Z. Madrigal</t>
  </si>
  <si>
    <t>Lab. Automatización y Comunicaciones Industriales - LACI Universidad Nacional de Colombia sede Medellín, Medellín, Colombia; Lab. Automatización y Comunicaciones Industriales - LACI Universidad Nacional de Colombia sede Medellín, Medellín, Colombia; Lab. Automatización y Comunicaciones Industriales - LACI Universidad Nacional de Colombia sede Medellín, Medellín, Colombia; Departamento de Energía Eléctrica y Automática, Universidad Nacional de Colombia sede Medellín, Medellín, Colombia; Energies Generation - Digital Hub, Enel Colombia, Medellín, Colombia; Lab. Automatización y Comunicaciones Industriales - LACI Universidad Nacional de Colombia sede Medellín, Medellín, Colombia; T&amp;T research group in the Universidad Nacional de Colombia Medellín, Colombia</t>
  </si>
  <si>
    <t>2025 IEEE Technology and Engineering Management Society (TEMSCON LATAM)</t>
  </si>
  <si>
    <t>The visible light wireless communication technology, known as Li-Fi, is emerging as one of the most promising communication technologies. This technology can transmit data over an often-unused portion of the electromagnetic spectrum. Although some studies have highlighted the complementary value of Li-Fi to current wireless technologies, performance testing and compatibility evaluation with industrial protocols are still needed. This study evaluates the performance of commercial Li-Fi devices, comparing them with current technologies such as Gigabit-Ethernet and Wi-Fi 5G. Tests have been designed and implemented to assess the constant connectivity, bandwidth, latency, and transmission and reception speeds using network protocols such as the Internet Control Message Protocol (ICMP) and User Datagram Protocol (UDP), and compatibility with industrial protocols such as Generic Object Oriented Substation Event (GOOSE). The study found that Li-Fi and Wi-Fi have speed and transfer time limitations compared to Ethernet. Additionally, one of the Li-Fi technologies studied outperforms Wi-Fi technology in transmission speed and stability, but presents challenges related to signal availability and limited compatibility with industrial protocols, including long transfer and reconnection times. Although Li-Fi can complement existing wireless technologies, significant challenges must be solved before adopting industrial automation systems.</t>
  </si>
  <si>
    <t>979-8-3315-2567-5</t>
  </si>
  <si>
    <t>10.1109/TEMSCONLATAM65810.2025.11238412</t>
  </si>
  <si>
    <t>https://ieeexplore.ieee.org/stamp/stamp.jsp?arnumber=11238412</t>
  </si>
  <si>
    <t>Industrial automation;industrial communication;IEC61850;Li-Fi;Light Fidelity;performance testing</t>
  </si>
  <si>
    <t>Wireless communication;Performance evaluation;Protocols;Automation;Ethernet;Light fidelity;Communications technology;Transceivers;Wireless fidelity;Testing</t>
  </si>
  <si>
    <t>18-21 June 2025</t>
  </si>
  <si>
    <t>Fog Computing Over Challenged Networks: A Real Case Evaluation</t>
  </si>
  <si>
    <t>G. Castellano; F. Risso; R. Loti</t>
  </si>
  <si>
    <t>Computer and Control Engineering Politecnico di Torino, Italy; Computer and Control Engineering Politecnico di Torino, Italy; Tierra Telematics Design, Italy</t>
  </si>
  <si>
    <t>2018 IEEE 7th International Conference on Cloud Networking (CloudNet)</t>
  </si>
  <si>
    <t>Fog computing enables a multitude of resource-constrained end devices (e.g., sensors and actuators) to benefit from the presence of fog nodes in their close vicinity, which can provide the required computing and storage facilities instead of relying on a distant Cloud infrastructure. However, guaranteeing stable communication between end devices and fog nodes is often not trivial. Indeed, in some application scenarios such as mining operations, building sites, precision agriculture, and more, communication occurs over Challenged Networks e.g., because of the absence of a fixed and reliable network infrastructure. This paper analyzes the applicability of Fog Computing in a real Industrial Internet of Things (IIoT) environment, providing an architecture that enables disruption-tolerant communication over Challenged Networks and evaluating the achieved performance on an open-source prototype implementation.</t>
  </si>
  <si>
    <t>978-1-5386-6831-3</t>
  </si>
  <si>
    <t>10.1109/CloudNet.2018.8549354</t>
  </si>
  <si>
    <t>https://ieeexplore.ieee.org/stamp/stamp.jsp?arnumber=8549354</t>
  </si>
  <si>
    <t>Peer-to-peer computing;Logic gates;Computer architecture;Protocols;Sensors;Edge computing;Performance evaluation</t>
  </si>
  <si>
    <t>22-24 Oct. 2018</t>
  </si>
  <si>
    <t>Development of SCADA Simulator using Omnet++</t>
  </si>
  <si>
    <t>Z. Ahmad; M. H. Durad</t>
  </si>
  <si>
    <t>Department of Computer and Information Sciences, Pakistan Institute of Engineering and Applied Sciences, Islamabad; Department of Computer and Information Sciences, Pakistan Institute of Engineering and Applied Sciences, Islamabad</t>
  </si>
  <si>
    <t>2019 16th International Bhurban Conference on Applied Sciences and Technology (IBCAST)</t>
  </si>
  <si>
    <t>Industrial control systems (ICS) are used to automate many industries like power generation, petroleum, manufacturing, traffic control etc. Increase in the use of IT (information technology) components in ICS introduces many new vulnerabilities. Security breach in ICS can cause serious damages and is threat to human life. Simulating Security threats and security controls for ICS can help to identify threats and mitigation in advance. This paper explain the construction of open source SCADA simulator which can be used for security testing. Building SCADA simulation using Omnet++ is discussed in detail. We also analyzed TCP Flood DDOS attack on power distribution system as case study.</t>
  </si>
  <si>
    <t>2151-1411</t>
  </si>
  <si>
    <t>978-1-5386-7729-2</t>
  </si>
  <si>
    <t>10.1109/IBCAST.2019.8667158</t>
  </si>
  <si>
    <t>https://ieeexplore.ieee.org/stamp/stamp.jsp?arnumber=8667158</t>
  </si>
  <si>
    <t>ICS;SCADA;IT;Simulator;Security Controls;TCP Flood;DDOS;Power Distribution System;Omnet++</t>
  </si>
  <si>
    <t>SCADA systems;Protocols;Workstations;Power generation;Integrated circuits;Sensors</t>
  </si>
  <si>
    <t>8-12 Jan. 2019</t>
  </si>
  <si>
    <t>Performance impact of commercial industrial firewalls on networked control systems</t>
  </si>
  <si>
    <t>M. Cheminod; L. Durante; A. Valenzano; C. Zunino</t>
  </si>
  <si>
    <t>National Research Council of Italy, CNR - IEIIT Torino, Torino, Italy; National Research Council of Italy, CNR - IEIIT Torino, Torino, Italy; National Research Council of Italy, CNR - IEIIT Torino, Torino, Italy; National Research Council of Italy, CNR - IEIIT Torino, Torino, Italy</t>
  </si>
  <si>
    <t>2016 IEEE 21st International Conference on Emerging Technologies and Factory Automation (ETFA)</t>
  </si>
  <si>
    <t>The connection of control and process networks to company infrastructures and the Internet, besides offering undeniable advantages, also imposes the adoption of adequate security countermeasures. Specialized firewalls, able to recognize and inspect traffic concerning peculiar communication protocols such as Modbus, which are commonly adopted in industrial applications, are beginning to spread on the market. However, several industrial control systems (ICSs) must satisfy critical performance and timing requirements and the impact of introducing such a kind of devices in an existing network should be evaluated carefully. In this paper we present a simple approach based on ordinary equipment and open source software, which can help system designers and managers to get approximate but useful information about effects produced by including an industrial firewall in their system. The proposed technique, though quite simple, has the advantage of circumventing the need of ad-hoc measurement instrumentation and can be used also by non-experts, virtually with little or no effort, to get rough guess indications about the extent the firewall insertion in the network can be tolerated.</t>
  </si>
  <si>
    <t>978-1-5090-1314-2</t>
  </si>
  <si>
    <t>10.1109/ETFA.2016.7733576</t>
  </si>
  <si>
    <t>https://ieeexplore.ieee.org/stamp/stamp.jsp?arnumber=7733576</t>
  </si>
  <si>
    <t>Process control;Timing;Security;Integrated circuits;Protocols;Control systems;Performance evaluation</t>
  </si>
  <si>
    <t>6-9 Sept. 2016</t>
  </si>
  <si>
    <t>2023 IEEE 21st International Conference on Industrial Informatics (INDIN)</t>
  </si>
  <si>
    <t>2378-363X</t>
  </si>
  <si>
    <t>978-1-6654-9313-0</t>
  </si>
  <si>
    <t>18-20 July 2023</t>
  </si>
  <si>
    <t>Performance Evaluation of Asynchronous Pulse Code Multiple Access in Massive IoT Networks</t>
  </si>
  <si>
    <t>K. Leibnitz; F. Peper; M. Hasegawa; N. Wakamiya</t>
  </si>
  <si>
    <t>Center for Information and Neural Networks (CiNet), National Institute of Information and Communications Technology (NICT), Osaka, Japan; Center for Information and Neural Networks (CiNet), National Institute of Information and Communications Technology (NICT), Osaka, Japan; Department of Electrical Engineering, Tokyo University of Science, Tokyo, Japan; Graduate School of Information Science and Technology, Osaka University, Osaka, Japan</t>
  </si>
  <si>
    <t>The Internet of Things (IoT) has revolutionized the way we interact with everyday objects by connecting sensors/actuators to the Internet to monitor and control various aspects of our environment. As the number of IoT devices continues to grow, efficient medium access control protocols are needed to ensure that communication takes place in a reliable and scalable manner. In this paper, we investigate the performance of the Asynchronous Pulse Code Multiple Access (APCMA) protocol in massive IoT scenarios through simulations and analysis. We show that APCMA is able to outperform CSMA/CA in terms of the number of successfully transmitted messages in scenarios with up to 30,000 transmitting sensor nodes while also being able to utilize the channel more efficiently. We also examine the sensitivity of APCMA’s performance with respect to its parameters.</t>
  </si>
  <si>
    <t>10.1109/ACCESS.2024.3430548</t>
  </si>
  <si>
    <t xml:space="preserve">Strategic Information and Communications Research and Development Promotion Programme (SCOPE), Ministry of Internal Affairs and Communications, Japan(grant numbers:205007001); </t>
  </si>
  <si>
    <t>https://ieeexplore.ieee.org/stamp/stamp.jsp?arnumber=10602485</t>
  </si>
  <si>
    <t>Massive Internet of Things (IoT);asynchronous pulse code multiple access (APCMA);high-density sensor networks;resource-restricted devices;pulse-based signals;communication through silence (CtS)</t>
  </si>
  <si>
    <t>Internet of Things;Performance evaluation;5G mobile communication;Protocols;Codes;Throughput;NOMA;Sensor systems</t>
  </si>
  <si>
    <t>CCBYNCND</t>
  </si>
  <si>
    <t>2024</t>
  </si>
  <si>
    <t>C. Innamorati; A. E. C. Redondi; M. Cesana</t>
  </si>
  <si>
    <t>Comparative Study on Smart Grid Security Testbeds Using MITRE ATT&amp;CK Matrix</t>
  </si>
  <si>
    <t>A. Mumrez; M. M. Roomi; H. C. Tan; D. Mashima; G. Elbez; V. Hagenmeyer</t>
  </si>
  <si>
    <t>Institute for Automation and Applied Informatics, KASTEL Security Research Labs, Karlsruhe Institute of Technology; Illinois Advanced Research Center at Singapore (IARCS); Illinois Advanced Research Center at Singapore (IARCS); Illinois Advanced Research Center at Singapore (IARCS); Institute for Automation and Applied Informatics, KASTEL Security Research Labs, Karlsruhe Institute of Technology; Institute for Automation and Applied Informatics, KASTEL Security Research Labs, Karlsruhe Institute of Technology</t>
  </si>
  <si>
    <t>2023 IEEE International Conference on Communications, Control, and Computing Technologies for Smart Grids (SmartGridComm)</t>
  </si>
  <si>
    <t>The increasing use of information and communication technologies has led to increasing threats on critical infrastructure like smart grids. Owing to confidentiality issues and difficulties in experimenting cyberattacks on a real environment, testbeds reflecting the characteristics of smart grids have been developed to enable attack experiments and cybersecurity research. In fact, different implementations of smart grid testbeds exist, each with its own challenges and limitations. The comparative study we present here justifies the usability of each type of testbed for different experiments. We begin our study with a selection of state-of-the-art smart grid testbeds, which can be classified into physical, hybrid, and virtual. We then present an evaluation based upon several qualitative metrics and MITRE ATT&amp;CK matrix to demonstrate the coverage of all tactics and techniques to guide about the selection of testbed according to security needs. Finally, we explain applicable tactics and techniques for one of the testbeds through an attack case study to highlight current cybersecurity challenges faced by smart grids.</t>
  </si>
  <si>
    <t>2474-2902</t>
  </si>
  <si>
    <t>978-1-6654-5556-5</t>
  </si>
  <si>
    <t>10.1109/SmartGridComm57358.2023.10333902</t>
  </si>
  <si>
    <t xml:space="preserve">Helmholtz Association; National Research Foundation; </t>
  </si>
  <si>
    <t>https://ieeexplore.ieee.org/stamp/stamp.jsp?arnumber=10333902</t>
  </si>
  <si>
    <t>Smart Grids;Cybersecurity Testbeds;Industrial Control Systems (ICS);MITRE ATT&amp;CK Matrix.</t>
  </si>
  <si>
    <t>Measurement;Integrated circuits;Computers;Costs;Control systems;Smart grids;Information and communication technology</t>
  </si>
  <si>
    <t>31 Oct.-3 Nov. 2023</t>
  </si>
  <si>
    <t>2019</t>
  </si>
  <si>
    <t>Timeliness of CSMA/CA-Based Wireless Networks With HARQ in the FBL Regime: Explicit Age Characterizations and Resource Allocation</t>
  </si>
  <si>
    <t>Z. Bao; Y. Hu; M. Gan; Y. Dong; J. Gross</t>
  </si>
  <si>
    <t>School of Electronic Information, Wuhan University, Wuhan, China; School of Electronic Information, Wuhan University, Wuhan, China; Huawei Technologies Company Ltd., Dongguan, China; School of Electronic and Information Engineering, Nanjing University of Information Science and Technology, Nanjing, China; Department of Intelligent Systems, KTH Royal Institute of Technology, Stockholm, Sweden</t>
  </si>
  <si>
    <t>In this article, we consider an Industrial Internet of Things (IIoT) network operating under a carrier sense multiple access with collision avoidance (CSMA/CA) protocol. Latency-sensitive packets generated at multiple stations randomly are transmitted to a destination for decision making. To meet the strict timeliness constraint, the transmissions are carried by finite blocklength (FBL) codes, while the truncated hybrid automatic repeat request (HARQ) scheme is exploited to improve the reliability. For such unsaturated CSMA/CA networks, for the first time, we characterize the timeliness of packets utilized for decision-making via the age upon decisions (AuD) metric which emphasizes the information freshness at decision moments in comparison to age of information (AoI). To explicitly quantify the AuD performance, we develop an equivalent and tractable unsaturated Markov transfer model for the considered network and investigate the transmission probability and collision probability, respectively. Subsequently, the probability density functions of interarrival time and service time of the successfully transmitted packets are derived. We further derive a closed-form expression for the average AuD under a geometric decision process accordingly. Based on these characterizations, we aim at improving average AuD by jointly allocating the blocklength and transmit power. The formulated nonconvex problem is decomposed into subproblems, and we prove its joint convexity across all feasible intervals. Via simulations, we evaluate the performance of the considered network and conclude a series of design guidelines.</t>
  </si>
  <si>
    <t>10.1109/JIOT.2025.3554242</t>
  </si>
  <si>
    <t xml:space="preserve">National Key Research and Development Program of China(grant numbers:2023YFE0206600); Fundamental Research Funds for the Central Universities(grant numbers:2042024kf1006); </t>
  </si>
  <si>
    <t>https://ieeexplore.ieee.org/stamp/stamp.jsp?arnumber=10938130</t>
  </si>
  <si>
    <t>Age of information (AoI);age upon decisions (AuD);carrier sense multiple access with collision avoidance (CSMA/CA);finite blocklength (FBL);resource allocation</t>
  </si>
  <si>
    <t>Industrial Internet of Things;Resource management;Reliability;Decoding;Decision making;Protocols;Performance evaluation;Wireless networks;Transmitters;Symbols</t>
  </si>
  <si>
    <t>1 July1, 2025</t>
  </si>
  <si>
    <t>S. Guarino; L. Faramondi; G. Oliva; E. Del Prete; R. Setola</t>
  </si>
  <si>
    <t>Department of Engineering, Università Campus Bio-Medico di Roma, Rome, Italy; Department of Engineering, Università Campus Bio-Medico di Roma, Rome, Italy; Department of Engineering, Università Campus Bio-Medico di Roma, Rome, Italy; Department of Technological Innovations and Safety of Plants, Products and Anthropic Settlements, INAIL, Italy; Department of Engineering, Università Campus Bio-Medico di Roma, Rome, Italy</t>
  </si>
  <si>
    <t>2024 32nd Mediterranean Conference on Control and Automation (MED)</t>
  </si>
  <si>
    <t>In recent years, the increase in cyber-attacks on Industrial Control Systems (ICS) due to open industrial protocols has highlighted the vulnerability of critical infras-tructures to such threats. Notable incidents like Stuxnet and BlackEnergy3 have demonstrated the potential for significant operational disruptions. Such a new situation calls for a successful risk assessment approach that can address the multifaceted nature of cyber threats. Addressing such need, this paper in-troduces a novel holistic risk assessment framework combining Bayesian Networks (BNs) with Multi-Criteria Decision Making (MCDM) to compute and integrate heterogeneous risk values into a single, comprehensive risk metric. In more detail, a set of heterogeneous risk metrics, derived by resorting to an array of risk-specific BNs, is combined through the Incomplete Analytic Hierarchy Process (AHP) technique. Briefly, a set of experts is asked to compare the relevance of pairs of risks, and this relative information is translated into a weight associated to each metric. The effectiveness of the proposed risk assessment technique is evaluated against a real hardware-in-the-loop case study in a laboratory environment, namely the Water Distribution Testbed (WDT) for cyber-physical security testing.</t>
  </si>
  <si>
    <t>979-8-3503-9544-0</t>
  </si>
  <si>
    <t>https://ieeexplore.ieee.org/stamp/stamp.jsp?arnumber=10566260</t>
  </si>
  <si>
    <t>Measurement;Protocols;Industrial control;Laboratories;MCDM;Bayes methods;Risk management</t>
  </si>
  <si>
    <t>11-14 June 2024</t>
  </si>
  <si>
    <t>A. Gorrela; N. Choudhury; A. Hazarika; J. Lloret</t>
  </si>
  <si>
    <t>Birla Institute of Technology &amp; Science, Pilani, Hyderabad, India; Birla Institute of Technology &amp; Science, Pilani, Hyderabad, India; Birla Institute of Technology &amp; Science, Pilani, Hyderabad, India; Polytechnic University of Valencia, Spain</t>
  </si>
  <si>
    <t>2023 IEEE Globecom Workshops (GC Wkshps)</t>
  </si>
  <si>
    <t>Industrial IoT (IIoT) environments face several challenges that must be addressed to ensure successful implementation and operation, especially through an effective communication protocol. Long Range Wide Area Network (LoRaWAN) is a low-power protocol facilitating reliable, robust, and long-range communication suited for large, remote, and harsh environment-based IIoT applications. The Adaptive Data Rate (ADR) is a key feature of LoRaWAN that allows sensor devices in such IIoT applications to adjust the data-rate dynamically based on channel conditions. This ensures robust communication and helps increase the sensor device's battery longevity. In harsh IIoT environments, the channel traffic often varies, including high contention and interference, and data loss in such an environment can be disastrous. The current ADR algorithm has several limitations, such as slow convergence time and limited flexibility. Further, the standard ADR technique focuses only on link-level performance and assigns configuration parameters such as Spreading Factor (SF), Transmission Power (TP) to end devices individually, getting overwhelmed in high-traffic networks as observed in large IIoT applications. This results in sub-optimal network performance. Therefore, this paper presents an efficient contention congestion collision-aware ADR (CCC-ADR) that reduces collisions and packet loss. The proposed CCC-ADR initially determines the collision probability and path losses and later clusters the end devices based on the computed path losses. CCC-ADR assigns different SFs to spread the traffic across different channels to reduce contention and collisions, resulting in better network performance. Through simulations and testbed implementation, the performance of CCC-ADR is analyzed in terms of packet success rate, power-consumption, and convergence time.</t>
  </si>
  <si>
    <t>979-8-3503-7021-8</t>
  </si>
  <si>
    <t>https://ieeexplore.ieee.org/stamp/stamp.jsp?arnumber=10465013</t>
  </si>
  <si>
    <t>LoRa;LoRaWAN;Adaptive Data Rate;Industrial Internet of Things;low-power wide-area networks (LP-WANs)</t>
  </si>
  <si>
    <t>Performance evaluation;Wide area networks;Simulation;Packet loss;Throughput;Internet;Reliability</t>
  </si>
  <si>
    <t>4-8 Dec. 2023</t>
  </si>
  <si>
    <t>PIM-LLN: Protocol Independent Multicast for Low-Power and Lossy Networks</t>
  </si>
  <si>
    <t>I. E. Lakhlef; B. Djamaa; M. R. Senouci; A. Bradai; Y. M. Cherif</t>
  </si>
  <si>
    <t>Distributed &amp; Complex Systems Lab., Ecole Militaire Polytechnique, Algiers, Algeria; Distributed &amp; Complex Systems Lab., Ecole Militaire Polytechnique, Algiers, Algeria; Distributed &amp; Complex Systems Lab., Ecole Militaire Polytechnique, Algiers, Algeria; Laboratoire LEAT, Université Côte d’Azur, Nice, France; Ecole Supérieure Ali Chabati, Algiers, Algeria</t>
  </si>
  <si>
    <t>IEEE Transactions on Mobile Computing</t>
  </si>
  <si>
    <t>In resource-constrained Internet of Things (IoT) environments like Low-power and Lossy Networks (LLNs), efficient communication protocols are essential. In this context, IP multicast protocols play a crucial role, facilitating the transmission of data packets from a single source to multiple recipients, thereby conserving bandwidth, power, and time for numerous LLN applications, such as over-the-air programming, information dissemination, and device configuration. Despite their usefulness, existing multicast solutions face several challenges, including scalability, energy efficiency, and reliability. To tackle such issues, this paper introduces Protocol Independent Multicast for LLNs (PIM-LLN). PIM-LLN employs a multicast distribution tree anchored at the border router, a multi-path data dissemination mechanism, and an efficient retransmission technique to route streams exclusively to regions with group members reducing energy consumption and bandwidth usage while improving response times and reliability. Through comprehensive simulations and public testbed experiments, we meticulously assess PIM-LLN’s performance, benchmarking it against state-of-the-art solutions under different scenarios. Our findings underscore the scalability, reliability, reduced latency, and efficient resource utilization of PIM-LLN in terms of memory, bandwidth, and energy. Notably, PIM-LLN, as compared to state-of-the-art solutions, achieves a similar level of reliability while reducing overhead by up to 50%.</t>
  </si>
  <si>
    <t>1558-0660</t>
  </si>
  <si>
    <t>10.1109/TMC.2024.3514942</t>
  </si>
  <si>
    <t>https://ieeexplore.ieee.org/stamp/stamp.jsp?arnumber=10789200</t>
  </si>
  <si>
    <t>Contiki-NG;Internet of Things (IoT);low-power and lossy network;multicast;the trickle algorithm</t>
  </si>
  <si>
    <t>Routing protocols;Routing;Reliability;Bandwidth;Multicast algorithms;Wireless networks;Performance evaluation;Multiprotocol label switching;Multicast protocols;Unicast</t>
  </si>
  <si>
    <t>May 2025</t>
  </si>
  <si>
    <t>Time Synchronization Extension for the IO-Link Industrial Communication Protocol</t>
  </si>
  <si>
    <t>A. Wiesner; P. Kaszás; F. -O. Witte; T. Kovácsházy</t>
  </si>
  <si>
    <t>Department of Artificial Intelligence and Systems Engineering, Budapest University of Technology and Economics, Budapest, Hungary; TEConcept GmbH, Freiburg, Germany; TEConcept GmbH, Freiburg, Germany; Department of Artificial Intelligence and Systems Engineering, Budapest University of Technology and Economics, Budapest, Hungary</t>
  </si>
  <si>
    <t>2024 IEEE International Symposium on Precision Clock Synchronization for Measurement, Control, and Communication (ISPCS)</t>
  </si>
  <si>
    <t>Modern industrial automation systems are real-time, distributed systems utilizing industry and manufacturer-specific, competing communication technologies. These networks are built using Industrial Ethernet Networking solutions today, such as PROFINET, EtherCAT, EtherNet/IP, CC-Link, etc. Hopefully, the industry will move towards the IEEE Time Sensitive Networking (TSN) standard in the near future. However, Ethernet-based technologies are not viable under a certain price point, nor they will be in the coming decades. Therefore, low-cost sensor and actuator networking solutions are used to aggregate sensors and actuators on the Industrial Ethernet Network. One of these is IO-Link. IO-Link has no concept of synchronized system time, and therefore, IO-Link devices cannot participate in real-time distributed systems based on a time-driven operation. The paper introduces a time synchronization extension for IO-Link to allow IO-Link devices to acquire global time and operate based on that with sub-microsecond precision. The extension is fully additive, i.e., backward compatible with standard IO-Link protocol and functions, and requires minimal hardware modification to current IO-Link devices. A proof of concept implementation is presented in the paper showing how an actual IO-Link master can be augmented for time synchronization, and how relevant hardware features of the IO-Link devices, such as timer bit numbers, influence the achievable precision.</t>
  </si>
  <si>
    <t>979-8-3503-6611-2</t>
  </si>
  <si>
    <t>10.1109/ISPCS63021.2024.10747727</t>
  </si>
  <si>
    <t xml:space="preserve">Experiment; </t>
  </si>
  <si>
    <t>https://ieeexplore.ieee.org/stamp/stamp.jsp?arnumber=10747727</t>
  </si>
  <si>
    <t>Internet of Things (IIoT);Industrial Communication IO-Link Time Synchronization;Precision Time Protocol (PTP);Time Sensitive Networking (TSN);Low-Speed Communication</t>
  </si>
  <si>
    <t>Performance evaluation;Industries;Actuators;Protocols;Prototypes;Ethernet;Hardware;Real-time systems;Synchronization;Standards</t>
  </si>
  <si>
    <t>7-11 Oct. 2024</t>
  </si>
  <si>
    <t>Industrial data-collector by enabling OPC-UA standard for Industry 4.0</t>
  </si>
  <si>
    <t>M. Ghazivakili; C. Demartini; C. Zunino</t>
  </si>
  <si>
    <t>Dipartimento di Automatica e Informatica, Politecnico di Torino, Torino, Italy; Dipartimento di Automatica e Informatica, Politecnico di Torino, Torino, Italy; National Research Council of Italy, CNR - IEIIT Torino, Torino, Italy</t>
  </si>
  <si>
    <t>Industrial Communication Systems have become an increasingly essential part of factory automation, motion control, networked control systems. New and real-time capable solutions are required to support the always more present Industry 4.0 paradigm: for both local and wide area networks. At the same time, standardization has also started moving in this direction: in particular, for future open and dynamic system architectures, promising activities based on OPC-UA are serious attempt to satisfy stricter requirements for interoperability and information modeling with hard real-time needs. For these reasons, in this paper the development of an OPC-UA based architecture is described: the main target is to build a “collector” able to collect data from the shop-floor and convert them in the OPC-UA standard for an agile and effective vertical integration. The subsequent analysis carried out on the testbed mainly focuses on the performance evaluation of the method. To achieve high-performance data transmission in a fair environment, a parallel communication mechanism has been proposed.</t>
  </si>
  <si>
    <t>10.1109/WFCS.2018.8402364</t>
  </si>
  <si>
    <t>https://ieeexplore.ieee.org/stamp/stamp.jsp?arnumber=8402364</t>
  </si>
  <si>
    <t>Industrial Networks;Industry 4.0;OPC;OPC-UA;IoT;IIoT. RAMI4.0;IEC62541</t>
  </si>
  <si>
    <t>Protocols;Servers;Standards;Industries;Business;Biological system modeling;Internet of Things</t>
  </si>
  <si>
    <t>IoT Communication Framework with Ground Station Integration Using MQTT over TCP</t>
  </si>
  <si>
    <t>P. Ahlawat; S. Mishra; P. Patidar; M. Dave; M. Sarkar</t>
  </si>
  <si>
    <t>CSE Dept., NIT, Kurukshetra, India; CSE Dept., NIT, Kurukshetra, Haryana, India; Space Applications Centre, ISRO, Ahmedabad, India; CSE Dept., NIT, Kurukshetra, India; CSE Dept., NIT, Kurukshetra, Haryana, India</t>
  </si>
  <si>
    <t>2025 IEEE Space, Aerospace and Defence Conference (SPACE)</t>
  </si>
  <si>
    <t>In order to ensure smooth communication, monitoring, and performance assessment of interconnected IoT devices, this research presents an exploratory study on IoT communication using MQTT over TCP within a ground station– centric architecture. The proposed system adopts a tree-structured communication model, where a central ground station functions as the root node. By leveraging MQTT over TCP, the framework facilitates secure packet transmission, efficient communication links, and detection of the nearest IoT devices. Communication operations are simulated using Python to calculate packet transfer, processing, and transmission durations, while MATLAB is employed for performance analysis and dynamic 2D geographic visualization. Within this hierarchical structure, IoT devices operate as leaf nodes and relay data via the central ground station. Experimental results demonstrate the system’s reliability in handling real-time data, visualizing communication routes, and presenting performance indicators. The integration of Python and MATLAB offers a scalable and effective approach to managing and monitoring IoT networks, with promising applications in smart cities and industrial IoT systems.</t>
  </si>
  <si>
    <t>979-8-3315-1552-2</t>
  </si>
  <si>
    <t>10.1109/SPACE65882.2025.11171214</t>
  </si>
  <si>
    <t>https://ieeexplore.ieee.org/stamp/stamp.jsp?arnumber=11171214</t>
  </si>
  <si>
    <t>MQTT over TCP;IoT communication;ground station;protocol evaluation;MATLAB;Python;latency;scalability;satellite communication</t>
  </si>
  <si>
    <t>Performance evaluation;Data visualization;Aerodynamics;Real-time systems;Performance analysis;Internet of Things;Reliability;MATLAB;Monitoring;Space stations</t>
  </si>
  <si>
    <t>21-23 July 2025</t>
  </si>
  <si>
    <t>Experimenting With Digital Signatures Over a DNP3 Protocol in a Multitenant Cloud-Based SCADA Architecture</t>
  </si>
  <si>
    <t>M. Marian; A. Cusman; F. Stîngă; D. Ionică; D. Popescu</t>
  </si>
  <si>
    <t>Department of Computer and Information Technology, University of Craiova, Craiova, Romania; Cert Digital, Centrul de Calcul S.A., Tg. Jiu, Romania; Department of Automation and Electronics, University of Craiova, Craiova, Romania; Cert Digital, Centrul de Calcul S.A., Tg. Jiu, Romania; Department of Automation and Electronics, University of Craiova, Craiova, Romania</t>
  </si>
  <si>
    <t>The ideas presented in this paper are summarized as follows. The first idea entails improving the security of supervisory control and data acquisition (SCADA) architectures by means of asymmetric cryptography and digital signatures and measuring the performance overhead. This allows achieving some obvious subsequent goals such as data-origin authentication, and the traceability and implicit non-repudiation of commands given to intelligent field and direct control equipment. The possibility to include digital signatures with a minimum impact on a standard and a reliable data communication protocol, such as Distributed Network Protocol version 3 (DNP3), also known to have a mature, industrially validated, open-source implementation, has been tested and the results are presented. A second idea concerns designing and developing a multitenant cloud-based architecture for a SCADA environment. This hypothesis focuses on certain SCADA operators that manage multiple industrial control systems (ICS) and intend to consolidate process data in a centralized manner.</t>
  </si>
  <si>
    <t>10.1109/ACCESS.2020.3019112</t>
  </si>
  <si>
    <t xml:space="preserve">European Regional Development Fund, Competitiveness Operational Program, under Grant TISIPRO(grant numbers:P_40_416/105736 (2016–2021)); </t>
  </si>
  <si>
    <t>https://ieeexplore.ieee.org/stamp/stamp.jsp?arnumber=9174980</t>
  </si>
  <si>
    <t>Digital signatures;cybersecurity;SCADA;industrial control system;cloud-based services</t>
  </si>
  <si>
    <t>Protocols;Cloud computing;Authentication;Digital signatures;Computer architecture</t>
  </si>
  <si>
    <t>Stealthy cyber attacks and impact analysis on wide-area protection of smart grid</t>
  </si>
  <si>
    <t>V. Kumar Singh; A. Ozen; M. Govindarasu</t>
  </si>
  <si>
    <t>Department of Electrical and Computer Engineering, Iowa State University, Ames, IA; Department of Electrical and Computer Engineering, Iowa State University, Ames, IA; Department of Electrical and Computer Engineering, Iowa State University, Ames, IA</t>
  </si>
  <si>
    <t>2016 North American Power Symposium (NAPS)</t>
  </si>
  <si>
    <t>Smart grid is vulnerable to many cyber attacks due to legacy nature of the infrastructure coupled with increase in control and monitoring functions through cyber advancements. Remedial Action Scheme (RAS), widely used for wide area protection, provides autonomous operations through the RAS controller. Due to its dependence on the timely cooperation of multiple devices and communication network, it is highly vulnerable to cyber attacks. In this paper, we present an impact analysis for the power system due to a class of malware-based coordinated cyber attacks targeting the RAS scheme. Specifically, we make the following two contributions. First, modeling a stealth attack vector based on malware and coordinated attack behavior. In particular installing the malware (Trojan horse) in the RAS controller which turns the controller into an attacker's bot. Then, performing a coordinated attack which involves malicious tripping of one of the parallel lines connected to a generator followed by the continuous pulse attack on the generator. The pulse attack includes periodically changing the generations through RAS controller which remains undetected by the control center. Second, testbed-based implementation and evaluation to quantify system impacts. We have leveraged Iowa State's PowerCyber CPS security testbed for experimental evaluation. In our evaluation, we varied the duty cycle of the pulse attack to obtain different attack scenarios and consequent impacts are analyzed on modified IEEE 9-bus system in real-time simulation. Our studies show that the duty cycle of the pulse attack is a critical factor in determining the severity of the attack impacts on system stability.</t>
  </si>
  <si>
    <t>978-1-5090-3270-9</t>
  </si>
  <si>
    <t>10.1109/NAPS.2016.7747927</t>
  </si>
  <si>
    <t>https://ieeexplore.ieee.org/stamp/stamp.jsp?arnumber=7747927</t>
  </si>
  <si>
    <t>Generators;Power system stability;Smart grids;Computers;Trojan horses;Relays</t>
  </si>
  <si>
    <t>18-20 Sept. 2016</t>
  </si>
  <si>
    <t>A Logical Performance Evaluation Methodology based on Bandwidth Estimation Strategy to Minimize Communication Delay over Wireless Sensor Networks</t>
  </si>
  <si>
    <t>S. A. Shifani; M. S. S; S. Maheshwari; A. A. Mary; M. I. M. Metilda; G. V. Rajkumar</t>
  </si>
  <si>
    <t>Department of ECE, Saveetha School of Engineering, Saveetha Institute of Medical and Technical Sciences (SIMATS), Saveetha University, Chennai; Department of ECE, Sardar Raja College of Engineering, Alangulam; Department of ECE, Saveetha School of Engineering, Saveetha Institute of Medical and Technical Sciences (SIMATS), Saveetha University, Chennai; Division of Mathematics, School of Sciences, SRM Institute of Science and Technology, Trichy; Department of Mathematics, Sathyabama Institute of Science and Technology, Chennai; Department of ECE, J P College of Engineering, Tenkasi</t>
  </si>
  <si>
    <t>2024 4th Asian Conference on Innovation in Technology (ASIANCON)</t>
  </si>
  <si>
    <t>Wireless Sensor Networks (WSNs) are critical in various applications such as environmental monitoring, smart agriculture, industrial automation, and healthcare. These networks often face significant challenges, including limited bandwidth, high communication delay, energy constraints, and varying environmental conditions. Traditional bandwidth allocation methods in WSNs often fail to adapt to dynamic network conditions, leading to suboptimal performance, increased packet loss, higher latency, and inefficient energy usage. This study presents an adaptive bandwidth estimation strategy designed to minimize communication delay in Wireless Sensor Networks (WSNs). The strategy dynamically adjusts bandwidth allocation based on real-time network conditions through continuous monitoring, precise bandwidth estimation, and adaptive adjustment of transmission parameters. Utilizing the NS-3 simulator, a realistic simulation environment was created to reflect real-world conditions, including varying node densities, traffic patterns, and environmental factors like interference and physical obstacles. The proposed model demonstrated significant improvements over existing models, achieving a packet loss rate of 0.5% compared to 1.2%, a transmission rate of 240 kbps versus 220 kbps, latency of 15 ms against 25 ms, and energy consumption of 50 mW compared to 60 mW. These results highlight the strategy's effectiveness in enhancing WSN performance, maintaining low latency, high reliability, and efficient energy consumption.</t>
  </si>
  <si>
    <t>979-8-3503-5421-8</t>
  </si>
  <si>
    <t>10.1109/ASIANCON62057.2024.10838083</t>
  </si>
  <si>
    <t>https://ieeexplore.ieee.org/stamp/stamp.jsp?arnumber=10838083</t>
  </si>
  <si>
    <t>Wireless Sensor Networks;Adaptive Bandwidth Estimation;Communication Delay;Real-Time Network Conditions;Packet Loss;Transmission Rate;Latency;Energy Consumption;Dynamic Adjustment</t>
  </si>
  <si>
    <t>Wireless communication;Wireless sensor networks;Energy consumption;Adaptation models;Adaptive systems;Estimation;Packet loss;Bandwidth;Channel allocation;Delays</t>
  </si>
  <si>
    <t>23-25 Aug. 2024</t>
  </si>
  <si>
    <t>2025 IEEE Symposium on Computers and Communications (ISCC)</t>
  </si>
  <si>
    <t>2642-7389</t>
  </si>
  <si>
    <t>979-8-3315-2420-3</t>
  </si>
  <si>
    <t>2-5 July 2025</t>
  </si>
  <si>
    <t>DigSiNet: Using Multiple Digital Twins to Provide Rhythmic Network Consistency</t>
  </si>
  <si>
    <t>S. Rieger; L. -N. Lux; J. Schmitt; M. Stiemerling</t>
  </si>
  <si>
    <t>Applied Computer Science Department, University of Applied Sciences, Fulda, Germany; Applied Computer Science Department, University of Applied Sciences, Fulda, Germany; Applied Computer Science Department, University of Applied Sciences, Fulda, Germany; Computer Science Department, Darmstadt University of Applied Sciences, Germany</t>
  </si>
  <si>
    <t>NOMS 2024-2024 IEEE Network Operations and Management Symposium</t>
  </si>
  <si>
    <t>While digital twins have been presented for several use-cases like industrial environments, their use for network management still holds challenges to be addressed. The paper presents a proof of concept to create multiple digital twin network topologies using Containerlab as realistic network emulator. As an example, the implementation uses AFLnet to fuzz an RTSP server as soon as corresponding configuration changes are detected. Real-time data is exchanged and processed between the real network and the siblings. Information from multiple siblings is combined to use individual strengths of the different environments they run in. Benefits and examples for real-world use-cases, e.g., continuous integration and security tests are discussed. The implementation is provided as open source.</t>
  </si>
  <si>
    <t>2374-9709</t>
  </si>
  <si>
    <t>979-8-3503-2793-9</t>
  </si>
  <si>
    <t>10.1109/NOMS59830.2024.10575632</t>
  </si>
  <si>
    <t>https://ieeexplore.ieee.org/stamp/stamp.jsp?arnumber=10575632</t>
  </si>
  <si>
    <t>Network Management;SDN;Digital Twin;Continuous Integration;Fuzzing</t>
  </si>
  <si>
    <t>Network topology;Real-time systems;Digital twins;Servers;Security</t>
  </si>
  <si>
    <t>6-10 May 2024</t>
  </si>
  <si>
    <t>DIIG: A Distributed Industrial IoT Gateway</t>
  </si>
  <si>
    <t>M. Hemmatpour; M. Ghazivakili; B. Montrucchio; M. Rebaudengo</t>
  </si>
  <si>
    <t>Dipartimento di Automatica e Informatica, Politecnico di Torino; Dipartimento di Automatica e Informatica, Politecnico di Torino; Dipartimento di Automatica e Informatica, Politecnico di Torino; Dipartimento di Automatica e Informatica, Politecnico di Torino</t>
  </si>
  <si>
    <t>2017 IEEE 41st Annual Computer Software and Applications Conference (COMPSAC)</t>
  </si>
  <si>
    <t>Ongoing emphasis on the fourth industrial revolution requires further focus on the Internet of Things (IoT) as a means to integrate all relevant entities within a single technological system. In the integration process, a gateway to relay the raw data to an IoT endpoint is essential so that a joint interface among the heterogeneous domains can be provided. This work describes the development of a distributed industrial IoT gateway, called DIIG, able to relay industrial network data to a centralized data-store. DIIG exploits a real-time client server programming model based on S7 communication and Modbus TCP protocols. The subsequent analysis carried out on the testbed mainly focuses on the performance evaluation of the gateway. In order to achieve high performance data transmission in a fair environment, a parallel real-time communication mechanism has been proposed.</t>
  </si>
  <si>
    <t>0730-3157</t>
  </si>
  <si>
    <t>978-1-5386-0367-3</t>
  </si>
  <si>
    <t>10.1109/COMPSAC.2017.110</t>
  </si>
  <si>
    <t>https://ieeexplore.ieee.org/stamp/stamp.jsp?arnumber=8029694</t>
  </si>
  <si>
    <t>IoT gateway;Industry 4.0;modbus;s7</t>
  </si>
  <si>
    <t>Logic gates;Protocols;Servers;Indexes;Internet;Industries;Registers</t>
  </si>
  <si>
    <t>4-8 July 2017</t>
  </si>
  <si>
    <t>Exploiting Control Device Vulnerabilities: Attacking Cyber-Physical Water System</t>
  </si>
  <si>
    <t>P. Sindhwad; F. Kazi</t>
  </si>
  <si>
    <t>Electrical Engineering Department, VJTI, Mumbai, India; Electrical Engineering Department, VJTI, Mumbai, India</t>
  </si>
  <si>
    <t>2022 32nd Conference of Open Innovations Association (FRUCT)</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</si>
  <si>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t>
  </si>
  <si>
    <t>978-952-69244-8-9</t>
  </si>
  <si>
    <t>10.23919/FRUCT56874.2022.9953826</t>
  </si>
  <si>
    <t>https://ieeexplore.ieee.org/stamp/stamp.jsp?arnumber=9953826</t>
  </si>
  <si>
    <t>Integrated circuits;Threat modeling;Fault diagnosis;Technological innovation;Wireless networks;Industrial control;Buffer overflows</t>
  </si>
  <si>
    <t>9-11 Nov. 2022</t>
  </si>
  <si>
    <t>Optimizing Freshness in IoT Scans</t>
  </si>
  <si>
    <t>J. K. Becker; D. Starobinski</t>
  </si>
  <si>
    <t>Electrical &amp; Computer Engineering, Boston University, Boston, MA, USA; Electrical &amp; Computer Engineering, Boston University, Boston, MA, USA</t>
  </si>
  <si>
    <t>2022 IEEE 8th World Forum on Internet of Things (WF-IoT)</t>
  </si>
  <si>
    <t>Motivated by IoT security monitoring applications, we consider the problem of a wireless monitor that must implement a multi-channel scanning policy to minimize the Age of Information (AoI) of received information. We model this problem as a Markov Decision Process (MDP). To address the curse of dimensionality, we propose various scanning policies of low computational complexity. We compare the performance of these policies against the optimal one in small instances, and further simulate them using time-series data obtained from real IoT device communication traces. We show that a policy, coined Greedy Expected Area (GEA), performs well in many scenarios.</t>
  </si>
  <si>
    <t>978-1-6654-9153-2</t>
  </si>
  <si>
    <t>10.1109/WF-IoT54382.2022.10152289</t>
  </si>
  <si>
    <t xml:space="preserve">US National Science Foundation(grant numbers:CNS-1717858,CNS-1908087,CCF-2006628,EECS-2128517); </t>
  </si>
  <si>
    <t>https://ieeexplore.ieee.org/stamp/stamp.jsp?arnumber=10152289</t>
  </si>
  <si>
    <t>Wireless monitoring;Internet of Things;Modeling;Simulation</t>
  </si>
  <si>
    <t>Performance evaluation;Wireless communication;Protocols;Soft sensors;Switches;Markov processes;Internet of Things</t>
  </si>
  <si>
    <t>26 Oct.-11 Nov. 2022</t>
  </si>
  <si>
    <t>Analysis of Machine Learning Methods in EtherCAT-Based Anomaly Detection</t>
  </si>
  <si>
    <t>K. O. Akpinar; I. Ozcelik</t>
  </si>
  <si>
    <t>Department of Computer Engineering, Sakarya University, Sakarya, Turkey; Department of Computer Engineering, Sakarya University, Sakarya, Turkey</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</si>
  <si>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t>
  </si>
  <si>
    <t>10.1109/ACCESS.2019.2960497</t>
  </si>
  <si>
    <t xml:space="preserve">Sakarya Üniversitesi(grant numbers:2015-50-02-025); Türkiye Bilimsel ve Teknolojik Araştirma Kurumu(grant numbers:118E263); </t>
  </si>
  <si>
    <t>https://ieeexplore.ieee.org/stamp/stamp.jsp?arnumber=8936397</t>
  </si>
  <si>
    <t>Anomaly detection;EtherCAT security;ICS security;machine learning for EtherCAT</t>
  </si>
  <si>
    <t>Anomaly detection;Protocols;Machine learning;Integrated circuit modeling;Security;Level control</t>
  </si>
  <si>
    <t>Priority-Aware Wireless Fieldbus Protocol for Mixed-Criticality Industrial Wireless Sensor Networks</t>
  </si>
  <si>
    <t>H. Farag; E. Sisinni; M. Gidlund; P. Österberg</t>
  </si>
  <si>
    <t>Department of Information Systems and Technology, Mid Sweden University, Sundsvall, Sweden; Department of Information Engineering, University of Brescia, Brescia, Italy; Department of Information Systems and Technology, Mid Sweden University, Sundsvall, Sweden; Department of Information Systems and Technology, Mid Sweden University, Sundsvall, Sweden</t>
  </si>
  <si>
    <t>IEEE Sensors Journal</t>
  </si>
  <si>
    <t>Industrial wireless sensor networks are becoming popular for critical monitoring and control applications in industrial automation systems. For such type of applications, providing reliable real-time performance regarding data delivery is considered as a fundamental challenge. The problem becomes more prominent with mixed-criticality systems, where different data flow with different levels of criticality (importance) coexist and characterized by different requirements regarding delay and reliability. In this paper, we propose a wireless fieldbus protocol to enable real-time communication and service differentiation for cluster-based mixed-criticality networks. A process monitoring scenario of plastic extrusion is used to define the protocol requirements and elaborate the working principle of the proposed work. In our proposed protocol, each data flow is scheduled for channel access based on its criticality level using a distributed prioritized medium access mechanism that ensures a guaranteed channel access for the most critical traffic over other traffic types. The performance of the proposed protocol is analyzed analytically using a discrete-time Markov chain model to evaluate the performance in terms of delay and throughput. Moreover, the extensive simulations are conducted to prove the analytical claims and different performance assessments are provided, which also demonstrate the effectiveness of the proposed approach compared with the related existing work.</t>
  </si>
  <si>
    <t>1558-1748</t>
  </si>
  <si>
    <t>10.1109/JSEN.2018.2888729</t>
  </si>
  <si>
    <t xml:space="preserve">EU Regional(grant numbers:20201010); </t>
  </si>
  <si>
    <t>https://ieeexplore.ieee.org/stamp/stamp.jsp?arnumber=8581394</t>
  </si>
  <si>
    <t>Industrial wireless sensor networks;mixed-criticality systems;real-time;wireless fieldbus</t>
  </si>
  <si>
    <t>Wireless sensor networks;Wireless communication;Protocols;Real-time systems;Reliability;Monitoring;Delays</t>
  </si>
  <si>
    <t>1 April1, 2019</t>
  </si>
  <si>
    <t>S. Nimmala; N. S. Gupta; P. V. Sena; K. K. Chari; M. Aleem Pasha; B. Rambabu</t>
  </si>
  <si>
    <t>Department of CSE (Data Science), CVR College of Engineering, Hyderabad, India; Department of Computer Engineering Technology, Chaitanya Bharati Institute of Technology (CBIT), Hyderabad, India; Department of CSE, G. Narayanamma Institute of Technology and Science, Hyderabad, India; Department of CSE, Teegala Krishna Reddy Engineering College, Hyderabad, India; Department of Mechanical Engineering, Chaitanya Bharati Institute of Technology (CBIT), Hyderabad, India; Department of CSE, CVR College of Engineering, Hyderabad, India</t>
  </si>
  <si>
    <t>2025 5th International Conference on Trends in Material Science and Inventive Materials (ICTMIM)</t>
  </si>
  <si>
    <t>Energy efficiency poses a significant difficulty in Wireless Sensor Networks (WSNs), especially within smart energy applications like smart grids, energy monitoring, and predictive maintenance. This study presents an adaptive optimization approach based on reinforcement learning utilizing Deep Q-Networks (DQN) to improve energy efficiency in Wireless Sensor Networks (WSNs) through the dynamic adjustment of transmission power and routing algorithms. The suggested model is trained and assessed utilizing the LEACH (Low-Energy Adaptive Clustering Hierarchy) dataset within a simulated NS-3 and MATLAB environment. The simulation configuration comprises 100 to 500 sensor nodes distributed inside a 100m x 100m region, each with differing energy limitations, utilizing the IEEE 802.15.4(Zigbee) communication protocol. The performance evaluation is carried out under varying traffic loads and network density, contrasting the proposed DQN-based optimization with classic LEACH, GA-based clustering, and Q-learning models. The results indicate a 27.5% enhancement in network longevity relative to LEACH, a 21.8% decrease in energy consumption per node, an 18.3% advancement in packet delivery ratio, and a 16.7% reduction in end-to-end latency, hence providing dependable data transfer. The findings underscore the efficacy of reinforcement learning in prolonging the lifespan of wireless sensor networks and enhancing energy efficiency, rendering it exceptionally appropriate for practical smart energy applications, including power grid monitoring, industrial IoT, and renewable energy management. The proposed DQN-based optimization dynamically adjusts transmission power and routing strategies, resulting in significant energy savings and improved network performance</t>
  </si>
  <si>
    <t>979-8-3315-0148-8</t>
  </si>
  <si>
    <t>https://ieeexplore.ieee.org/stamp/stamp.jsp?arnumber=10988386</t>
  </si>
  <si>
    <t>Wireless Sensor Networks (WSN);Energy-Efficient Optimization;Deep Q-Networks (DQN);Reinforcement Learning;Smart Energy Applications;Adaptive Routing and Clustering</t>
  </si>
  <si>
    <t>Wireless sensor networks;Adaptive systems;Heuristic algorithms;Telecommunication traffic;Routing;Energy efficiency;Mathematical models;Smart grids;Optimization;Monitoring</t>
  </si>
  <si>
    <t>7-9 April 2025</t>
  </si>
  <si>
    <t>Page Count</t>
  </si>
  <si>
    <t>Web Of Science</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</si>
  <si>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</si>
  <si>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</si>
  <si>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</si>
  <si>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</si>
  <si>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</si>
  <si>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</si>
  <si>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</si>
  <si>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</si>
  <si>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</si>
  <si>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</si>
  <si>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</si>
  <si>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</si>
  <si>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Conference Title</t>
  </si>
  <si>
    <t>Conference Date</t>
  </si>
  <si>
    <t>Conference Location</t>
  </si>
  <si>
    <t>Conference Sponsor</t>
  </si>
  <si>
    <t>Conference Host</t>
  </si>
  <si>
    <t>Keywords Plus</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</si>
  <si>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</si>
  <si>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</si>
  <si>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</si>
  <si>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</si>
  <si>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</si>
  <si>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</si>
  <si>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</si>
  <si>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</si>
  <si>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</si>
  <si>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</si>
  <si>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</si>
  <si>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</si>
  <si>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</si>
  <si>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</si>
  <si>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</si>
  <si>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 City</t>
  </si>
  <si>
    <t>Publisher Address</t>
  </si>
  <si>
    <t>eISSN</t>
  </si>
  <si>
    <t>ISBN</t>
  </si>
  <si>
    <t>Journal Abbreviation</t>
  </si>
  <si>
    <t>Journal ISO Abbreviation</t>
  </si>
  <si>
    <t>Publication Date</t>
  </si>
  <si>
    <t>Part Number</t>
  </si>
  <si>
    <t>Supplement</t>
  </si>
  <si>
    <t>Special Issue</t>
  </si>
  <si>
    <t>Meeting Abstract</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</si>
  <si>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</si>
  <si>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</si>
  <si>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</si>
  <si>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</si>
  <si>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</si>
  <si>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</si>
  <si>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</si>
  <si>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</si>
  <si>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</si>
  <si>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</si>
  <si>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</si>
  <si>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</si>
  <si>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</si>
  <si>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</si>
  <si>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</si>
  <si>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</si>
  <si>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</si>
  <si>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Liu, KX; Xie, YF; Xie, SW; Sun, LM</t>
  </si>
  <si>
    <t>Liu, Kaixiang; Xie, Yongfang; Xie, Shiwen; Sun, Limin</t>
  </si>
  <si>
    <t>JOURNAL OF PROCESS CONTROL</t>
  </si>
  <si>
    <t>XIE, SHIWEN/0000-0002-5485-4234; liu, kaixiang/0000-0002-2477-3951</t>
  </si>
  <si>
    <t>0959-1524</t>
  </si>
  <si>
    <t>1873-2771</t>
  </si>
  <si>
    <t>DEC</t>
  </si>
  <si>
    <t>NOV 2023</t>
  </si>
  <si>
    <t>WOS:001125212300001</t>
  </si>
  <si>
    <t>C</t>
  </si>
  <si>
    <t>Upadhyay, D; Ghosh, S; Ohno, H; Zaman, M; Sampalli, S</t>
  </si>
  <si>
    <t>Upadhyay, Darshana; Ghosh, Sagarika; Ohno, Hiroyuki; Zaman, Marzia; Sampalli, Srinivas</t>
  </si>
  <si>
    <t>INTERNATIONAL JOURNAL OF CRITICAL INFRASTRUCTURE PROTECTION</t>
  </si>
  <si>
    <t>Upadhyay, Darshana/ABZ-0358-2022</t>
  </si>
  <si>
    <t>1874-5482</t>
  </si>
  <si>
    <t>2212-2087</t>
  </si>
  <si>
    <t>AUG 2024</t>
  </si>
  <si>
    <t>WOS:001312913700001</t>
  </si>
  <si>
    <t>Cabaj, K; Plamowski, S; Chaber, P; Lawrynczuk, M; Marusak, P; Nebeluk, R; Wojtulewicz, A; Zarzycki, K</t>
  </si>
  <si>
    <t>Cabaj, Krzysztof; Plamowski, Sebastian; Chaber, Patryk; Lawrynczuk, Maciej; Marusak, Piotr; Nebeluk, Robert; Wojtulewicz, Andrzej; Zarzycki, Krzysztof</t>
  </si>
  <si>
    <t>SOFTWAREX</t>
  </si>
  <si>
    <t>2352-7110</t>
  </si>
  <si>
    <t>SEP</t>
  </si>
  <si>
    <t>MAY 2025</t>
  </si>
  <si>
    <t>WOS:001507537800001</t>
  </si>
  <si>
    <t>Wu, XP; Xie, LH</t>
  </si>
  <si>
    <t>IEEE Compu Soc</t>
  </si>
  <si>
    <t>Wu, Xuepei; Xie, Lihua</t>
  </si>
  <si>
    <t>End-to-end Delay Evaluation of Industrial Automation Systems based on EtherCAT</t>
  </si>
  <si>
    <t>2017 IEEE 42ND CONFERENCE ON LOCAL COMPUTER NETWORKS (LCN)</t>
  </si>
  <si>
    <t>Conference on Local Computer Networks</t>
  </si>
  <si>
    <t>IEEE 42nd Conference on Local Computer Networks (IEEE LCN)</t>
  </si>
  <si>
    <t>OCT 09-12, 2017</t>
  </si>
  <si>
    <t>Singapore, SINGAPORE</t>
  </si>
  <si>
    <t>IEEE,IEEE Comp Soc,IEEE Comp Soc Tech Comm Comp Commun</t>
  </si>
  <si>
    <t>978-1-5090-6522-6</t>
  </si>
  <si>
    <t>WOS:000426986600009</t>
  </si>
  <si>
    <t>Guarino, S; Faramondi, L; Oliva, G; Del Prete, E; Setola, R</t>
  </si>
  <si>
    <t>Guarino, Simone; Faramondi, Luca; Oliva, Gabriele; Del Prete, Ernesto; Setola, Roberto</t>
  </si>
  <si>
    <t>2024 32ND MEDITERRANEAN CONFERENCE ON CONTROL AND AUTOMATION, MED</t>
  </si>
  <si>
    <t>Mediterranean Conference on Control and Automation</t>
  </si>
  <si>
    <t>32nd Mediterranean Conference on Control and Automation-MED</t>
  </si>
  <si>
    <t>JUN 11-14, 2024</t>
  </si>
  <si>
    <t>GREECE</t>
  </si>
  <si>
    <t>Institute of Electrical and Electronics Engineers Inc</t>
  </si>
  <si>
    <t>Del Prete, Ernesto/AAA-3091-2022</t>
  </si>
  <si>
    <t>2325-369X</t>
  </si>
  <si>
    <t>WOS:001565329000007</t>
  </si>
  <si>
    <t>AL-Hawawreh, M; Sitnikova, E</t>
  </si>
  <si>
    <t>AL-Hawawreh, Muna; Sitnikova, Elena</t>
  </si>
  <si>
    <t>IEEE INTERNET OF THINGS JOURNAL</t>
  </si>
  <si>
    <t>AL-Hawawreh, Muna/JAC-7737-2023; Sitnikova, Elena/A-4839-2010</t>
  </si>
  <si>
    <t>AL-Hawawreh, Muna/0000-0003-4690-2256; Sitnikova, Elena/0000-0001-7392-0383</t>
  </si>
  <si>
    <t>APR 1</t>
  </si>
  <si>
    <t>WOS:000633436600039</t>
  </si>
  <si>
    <t>ACM</t>
  </si>
  <si>
    <t>Cheminod, M; Durante, L; Seno, L; Valenzano, A</t>
  </si>
  <si>
    <t>Cheminod, Manuel; Durante, Luca; Seno, Lucia; Valenzano, Adriano</t>
  </si>
  <si>
    <t>IEEE TRANSACTIONS ON INDUSTRIAL INFORMATICS</t>
  </si>
  <si>
    <t>Durante, Luca/B-9989-2015; Valenzano, Adriano/MNV-0805-2025; Seno, Lucia/AAX-1269-2020</t>
  </si>
  <si>
    <t>Durante, Luca/0000-0001-9319-7620;</t>
  </si>
  <si>
    <t>1551-3203</t>
  </si>
  <si>
    <t>MAY</t>
  </si>
  <si>
    <t>WOS:000431531400034</t>
  </si>
  <si>
    <t>2022 IEEE 27TH INTERNATIONAL CONFERENCE ON EMERGING TECHNOLOGIES AND FACTORY AUTOMATION (ETFA)</t>
  </si>
  <si>
    <t>IEEE International Conference on Emerging Technologies and Factory Automation-ETFA</t>
  </si>
  <si>
    <t>IEEE 27th International Conference on Emerging Technologies and Factory Automation (ETFA)</t>
  </si>
  <si>
    <t>SEP 06-09, 2022</t>
  </si>
  <si>
    <t>Stuttgart, GERMANY</t>
  </si>
  <si>
    <t>1946-0740</t>
  </si>
  <si>
    <t>Moulika, G; Palanisamy, P</t>
  </si>
  <si>
    <t>Moulika, G.; Palanisamy, Ponnusamy</t>
  </si>
  <si>
    <t>ENGINEERING RESEARCH EXPRESS</t>
  </si>
  <si>
    <t>palanisamy, ponnusamy/C-4439-2019</t>
  </si>
  <si>
    <t>palanisamy, ponnusamy/0000-0001-7005-9604; Grandhi, Moulika/0009-0000-7716-6541</t>
  </si>
  <si>
    <t>2631-8695</t>
  </si>
  <si>
    <t>DEC 1</t>
  </si>
  <si>
    <t>WOS:001366072300001</t>
  </si>
  <si>
    <t>Fang, DL; Song, ZW; Guan, L; Liu, PZ; Peng, AN; Cheng, K; Zheng, YW; Liu, P; Zhu, HS; Sun, LM</t>
  </si>
  <si>
    <t>Fang, Dongliang; Song, Zhanwei; Guan, Le; Liu, Puzhuo; Peng, Anni; Cheng, Kai; Zheng, Yaowen; Liu, Peng; Zhu, Hongsong; Sun, Limin</t>
  </si>
  <si>
    <t>37TH ANNUAL COMPUTER SECURITY APPLICATIONS CONFERENCE, ACSAC 2021</t>
  </si>
  <si>
    <t>37th Annual Computer Security Applications Conference (ACSAC)</t>
  </si>
  <si>
    <t>DEC 06-10, 2021</t>
  </si>
  <si>
    <t>ELECTR NETWORK</t>
  </si>
  <si>
    <t>Appl Comp Secur Associates,IBM</t>
  </si>
  <si>
    <t>978-1-4503-8579-4</t>
  </si>
  <si>
    <t>WOS:001150317600064</t>
  </si>
  <si>
    <t>Kumar, P; Mullick, S; Das, R; Nandi, A; Banerjee, I</t>
  </si>
  <si>
    <t>Kumar, Pradeep; Mullick, Suvrajit; Das, Rajdeep; Nandi, Ayushman; Banerjee, Indrajit</t>
  </si>
  <si>
    <t>; Das, Rajdeep/OYE-1785-2025; Banerjee, Indrajit/AAQ-4838-2020</t>
  </si>
  <si>
    <t>WOS:001453255300044</t>
  </si>
  <si>
    <t>JUN</t>
  </si>
  <si>
    <t>Koroniotis, N; Moustafa, N; Schiliro, F; Gauravaram, P; Janicke, H</t>
  </si>
  <si>
    <t>Koroniotis, Nickolaos; Moustafa, Nour; Schiliro, Francesco; Gauravaram, Praveen; Janicke, Helge</t>
  </si>
  <si>
    <t>IEEE TRANSACTIONS ON INTELLIGENT TRANSPORTATION SYSTEMS</t>
  </si>
  <si>
    <t>1524-9050</t>
  </si>
  <si>
    <t>FEB</t>
  </si>
  <si>
    <t>AUG 2021</t>
  </si>
  <si>
    <t>WOS:000732200800001</t>
  </si>
  <si>
    <t>APPLIED SCIENCES-BASEL</t>
  </si>
  <si>
    <t>2076-3417</t>
  </si>
  <si>
    <t>JUL</t>
  </si>
  <si>
    <t>Aquilina, J; Xuereb, PA; Francalanza, E; Mallia, J; Refalo, P</t>
  </si>
  <si>
    <t>Aquilina, Jurgen; Xuereb, Peter Albert; Francalanza, Emmanuel; Mallia, Jasmine; Refalo, Paul</t>
  </si>
  <si>
    <t>A Comparative Analysis of Application Layer Protocols within an Industrial Internet of Things Monitoring System</t>
  </si>
  <si>
    <t>2024 IEEE INTERNATIONAL SYMPOSIUM ON MEASUREMENTS &amp; NETWORKING, M &amp; N 2024</t>
  </si>
  <si>
    <t>IEEE International Workshop on Measurements and Networking</t>
  </si>
  <si>
    <t>IEEE International Symposium on Measurements and Networking (M and N)</t>
  </si>
  <si>
    <t>JUL 02-05, 2024</t>
  </si>
  <si>
    <t>Rome, ITALY</t>
  </si>
  <si>
    <t>IEEE,IEEE Instrumentat &amp; Measurement Soc,DEWESoft,Keysight,Intel,Teledyne LeCroy,Rohde &amp; Schwarz,Distek,Volta S p A,Batter Fly</t>
  </si>
  <si>
    <t>2639-507X</t>
  </si>
  <si>
    <t>979-8-3503-7054-6; 979-8-3503-7053-9</t>
  </si>
  <si>
    <t>WOS:001295151900046</t>
  </si>
  <si>
    <t>Silva, D; Carvalho, LI; Soares, J; Sofia, RC</t>
  </si>
  <si>
    <t>Silva, Daniel; Carvalho, Liliana I.; Soares, Jose; Sofia, Rute C.</t>
  </si>
  <si>
    <t>A Performance Analysis of Internet of Things Networking Protocols: Evaluating MQTT, CoAP, OPC UA</t>
  </si>
  <si>
    <t>WOS:000659575400001</t>
  </si>
  <si>
    <t>Cabrera-Gutiérrez, AJ; Castillo, E; Escobar-Molero, A; Cruz-Cozar, J; Morales, DP; Parrilla, L</t>
  </si>
  <si>
    <t>Cabrera-Gutierrez, Antonio J.; Castillo, Encarnacion; Escobar-Molero, Antonio; Cruz-Cozar, Juan; Morales, Diego P.; Parrilla, Luis</t>
  </si>
  <si>
    <t>ELECTRONICS</t>
  </si>
  <si>
    <t>2079-9292</t>
  </si>
  <si>
    <t>WOS:001031066200001</t>
  </si>
  <si>
    <t>Nimmala, S; Gupta, NS; Sena, PV; Chari, KK; Pasha, MA; Rambabu, B</t>
  </si>
  <si>
    <t>Nimmala, Satyanarayana; Gupta, Nukala Sujata; Sena, P. Vasanth; Chari, K. Koteswara; Pasha, Md Aleem; Rambabu, Bandi</t>
  </si>
  <si>
    <t>2025 5TH INTERNATIONAL CONFERENCE ON TRENDS IN MATERIAL SCIENCE AND INVENTIVE MATERIALS, ICTMIM</t>
  </si>
  <si>
    <t>5th International Conference on Trends in Material Science and Inventive Materials-ICTMIM</t>
  </si>
  <si>
    <t>APR 07-09, 2025</t>
  </si>
  <si>
    <t>Kanyakumari, INDIA</t>
  </si>
  <si>
    <t>979-8-3315-0149-5; 979-8-3315-0148-8</t>
  </si>
  <si>
    <t>WOS:001551216500165</t>
  </si>
  <si>
    <t>Boeding, M; Scalise, P; Hempel, M; Sharif, H; Lopez, JL Jr</t>
  </si>
  <si>
    <t>Boeding, Matthew; Scalise, Paul; Hempel, Michael; Sharif, Hamid; Lopez Jr, Juan</t>
  </si>
  <si>
    <t>FUTURE INTERNET</t>
  </si>
  <si>
    <t>1999-5903</t>
  </si>
  <si>
    <t>JUN 26</t>
  </si>
  <si>
    <t>WOS:001536179400001</t>
  </si>
  <si>
    <t>Web of Science</t>
  </si>
  <si>
    <t>ACM DL</t>
  </si>
  <si>
    <t>authors</t>
  </si>
  <si>
    <t>title</t>
  </si>
  <si>
    <t>year</t>
  </si>
  <si>
    <t>url</t>
  </si>
  <si>
    <t>issn</t>
  </si>
  <si>
    <t>doi</t>
  </si>
  <si>
    <t>abstract</t>
  </si>
  <si>
    <t>numpages</t>
  </si>
  <si>
    <t>keywords</t>
  </si>
  <si>
    <t>0360-0300</t>
  </si>
  <si>
    <t>Fahmida, Sezana; Jain, Aakriti; Modekurthy, Venkata Prashant; Ismail, Dali; Saifullah, Abusayeed</t>
  </si>
  <si>
    <t>RTPL: A Real-Time Communication Protocol for LoRa Network</t>
  </si>
  <si>
    <t>1539-9087</t>
  </si>
  <si>
    <t>10.1145/3702209</t>
  </si>
  <si>
    <t>Low-Power Wide-Area Network, LoRa, LoRaWAN, Industrial Internet-of-Things, Internet-of-Things, Cyber Physical Systems, Closed Loop</t>
  </si>
  <si>
    <t>Hazra, Abhishek; Adhikari, Mainak; Amgoth, Tarachand; Srirama, Satish Narayana</t>
  </si>
  <si>
    <t>A Comprehensive Survey on Interoperability for IIoT: Taxonomy, Standards, and Future Directions</t>
  </si>
  <si>
    <t>10.1145/3485130</t>
  </si>
  <si>
    <t>In the era of Industry 4.0, the Internet-of-Things (IoT) performs the driving position analogous to the initial industrial metamorphosis. IoT affords the potential to couple machine-to-machine intercommunication and real-time information-gathering within the industry domain. Hence, the enactment of IoT in the industry magnifies effective optimization, authority, and data-driven judgment. However, this field undergoes several interoperable issues, including large numbers of heterogeneous IoT gadgets, tools, software, sensing, and processing components, joining through the Internet, despite the deficiency of communication protocols and standards. Recently, various interoperable protocols, platforms, standards, and technologies are enhanced and altered according to the specifications of the applicability in industrial applications. However, there are no recent survey papers that primarily examine various interoperability issues that Industrial IoT (IIoT) faces. In this review, we investigate the conventional and recent developments of relevant state-of-the-art IIoT technologies, frameworks, and solutions for facilitating interoperability between different IIoT components. We also discuss several interoperable IIoT standards, protocols, and models for digitizing the industrial revolution. Finally, we conclude this survey with an inherent discussion of open challenges and directions for future research.</t>
  </si>
  <si>
    <t>Industrial internet of things, interoperability, machine-to-machine, standards, protocols</t>
  </si>
  <si>
    <t>1550-4859</t>
  </si>
  <si>
    <t>Zhang, Xiaohan; Zhang, Cen; Li, Xinghua; Du, Zhengjie; Mao, Bing; Li, Yuekang; Zheng, Yaowen; Li, Yeting; Pan, Li; Liu, Yang; Deng, Robert</t>
  </si>
  <si>
    <t>A Survey of Protocol Fuzzing</t>
  </si>
  <si>
    <t>10.1145/3696788</t>
  </si>
  <si>
    <t>Communication protocols form the bedrock of our interconnected world, yet vulnerabilities within their implementations pose significant security threats. Recent developments have seen a surge in fuzzing-based research dedicated to uncovering these vulnerabilities within protocol implementations. However, there still lacks a systematic overview of protocol fuzzing for answering the essential questions such as what the unique challenges are, how existing works solve them, and so on. To bridge this gap, we conducted a comprehensive investigation of related works from both academia and industry. Our study includes a detailed summary of the specific challenges in protocol fuzzing and provides a systematic categorization and overview of existing research efforts. Furthermore, we explore and discuss potential future research directions in protocol fuzzing.</t>
  </si>
  <si>
    <t>Protocol, fuzz testing, security</t>
  </si>
  <si>
    <t>Xu, Yifan; Dang, Fan; Liu, Kebin; Zhu, Zhui; Chen, Xinlei; Wang, Xu; Miao, Xin; Zhao, Haitian</t>
  </si>
  <si>
    <t>BEANet: An Energy-efficient BLE Solution for High-capacity Equipment Area Network</t>
  </si>
  <si>
    <t>10.1145/3641280</t>
  </si>
  <si>
    <t>Equipment Area Network, Bluetooth Low Energy, industrial internet</t>
  </si>
  <si>
    <t>X</t>
  </si>
  <si>
    <t>O</t>
  </si>
  <si>
    <t>Done (mark with 'O')</t>
  </si>
  <si>
    <t>Hyperlink Title</t>
  </si>
  <si>
    <t>Violates EC4, i.e., 4 pages or less</t>
  </si>
  <si>
    <t>Violates EC5, a review paper</t>
  </si>
  <si>
    <t>Total papers:</t>
  </si>
  <si>
    <t>Number excluded:</t>
  </si>
  <si>
    <t>Number included:</t>
  </si>
  <si>
    <t>Count</t>
  </si>
  <si>
    <t>Percentage</t>
  </si>
  <si>
    <t>Type violation:</t>
  </si>
  <si>
    <t>Violates EC1, full text not available</t>
  </si>
  <si>
    <t>Evaluates protocols MQTT vs CoAP using performance metrics, done in a industrial automation setting. Evaluates latency, jitter, bandwidth, throughput, packet loss using thir test bench</t>
  </si>
  <si>
    <t>Improving fuzz testing for industrial protocol security, then reports experimental evaluation (coverage, vulnerbility discovery, efficiency, resource use, etc).</t>
  </si>
  <si>
    <t xml:space="preserve">Experimental performance evaluation of MQTT, CoAP, WebSockets, and HTTP. It utilize metrics such as average latency, jitter, throughput, and protocol efficiency. </t>
  </si>
  <si>
    <t>Not a experimental/theoretical evaluation of communication protocols</t>
  </si>
  <si>
    <t>It proposes a reproducible end-to-end IIoT security, testbed (Brown-IIoTbed), which supports security testing and evaluation of different solutions. It also reports concrete protocol timing/jitter numbers as part of validating the testbed. "Brown-IIoTbed covers existing gaps in the development of IoT/IIoT system testbeds by supporting various new IIoT application protocols, legacy industrial protocols, the interoperability among them"</t>
  </si>
  <si>
    <t>no experimental/theoretical evaluation of communication protocols and no concrete protocol-evaluation method with reported protocol metrics/results</t>
  </si>
  <si>
    <t>Contributes a access-control interoperability framework between IIoT platforms, not an evaluation of communication proto9cols</t>
  </si>
  <si>
    <t>SCADA simulation environment for security testing. The evaluation example is DoS/DDoS on an RTU and tracking opened/dropped TCP connections, not evaluation of communication protocols or a protocol-assessment method with protocol metrics for closed-loop control.</t>
  </si>
  <si>
    <t>Petri-net (HCAPN) model to assess drone behaviour, It does not experimentally/theoretically evaluate communication protocols.</t>
  </si>
  <si>
    <t>theoretical performance analysis of wireless relaying and energy harvesting, not evaluation or improvement of methods for assessing industrial communication protocols.</t>
  </si>
  <si>
    <t>test environment and performance evaluation of OPC UA vs MQTT with defined metrics and scenarios.</t>
  </si>
  <si>
    <t>an IIoT security testbed that generates an intrusion dataset (ForgeIIOT) and then evaluates IDS/ML classifiers on that dataset. no experimental/theoretical evaluation of communication protocols and no concrete protocol-evaluation method with reported protocol metrics/results</t>
  </si>
  <si>
    <t>not an industrial automation / closed-loop control communication setting</t>
  </si>
  <si>
    <t>Security framework for embedded inter-device comms, with a reference implementation over I2C on Arduino nodes. does not evaluate or compare industrial protocols used in control networks</t>
  </si>
  <si>
    <t>theoretical and experimental evaluation of a protocol and its detection effectiveness</t>
  </si>
  <si>
    <t>5G planning/scheduling, not IACS closed-loop protocol evaluation and primary objective is scheduler/network performance, not evaluating secure industrial communication protocols or improving methods for that evaluation</t>
  </si>
  <si>
    <r>
      <t>survey</t>
    </r>
    <r>
      <rPr>
        <sz val="9.5"/>
        <color theme="1"/>
        <rFont val="ABBvoice"/>
        <family val="2"/>
        <charset val="238"/>
      </rPr>
      <t xml:space="preserve"> of the ICS security landscape</t>
    </r>
  </si>
  <si>
    <t>performance evaluation methodology for containerization-based edge–cloud stacks. Does not evaluate or compare communication protocols as the primary object of study</t>
  </si>
  <si>
    <t>methodology + implementation of a realistic ICS test bed to validate cybersecurity defenses. Not an experimental/theoretical evaluation of communication protocols or a method for protocol evaluation.</t>
  </si>
  <si>
    <t>Builds a hybrid ICS testbed that they use to inject false-data attacks via PROFINET, then cmpare online attack-detection algorithms. Does not experimantilly or theoretically evaluate communication protocols.</t>
  </si>
  <si>
    <t>doesn’t evaluate communication protocols or propose a protocol-evaluation method/metrics set</t>
  </si>
  <si>
    <t>modelling approach for IIoT + multi-robot system integration, not an experimental/theoretical evaluation of communication protocols or methods to evaluate them.</t>
  </si>
  <si>
    <t>Title Exclusion</t>
  </si>
  <si>
    <t>Asset discovery, not protocol evaluation (EC7)</t>
  </si>
  <si>
    <t>Generic CPS platform; protocol evaluation not implied (EC7)</t>
  </si>
  <si>
    <t>“Comprehensive analysis” reads as secondary + IoT/blockchain (EC5/EC3)</t>
  </si>
  <si>
    <t>IDS/IoT, not protocol evaluation (EC7/EC3)</t>
  </si>
  <si>
    <t>Attack study, not protocol evaluation (EC7)</t>
  </si>
  <si>
    <t>Smart home, unrelated (EC3)</t>
  </si>
  <si>
    <t>Link-tech comparison, not industrial protocol evaluation (EC7)</t>
  </si>
  <si>
    <t>Fog networking, not protocol evaluation (EC7)</t>
  </si>
  <si>
    <t>IoT PHY/MAC, not industrial automation protocol eval (EC3)</t>
  </si>
  <si>
    <t>Wireless MAC theory, not industrial protocol eval (EC3)</t>
  </si>
  <si>
    <t>Risk assessment method, not protocol evaluation (EC7)</t>
  </si>
  <si>
    <t>LoRaWAN ADR tuning, not industrial automation protocol eval (EC3)</t>
  </si>
  <si>
    <t>Generic networking protocol, not industrial automation (EC3)</t>
  </si>
  <si>
    <t>Implementation/project, not evaluation (EC7)</t>
  </si>
  <si>
    <t>Ground station domain, not industrial automation (EC3)</t>
  </si>
  <si>
    <t>Attack analysis, not protocol evaluation (EC7)</t>
  </si>
  <si>
    <t>Generic WSN method, not industrial automation protocol focus (EC3)</t>
  </si>
  <si>
    <t>Digital twins consistency, not protocol evaluation (EC7)</t>
  </si>
  <si>
    <t>Gateway architecture, not protocol evaluation (EC7)</t>
  </si>
  <si>
    <t>Attacks, not protocol evaluation (EC7)</t>
  </si>
  <si>
    <t>IoT scanning, not protocol evaluation (EC7)</t>
  </si>
  <si>
    <t>experimental platform/testbed for Open Process Automation attributes (interoperability, modularity, portability) using OPC UA + IEC 61499, not a protocol evaluation study.</t>
  </si>
  <si>
    <t>primary objective is a virtual process controller (VPC) architecture and a testbed to validate features like reconfiguration, redeployment, and resilience, but it does not evaluate industrial communication protocols (nor methods for evaluating them).</t>
  </si>
  <si>
    <t>performance evaluation of industrial wireless communication standards ISA100.11a and WirelessHART, including a dual-standard architecture. It uses a real testbed and reports protocol/network KPIs.</t>
  </si>
  <si>
    <t>ICS cyber-security assessment and arguing for Hardware-in-the-Loop (HIL) testbeds via a layered threat/vulnerability discussion. It does not present an experimental/theoretical evaluation of communication protocols, and it does not propose a protocol-evaluation method/model.</t>
  </si>
  <si>
    <t>build a CPS test setup for security studies using Modbus/TCP, does not do a protocol evaluation study (no protocol comparison, no defined evaluation method/metrics for assessing protocols).</t>
  </si>
  <si>
    <t>cross-domain cybersecurity testbed (CrossTest) to develop and evaluate NIDS / threat detection tools, plus an evaluation of the tool Malcolm using the generated PCAP datasets—not an experimental/theoretical evaluation of communication protocols themselves.</t>
  </si>
  <si>
    <t>evaluates and models the performance impact of a security device</t>
  </si>
  <si>
    <t>evaluates an industrial automation communication protocol (EtherCAT) with closed-loop timing focus (end-to-end delay)</t>
  </si>
  <si>
    <t>synthetic Modbus/TCP packet generation for IDS/robustness testing, not experimental/theoretical evaluation of communication protocols</t>
  </si>
  <si>
    <t>main goal is to build a SCADA simulator and use it to study a TCP flood DDoS case on a power distribution scenario. It doesn’t evaluate or compare industrial communication protocols, and it doesn’t improve a protocol evaluation method</t>
  </si>
  <si>
    <t>comparative study of smart-grid security testbeds (EPIC, KASTEL Lab, SGCR)</t>
  </si>
  <si>
    <t>primary objective is a protocol extension plus a prototype + performance evaluation (sync error/jitter measurements, sub-µs with 32-bit timer).</t>
  </si>
  <si>
    <t>It modifies DNP3 to carry digital signatures and then measures the performance overhead in an ICS/SCADA setup (RTU↔MTU). That’s protocol security + performance evaluation, not just “security discussion.”</t>
  </si>
  <si>
    <t>evaluates machine-learning models for anomaly detection on EtherCAT traffic</t>
  </si>
  <si>
    <t>contribution is a new wireless fieldbus/MAC protocol for mixed-criticality traffic, plus analytical + simulation evaluation (worst-case delay bounds for safety traffic, throughput and average delay for control traffic, on-time delivery ratio).</t>
  </si>
  <si>
    <t>does not evaluate a communication protocol or a protocol-assessment method aimed at comparing/assessing protocols</t>
  </si>
  <si>
    <t>it is about designing and evaluating a communication protocol for closed-loop real-time comms</t>
  </si>
  <si>
    <t>BLE network solution; not clearly industrial protocol evaluation for control scenarios (EC7)</t>
  </si>
  <si>
    <t>Predictive maintenance/integration, not protocol evaluation (EC7)</t>
  </si>
  <si>
    <t>Cybersecurity system modelling, not protocol eval (EC7)</t>
  </si>
  <si>
    <t>Generic CPS assessment, not clearly protocol-focused (EC7)</t>
  </si>
  <si>
    <t>Risk assessment/social engineering, not protocol eval (EC7)</t>
  </si>
  <si>
    <t>Logistics/blockchain prototype, not protocol eval (EC3/EC7)</t>
  </si>
  <si>
    <t>Gateway proposal/architecture, not protocol evaluation (EC7)</t>
  </si>
  <si>
    <t>It does not evaluate industrial information-exchange protocols (OPC UA, MQTT, DDS, CIP, etc.). main output is a dataset + lab testbed for ICS cyber-attack / vulnerability evaluation</t>
  </si>
  <si>
    <t>It evaluate industrial/OT communication protocols and their behavior under faults/attacks. It compares Modbus TCP vs DNP3 and ties protocol design choices</t>
  </si>
  <si>
    <t>a testbed experiment on 6TiSCH scheduling schemes</t>
  </si>
  <si>
    <t>It uses Modbus and MQTT as the comms paths in the testbench, but it does not evaluate the protocols themselves</t>
  </si>
  <si>
    <t>fuzzing framework to find protocol implementation bugs in ICS supervisory software, not evaluating industrial communication protocols</t>
  </si>
  <si>
    <t>protocol performance evaluation of MQTT, CoAP, and OPC UA (time-to-completion/latency + packet loss) with repeatable experiments (local testbed + FIT-IoT)</t>
  </si>
  <si>
    <t>Evaluates firewalls (a security device/control), not communication protocols themselves.</t>
  </si>
  <si>
    <t>It’s about LoRa real-time comms generally; not clearly centered on industrial automation protocol evaluation for closed-loop control</t>
  </si>
  <si>
    <r>
      <t xml:space="preserve">Security testing frameworks/protocol robustness testing in IACS. method/framework for security testing, </t>
    </r>
    <r>
      <rPr>
        <u/>
        <sz val="9.5"/>
        <color theme="1"/>
        <rFont val="ABBvoice"/>
      </rPr>
      <t>including</t>
    </r>
    <r>
      <rPr>
        <sz val="9.5"/>
        <color theme="1"/>
        <rFont val="ABBvoice"/>
        <family val="2"/>
        <charset val="238"/>
      </rPr>
      <t xml:space="preserve"> protocol-facing robustness tests</t>
    </r>
  </si>
  <si>
    <t xml:space="preserve">ICS security testbed to run ICS attacks, not protocol evaluation. </t>
  </si>
  <si>
    <t>The study focuses on security or performance (IC4)</t>
  </si>
  <si>
    <t>Mentions security (encryption/authentication/IEC 62443/"secure communication"). Mentions performance/metrics (latency, jitter, overhead, determinism, stability). Although maybe including "performance" will limit the search results? Maybe only security and then extract any mentioned performance related metrics from the full text?</t>
  </si>
  <si>
    <t>The study is published in a peer-reviewed publication (IC5)</t>
  </si>
  <si>
    <t>The study have a industrial focus, such as industrial automation, industrial control systems, industrial automation systems (IC1)</t>
  </si>
  <si>
    <t>The study proposes a conceptual model, framework, or testbed for protocol evaluation (IC3)</t>
  </si>
  <si>
    <t>Detection of Attacks on Modbus Industrial Communications Using the Communication Variable Memory Map Representation</t>
  </si>
  <si>
    <t>S. M. Gutiérrez; A. R. Mota; M. S. Rosales; P. J. E. Ambrosio; F. O. Rodríguez</t>
  </si>
  <si>
    <t>Laboratorio de Ciberseguridad, CIC, IPN, Ciudad de México, México; Laboratorio de Ciberseguridad, CIC, IPN, Ciudad de México, México; Laboratorio de Ciberseguridad, CIC, IPN, Ciudad de México, México; Laboratorio de Robótica y Mecatrónica, CIC, IPN, Ciudad de México, México; Escuela Superior de Ingeniería Mecánica y Eléctrica, Unidad Zacatenco, IPN, Ciudad de México, México</t>
  </si>
  <si>
    <t>2025 13th International Conference in Software Engineering Research and Innovation (CONISOFT)</t>
  </si>
  <si>
    <t>63</t>
  </si>
  <si>
    <t>71</t>
  </si>
  <si>
    <t>Industrial Control Systems (ICS) increasingly face cybersecurity threats, particularly due to the use of legacy communication protocols such as Modbus, which lack essential security features like authentication, encryption, or integrity verification. Although widely adopted in critical infrastructure for its simplicity and interoperability, Modbus was designed under the assumption of isolated environments, making it vulnerable to modern cyberattacks. This paper introduces an enhanced version of the Communication Variable Memory Map (MMVC), a network data representation method tailored for detecting cyberattacks in Modbus-based ICS environments. Unlike the original MMVC, which focused on one-master to one-slave communication, the proposed version incorporates memory data from multiple slave devices, enabling a more comprehensive one-master to multipleslaves analysis approach. To evaluate the effectiveness of this approach, we employ the Electra Modbus dataset, a well-established benchmark for attack detection in ICS networks. Supervised machine learning classifiers-including Decision Tree, Random Forest, and XG-Boost-were trained and tested using this dataset. Experimental results demonstrate that the improved MMVCx representation significantly enhances detection performance compared to existing approaches, offering a scalable and robust solution for securing industrial communications.</t>
  </si>
  <si>
    <t>979-8-3315-6728-6</t>
  </si>
  <si>
    <t>10.1109/CONISOFT66928.2025.00019</t>
  </si>
  <si>
    <t xml:space="preserve">Instituto Politécnico Nacional (IPN), México(grant numbers:SIP 20250598); </t>
  </si>
  <si>
    <t>https://ieeexplore.ieee.org/stamp/stamp.jsp?arnumber=11369781</t>
  </si>
  <si>
    <t>Industrial control systems (ICS);Modbus protocol;cybersecurity;machine learning;Communication Variable Memory Map (MMVC);intrusion detection</t>
  </si>
  <si>
    <t>Technological innovation;Industrial control;Industrial communication;Intrusion detection;Main-secondary;Proposals;Random forests;Software engineering;Resilience;Overfitting</t>
  </si>
  <si>
    <t>27-31 Oct. 2025</t>
  </si>
  <si>
    <t>The Role of Monitoring Frequency in Optimizing Digital Twin Networks</t>
  </si>
  <si>
    <t>J. Wieme; M. Baert; J. Hoebeke</t>
  </si>
  <si>
    <t>imec - IDLab Ghent University, Ghent, Belgium; imec - IDLab Ghent University, Ghent, Belgium; imec - IDLab Ghent University, Ghent, Belgium</t>
  </si>
  <si>
    <t>NOMS 2025-2025 IEEE Network Operations and Management Symposium</t>
  </si>
  <si>
    <t>Digital Twin Networks have garnered increasing interest in both industry and academia for managing, monitoring, and controlling networks, irrespective of the underlying technology. However, in networks characterized by low frequency and throughput, the monitoring data is often inadequate to provide sufficient insights into network behavior on its own. In essence, establishing bi-directional communication between the Digital Twin Network and the physical network is crucial for gaining insights into the network and enabling informed reconfiguration based on those insights. This is ideally achieved without relying on out-of-band communication. Therefore, alternative paradigms must be considered. This study investigates the impact of monitoring frequency on the reliability and accuracy of a Digital Twin Network within a Bluetooth Mesh environment. Multiple frequency settings were tested across two experiments to evaluate their effect on network performance. The comparison between real network paths and Digital Twin Network simulations provides insights into its behavior. Results indicate that higher update frequencies generally improve Digital Twin Network performance by enhancing path prediction accuracy. However, this improvement is counterbalanced by a reduction in network reliability at higher frequencies. Furthermore, it was noted that while higher frequencies tend to result in more accurate paths predicted by the Digital Twin Network, they also adversely affect the accuracy of end-to-end latency predictions. These findings highlight the need for a strategic balance between requirements in Digital Twin Network deployment.</t>
  </si>
  <si>
    <t>979-8-3315-3163-8</t>
  </si>
  <si>
    <t>10.1109/NOMS57970.2025.11073664</t>
  </si>
  <si>
    <t>https://ieeexplore.ieee.org/stamp/stamp.jsp?arnumber=11073664</t>
  </si>
  <si>
    <t>Digital Twin Network;DTN;Monitoring;Blue-tooth Mesh;Network Management;Network Reliability;Network Digital Twin</t>
  </si>
  <si>
    <t>Accuracy;Bluetooth;Refining;Telecommunication traffic;Throughput;Real-time systems;Digital twins;Reliability;Relays;Monitoring</t>
  </si>
  <si>
    <t>Examining the Suitability of Stream Ciphers for Modbus-TCP Encryption on Resource Constrained Devices</t>
  </si>
  <si>
    <t>10.1145/3642974.3652287</t>
  </si>
  <si>
    <t>Attack detection/IDS on Modbus, not evaluating the protocol itself</t>
  </si>
  <si>
    <t>Digital-twin monitoring strategy, not comm protocol evaluation</t>
  </si>
  <si>
    <t>It evaluates adding encryption to Modbus-TCP plain-text traffic, measured comparison of secure Modbus-TCP options and cipher choices</t>
  </si>
  <si>
    <t>Statistics (total)</t>
  </si>
  <si>
    <t>Statistics (title screening)</t>
  </si>
  <si>
    <t>Statistics (abstract screening)</t>
  </si>
  <si>
    <t>Industrial Internet of Things (IIoT): Testbed and Datasets for CyberSecurity and Digital Forensics</t>
  </si>
  <si>
    <t>S. H. Mekala; Z. Baig; A. Anwar</t>
  </si>
  <si>
    <t>School of Information Technology, Deakin University, Geelong, Victoria, Australia; School of Information Technology, Deakin University, Geelong, Victoria, Australia; School of Information Technology, Deakin University, Geelong, Victoria, Australia</t>
  </si>
  <si>
    <t>2022 International Conference on Smart Generation Computing, Communication and Networking (SMART GENCON)</t>
  </si>
  <si>
    <t>10</t>
  </si>
  <si>
    <t>Industrial Internet of Things (IIoT) datasets are hard to obtain due to confidentiality and security reasons. Consequently, evaluation of security solutions tailored for IIoT systems bears a significant research gap in the industrial security domain. An IIoT testbed that represents real-world scenarios comprising physical processes and its related controls would enable researchers to deploy and analyze solutions better, to explore and model vulnerabilities, understand the flow of data for forensic purposes, and to model viable datasets that help test and validate security measures. However, development and implementation of such testbeds is highly composite and brings along significant challenges upfront. In addition, the existence of legacy systems in the industrial environments, such as SCADA systems, hinders prompt deployment of sophisticated security controls against industrial systems. We propose the design of an IIoT testbed that comprises a wide range of physical processes through diverse controllers, applications, and devices interacting with each other and fostering acquisition of multidimensional data from diverse data sources. In addition, we propose a realistic IIoT dataset that would facilitate understanding of traffic flow and device/application analysis for our Digital Forensic Readiness (DFR) experimentation.</t>
  </si>
  <si>
    <t>978-1-6654-5499-5</t>
  </si>
  <si>
    <t>10.1109/SMARTGENCON56628.2022.10083609</t>
  </si>
  <si>
    <t>https://ieeexplore.ieee.org/stamp/stamp.jsp?arnumber=10083609</t>
  </si>
  <si>
    <t>Industrial Internet of Things (IIoT);testbed;dataset;SCADA;Digital Forensic Readiness (DFR)</t>
  </si>
  <si>
    <t>Analytical models;Soft sensors;Digital forensics;Process control;SCADA systems;Telecommunication traffic;Data models</t>
  </si>
  <si>
    <t>23-25 Dec. 2022</t>
  </si>
  <si>
    <t>Application of Industrial Internet of Things with Edge Computing and Artificial Intelligence Models</t>
  </si>
  <si>
    <t>Y. Liu</t>
  </si>
  <si>
    <t>Shandong Institute of Commerce and Technology, Jinan, China</t>
  </si>
  <si>
    <t>2025 IEEE International Conference on Computation, Big-Data and Engineering (ICCBE)</t>
  </si>
  <si>
    <t>138</t>
  </si>
  <si>
    <t>141</t>
  </si>
  <si>
    <t>5G-based Industrial Internet of Things (IIoT) technologies are evolving rapidly. The integration of edge computing and AI models provides efficient methods for optimizing the performance of IIoT systems. This study aims to integrate these technologies and a simulation platform to introduce industry-standard performance metrics, such as edge accuracy, real-time detection, bandwidth efficiency, and energy efficiency, to optimize and evaluate the performance of IIoT systems. With AI algorithms, significant improvements were observed after introducing real industrial IoT data and undergoing 100 algorithm iterations. The update speed of the model increased from 0.10 to 0.95. The integration of AI models presented the effectiveness and feasibility of the integration to develop IIoT for the further advancement of technologies.</t>
  </si>
  <si>
    <t>979-8-3315-3244-4</t>
  </si>
  <si>
    <t>10.1109/ICCBE65177.2025.11255640</t>
  </si>
  <si>
    <t>https://ieeexplore.ieee.org/stamp/stamp.jsp?arnumber=11255640</t>
  </si>
  <si>
    <t>AI;IIoT;edge computing;performance optimization</t>
  </si>
  <si>
    <t>Accuracy;Spectral efficiency;Computational modeling;Image edge detection;Real-time systems;Energy efficiency;Artificial intelligence;Optimization;Industrial Internet of Things;Edge computing</t>
  </si>
  <si>
    <t>27-29 June 2025</t>
  </si>
  <si>
    <t>A virtual testbed for security management of industrial control systems</t>
  </si>
  <si>
    <t>V. S. Koganti; M. Ashrafuzzaman; A. A. Jillepalli; F. T. Sheldon</t>
  </si>
  <si>
    <t>Department of Computer Science, University of Idaho, Moscow, ID, USA; Department of Computer Science, University of Idaho, Moscow, ID, USA; Department of Computer Science, University of Idaho, Moscow, ID, USA; Department of Computer Science, University of Idaho, Moscow, ID, USA</t>
  </si>
  <si>
    <t>2017 12th International Conference on Malicious and Unwanted Software (MALWARE)</t>
  </si>
  <si>
    <t>85</t>
  </si>
  <si>
    <t>90</t>
  </si>
  <si>
    <t>Industrial Control Systems (ICS), at the heart of critical infrastructures, have been developing into more and more powerful tools over the years with the incorporation of networking and cyber, among other, technologies. As with great power comes great risks, ICS's inherited risks and vulnerabilities not only from the cyber domain but also gave rise to unique security risks and vulnerabilities. Security management, i.e., identifying vulnerabilities, assessing threats, preventing and tolerating malicious and harmful activities, mitigating and recovering from attacks, etc., for ICS's have been identified as a key, if not the key, area for the protection of critical infrastructures. The importance of a test-bed mimicking a real-life ICS and having capabilities to support ICS security management is paramount. In this paper, after briefly surveying the vulnerabilities in ICS and surveying the existing ICS test-beds, we describe the implementation of a virtual ICS testbed controlling the distribution breaker system of a power grid. We also describe simulating two cyber attacks using the testbed.</t>
  </si>
  <si>
    <t>978-1-5386-1436-5</t>
  </si>
  <si>
    <t>10.1109/MALWARE.2017.8323960</t>
  </si>
  <si>
    <t>https://ieeexplore.ieee.org/stamp/stamp.jsp?arnumber=8323960</t>
  </si>
  <si>
    <t>Integrated circuits;SCADA systems;Mathematical model;Matlab;Software packages;Protocols;Security</t>
  </si>
  <si>
    <t>11-14 Oct. 2017</t>
  </si>
  <si>
    <t>18</t>
  </si>
  <si>
    <t>104</t>
  </si>
  <si>
    <t>Ransomware in Resource-Constrained Industrial IoT Networks: There Actually is a Threat</t>
  </si>
  <si>
    <t>Y. Huang; C. Brierley; A. ElZemity; J. Pope; J. Ma; A. Di Buono; B. Arief; G. Oikonomou</t>
  </si>
  <si>
    <t>School of Electrical, Electronic and Mechanical Engineering, University of Bristol, UK; School of Computing, University of Kent, Canterbury, UK; School of Computing, University of Kent, Canterbury, UK; School of Engineering Mathematics and Technology, University of Bristol, UK; School of Electrical, Electronic and Mechanical Engineering, University of Bristol, UK; National Nuclear Laboratory, Central Laboratory, Seascale, UK; School of Computing, University of Kent, Canterbury, UK; School of Electrical, Electronic and Mechanical Engineering, University of Bristol, UK</t>
  </si>
  <si>
    <t>2025 21st International Conference on Distributed Computing in Smart Systems and the Internet of Things (DCOSS-IoT)</t>
  </si>
  <si>
    <t>01</t>
  </si>
  <si>
    <t>08</t>
  </si>
  <si>
    <t>The threat of ransomware attacks against Industrial Internet of Things (IIoT) networks, particularly networks of resource-constrained devices, is starting to become a reality. In this paper, we contend that the threat of ransomware infection of an IIoT environment is not only plausible, but that it also exhibits different properties compared to ransomware attacks against traditional desktop systems, necessitating a new and more appropriate approach to deal with this threat. In particular, we articulate the unique characteristics of ransomware behaviour in IIoT networks considering the distinctive characteristics, such as computationally-constrained devices and low-power wireless communication protocols. Furthermore, we outline the necessary attributes for ransomware to effectively compromise and propagate within IIoT networks. To back our argument, we present a proof-of-concept (PoC) IIoT ransomware prototype. To highlight the generality of our work, we have developed the prototype for two different hardware platforms, powered by two different open source embedded operating systems: Contiki-NG and Zephyr. The results underscore the feasibility of ransomware attacks against networks of resource-constrained IIoT devices, providing evidence of the real threat posed by such attacks in these environments. Finally, our PoC prototype can serve as a foundation for future research focused on securing these potentially vulnerable networks.</t>
  </si>
  <si>
    <t>2325-2944</t>
  </si>
  <si>
    <t>979-8-3315-4372-3</t>
  </si>
  <si>
    <t>10.1109/DCOSS-IoT65416.2025.00116</t>
  </si>
  <si>
    <t xml:space="preserve">UK Engineering and Physical Sciences Research Council (EPSRC)(grant numbers:EP/X036871/1,EP/X036707/1); </t>
  </si>
  <si>
    <t>https://ieeexplore.ieee.org/stamp/stamp.jsp?arnumber=11096184</t>
  </si>
  <si>
    <t>Industrial Internet of Things;security;ransomware;prototype;test bed;constrained device</t>
  </si>
  <si>
    <t>Wireless communication;Protocols;Operating systems;Prototypes;Smart systems;Hardware;Ransomware;Security;Distributed computing;Industrial Internet of Things</t>
  </si>
  <si>
    <t>9-11 June 2025</t>
  </si>
  <si>
    <t>Machine Learning-Based Network Vulnerability Analysis of Industrial Internet of Things</t>
  </si>
  <si>
    <t>M. Zolanvari; M. A. Teixeira; L. Gupta; K. M. Khan; R. Jain</t>
  </si>
  <si>
    <t>Department of Computer Science and Engineering, Washington University in St. Louis, St. Louis, MO, USA; Federal Institute of Education, Science and Technology of São Paulo, São Paulo, Brazil; Department of Computer Science and Engineering, Washington University in St. Louis, St. Louis, MO, USA; Department of Computer Science and Engineering, Qatar University, Doha, Qatar; Department of Computer Science and Engineering, Washington University in St. Louis, St. Louis, MO, USA</t>
  </si>
  <si>
    <t>6822</t>
  </si>
  <si>
    <t>6834</t>
  </si>
  <si>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t>
  </si>
  <si>
    <t>10.1109/JIOT.2019.2912022</t>
  </si>
  <si>
    <t xml:space="preserve">Qatar National Research Fund(grant numbers:NPRP 10-901-2-370); São Paulo Research Foundation (FAPESP)(grant numbers:2017/01055-4); Instituto Federal de Educação, Ciência e Tecnologia de São Paulo; </t>
  </si>
  <si>
    <t>https://ieeexplore.ieee.org/stamp/stamp.jsp?arnumber=8693904</t>
  </si>
  <si>
    <t>Cyber attack;Industrial Internet of Things (IIoT);intrusion detection;machine learning (ML);network security;supervisory control and data acquisition (SCADA);vulnerability assessment</t>
  </si>
  <si>
    <t>Internet of Things;Electromagnetic interference</t>
  </si>
  <si>
    <t>Aug. 2019</t>
  </si>
  <si>
    <t>CPS-IIoT-P2Attention: Explainable Privacy-Preserving With Scaled Dot-Product Attention in Cyber-Physical System-Industrial IoT Network</t>
  </si>
  <si>
    <t>Y. Kayode Saheed; J. Ebere Chukwuere</t>
  </si>
  <si>
    <t>Department of Information Systems, North-West University, Mahikeng, South Africa; Department of Information Systems, North-West University, Mahikeng, South Africa</t>
  </si>
  <si>
    <t>81118</t>
  </si>
  <si>
    <t>81142</t>
  </si>
  <si>
    <t>The field of Cyber-Physical Industrial Internet of Things (CPS-IIoT) is rapidly developing, raising significant concerns about cyber-attacks due to the susceptibility of its devices and networking protocols. A breach in one device can compromise the entire system, necessitating robust security solutions. Existing methods fail to address the diversity and compatibility of CPS-IIoT environments. In this research, we propose a new privacy-preservation via Pearson correlation coefficient and agglomerative clustering with Bidirectional long short-term memory (BiLSTM) integrated with a scaled dot-product attention for cyber-attacks detection in CPS-IIoT. The inclusion of agglomerative clustering and scaled dot product attention mechanism in our proposed system is a unique characteristic, specifically tailored for CPS-IIoT contexts. These mechanisms adaptively modify their emphasis to prioritize crucial features within the CPS-IIoT network traffic data, providing additional computational resources to data segments that are likely to include abnormalities and patterns that indicate security issues. We evaluated the performance of our proposed model by conducting experiments on two relevant datasets: UNSW-NB15, and a novel IIoT dataset named X-IIoTID. The X-IIoTID is a versatile intrusion data designed to accommodate the diversity and compatibility of Industrial IoT systems, regardless of their connectivity and device specifications. The data encompasses the actions of emerging IIoT connectivity protocols, recent device activities, a range of attack types and situations, as well as multiple attack protocols. We used a CPS-IIoT testbed that emulates a real industrial facility to demonstrate our proof of concept. Our system exhibits outstanding performance attaining 99.60% of accuracy, 100% of AUC, 97.98% of recall, 100% of precision, F1 of 98.23%, kappa of 96.07%, and Mathew correlation coefficient of 96.54% on UNSW-NB15. On the representative and realistic X-IIoTID data, our proposed system exhibits outstanding performance attaining 99.99% of accuracy, 100% of AUC, recall of 99.97%, 99.98% of precision, 99.87% of F1-score, 99.97% of kappa, and Mathew correlation coefficient of 99.98%. Additionally, we design SHAPley Additive exPlanations from eXplainable AI to enhance our proposed model interpretability and reliability. The findings revealed that the scaled dot product attention mechanism dramatically boosts model performance, while Pearson correlation and agglomerative clustering safeguard data privacy in CPS-IIoT, surpassing the performance of existing state-of-the-art (SOTA) models. Our model achieves 2.7% higher accuracy than TinyLSTM at only 11% higher energy cost, justifying its use in accuracy-critical CPS-IIoT scenarios.</t>
  </si>
  <si>
    <t>10.1109/ACCESS.2025.3566980</t>
  </si>
  <si>
    <t xml:space="preserve">North-West University, Mahikeng, South Africa; </t>
  </si>
  <si>
    <t>https://ieeexplore.ieee.org/stamp/stamp.jsp?arnumber=10985794</t>
  </si>
  <si>
    <t>Cyber-physical Industrial Internet of Things;Pearson correlation coefficient;scaled dot product attention mechanism;agglomerative clustering;SHAPley explainable AI (XAI);cyber-attacks</t>
  </si>
  <si>
    <t>Industrial Internet of Things;Security;Data privacy;Protocols;Reliability;Real-time systems;Privacy;Cyberattack;Correlation coefficient;Temperature sensors</t>
  </si>
  <si>
    <t>2025</t>
  </si>
  <si>
    <t>Securing IIoT Against DDoS attacks: A Stochastic Approach</t>
  </si>
  <si>
    <t>S. Aymene; K. Lyes; A. Mondher; B. Ahmed</t>
  </si>
  <si>
    <t>CNRS, GREYC, Unicaen Ensicaen Normandy Univ, FRANCE; CNRS, GREYC, Unicaen Ensicaen Normandy Univ, FRANCE; Numeryx technologies, Paris, FRANCE; Numeryx technologies, Paris, FRANCE</t>
  </si>
  <si>
    <t>2024 Global Information Infrastructure and Networking Symposium (GIIS)</t>
  </si>
  <si>
    <t>In this paper, we propose a novel approach for securing Industrial Internet of Things (IIoT) networks against Distributed Denial of Service (DDoS) attacks using stochastic methods. The approach integrates stochastic analysis and random decision-making processes to identify and mitigate the attack in real-time. The proposed approach aims to effectively address the limitations of traditional deterministic methods, which can be insufficient in handling the complexity and variability of IIoT networks. We evaluate the performance of our proposed approach through extensive simulations. Our results demonstrate that the proposed stochastic approach can significantly improve the resilience of IIoT networks against DDoS attacks, providing a promising solution for securing these critical infrastructures.</t>
  </si>
  <si>
    <t>2150-329X</t>
  </si>
  <si>
    <t>979-8-3503-8478-9</t>
  </si>
  <si>
    <t>10.1109/GIIS59465.2024.10449911</t>
  </si>
  <si>
    <t>https://ieeexplore.ieee.org/stamp/stamp.jsp?arnumber=10449911</t>
  </si>
  <si>
    <t>Intrusion detection;IIoT;DDoS</t>
  </si>
  <si>
    <t>Decision making;Denial-of-service attack;Critical infrastructure;Complexity theory;Computer crime;Industrial Internet of Things;Resilience</t>
  </si>
  <si>
    <t>19-21 Feb. 2024</t>
  </si>
  <si>
    <t>23</t>
  </si>
  <si>
    <t>19</t>
  </si>
  <si>
    <t>Cybersecurity of Digital Twins in Industrial IoT Environments</t>
  </si>
  <si>
    <t>B. Soudan</t>
  </si>
  <si>
    <t>Department of Comp. Eng., University of Sharjah, Sharjah, UAE</t>
  </si>
  <si>
    <t>2024 Advances in Science and Engineering Technology International Conferences (ASET)</t>
  </si>
  <si>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</si>
  <si>
    <t>2831-6878</t>
  </si>
  <si>
    <t>979-8-3503-4413-4</t>
  </si>
  <si>
    <t>10.1109/ASET60340.2024.10708640</t>
  </si>
  <si>
    <t>https://ieeexplore.ieee.org/stamp/stamp.jsp?arnumber=10708640</t>
  </si>
  <si>
    <t>Digital Twins;IIoT;Cybersecurity;Resilience;Threat Mitigation</t>
  </si>
  <si>
    <t>Prototypes;Reliability engineering;Real-time systems;Product design;Digital twins;Timing;System analysis and design;Remote control;Industrial Internet of Things;Testing</t>
  </si>
  <si>
    <t>3-5 June 2024</t>
  </si>
  <si>
    <t>Towards Performance Benchmarking of Cyclic OPC UA PubSub over TSN</t>
  </si>
  <si>
    <t>S. Grüner; A. E. Gogolev; J. Heuschkel</t>
  </si>
  <si>
    <t>ABB Corporate Research Center Germany, Ladenburg, Germany; ABB Corporate Research Center Germany, Ladenburg, Germany; ABB Corporate Research Center Germany, Ladenburg, Germany</t>
  </si>
  <si>
    <t>PubSub is a recent introduction to a widely-accepted industrial communication protocol OPC UA. It is driven by OPC Foundation Field eXchange group (ex-FLC, ex-Shapers) to enable real-time OPC UA over TSN for cyclic communication in industrial automation. Furthermore, evolution of Soft Programmable Logic Controllers (PLC) to Virtual PLCs entails a wider use of software stacks and applications expected to provide necessary level of performance, which might be influenced by various configuration options of the application, the OPC UA stack, and the underlying operating system. In this work we address this issue with an experimental setup for benchmarking of cyclic PubSub applications using commercial off-the-shelf (COTS) hardware and a state-of-the-art open-source OPC UA PubSub stack. Experimental results show achievable jitter and cycle times for different message sizes, SDK options, and OS configurations.</t>
  </si>
  <si>
    <t>10.1109/ETFA52439.2022.9921503</t>
  </si>
  <si>
    <t xml:space="preserve">ABB Corporate Research; </t>
  </si>
  <si>
    <t>https://ieeexplore.ieee.org/stamp/stamp.jsp?arnumber=9921503</t>
  </si>
  <si>
    <t>IoT;IIoT;Industrial Automation;OPC UA;Industry 4.0;IEEE TSN;Real-time</t>
  </si>
  <si>
    <t>Protocols;Operating systems;Programmable logic devices;Industrial communication;Benchmark testing;Jitter;Software</t>
  </si>
  <si>
    <t>2</t>
  </si>
  <si>
    <t>FL-MU: A Benchmark Dataset for Federated Intrusion Detection in IoT Networks</t>
  </si>
  <si>
    <t>L. Takhellambam; U. Boby Clinton; N. Hoque; K. Robindro Singh; M. Bhuyan</t>
  </si>
  <si>
    <t>Department of Computer Science, Manipur University, Canchipur, Imphal, Manipur, India; Department of Computer Science, Manipur University, Canchipur, Imphal, Manipur, India; Department of Computer Science, Manipur University, Canchipur, Imphal, Manipur, India; Department of Computer Science, Manipur University, Canchipur, Imphal, Manipur, India; Department of Computing Science, Umeå University, Umeå, Sweden</t>
  </si>
  <si>
    <t>191037</t>
  </si>
  <si>
    <t>191064</t>
  </si>
  <si>
    <t>Due to the tremendous deployment of sensors, actuators, and remote devices, Internet of Things (IoT) networks have gained popularity across a wide range of application domains. As a result, the number of attackers and the dynamics of IoT network attacks are also increasing proportionately. Moreover, IoT networks generate a huge amount of sensitive data that must be carefully protected to prevent potential exploitation and exploration by adversaries. The advent of Federated Learning (FL) paved the way for enhancing data privacy and security of IoT data. Although several FL-based security systems have been developed for IoT networks, many lack effectiveness and efficiency. This limitation is due to the unavailability of up-to-date benchmark IoT network intrusion datasets that accurately reflect real-world IoT network traffic, encompassing a wide range of IoT protocols and recent, diverse attack types. This discrepancy significantly hinders the development, validation, and comparative evaluation of existing security solutions. To meet this critical need, we develop a practical IoT network intrusion dataset called FL-MU using client-specific IoT network testbeds. Each client testbed comprises more than 30 devices communicating over seven different IoT communication protocols. The FL-MU dataset includes eleven types of attacks, comprising over 19 million instances with 121 features. The effectiveness of the dataset is established on multiple state-of-the-art FL-based Intrusion Detection Systems (IDSs). The FL-based IDSs exhibits superior performance when trained on our FL-MU dataset as compared to other existing datasets. This highlights the quality and suitability of the developed FL-MU dataset for training robust and accurate FL-based security systems. The FL-MU dataset and the related implementation codes are made available at the Kaggle repository: https://doi.org/10.34740/kaggle/dsv/13106381, contributing to the research community for the advancement of IoT security.</t>
  </si>
  <si>
    <t>10.1109/ACCESS.2025.3628066</t>
  </si>
  <si>
    <t xml:space="preserve">European Commission through the Horizon Europe Project SovereignEdge.COGNIT(grant numbers:101092711); Knut and Alice Wallenberg Foundation through the Wallenberg AI, Autonomous Systems and Software Program (WASP); </t>
  </si>
  <si>
    <t>https://ieeexplore.ieee.org/stamp/stamp.jsp?arnumber=11224312</t>
  </si>
  <si>
    <t>Federated learning;Internet of Things;intrusion detection system;IoT dataset;cybersecurity</t>
  </si>
  <si>
    <t>Internet of Things;Protocols;Network intrusion;Telecommunication traffic;Intrusion detection;Data privacy;Training;Simple object access protocol;Network security;Federated learning</t>
  </si>
  <si>
    <t>ROSTAM: Railway-Oriented Security and Threat Abstraction Model</t>
  </si>
  <si>
    <t>A. Fischer; R. T. Kolagari</t>
  </si>
  <si>
    <t>Faculty of Computer Science, Nuremberg Institute of Technology, Nuremberg, Germany; Faculty of Computer Science, Nuremberg Institute of Technology, Nuremberg, Germany</t>
  </si>
  <si>
    <t>2025 IEEE International Automated Vehicle Validation Conference (IAVVC)</t>
  </si>
  <si>
    <t>Cybersecurity is an increasing issue in the transportation sector and has led to the publication of various standards that give a guideline for risk and threat management. Modern vehicles require a robust and comprehensive protection against malicious attacks as they contain complex and connected computer systems. This also applies to the railway sector, which must be prepared for cyber-attacks as digitisation increases. In comparison to the automotive sector, the railway sector requires higher levels of security standards due to the unique characteristics of railway systems. Railway vehicles and infrastructure are typically designed for a long service life, and the complexity of the communication protocols, such as those used in radio communications, is more extensive. Adherence to security standards is also critical for certification and regulatory compliance, making it a fundamental requirement for the validation of railway systems. Model-based engineering is a promising approach to consider security in early development stages and avoid the cost-intensive implementation of security mechanisms afterwards. However, this is complicated by the complexity of the security landscape and security frameworks, which are primarily oriented towards implementation and cryptographic functions. This paper presents a specification to create railway specific security models that are intended to be embedded into existing system models and thereby enforce the consideration of cybersecurity from the beginning. Therefore, the criteria of a railway security standard are condensed in a comprehensive metamodel. This metamodel is designed to address security concerns across all stages of embedded railway software development. In order to illustrate its applicability, an integrated demonstration is developed, showing the use of security modelling to create a systematic approach for securing complex railway software architectures.</t>
  </si>
  <si>
    <t>979-8-3315-2526-2</t>
  </si>
  <si>
    <t>10.1109/IAVVC61942.2025.11219483</t>
  </si>
  <si>
    <t>https://ieeexplore.ieee.org/stamp/stamp.jsp?arnumber=11219483</t>
  </si>
  <si>
    <t>railway cybersecurity;model-based engineering;metamodel;CLC/TS 50701</t>
  </si>
  <si>
    <t>Systematics;Protocols;Software architecture;Transportation;Rail transportation;Complexity theory;Security;Standards;Radio communication;Software development management</t>
  </si>
  <si>
    <t>30 Sept.-2 Oct. 2025</t>
  </si>
  <si>
    <t>Performance Benchmarking of OpenPLC Across Multiple Environments for Cloud-Based Industrial Automation</t>
  </si>
  <si>
    <t>J. Deng; Y. Li; P. Bo; Y. Liu; D. Lan; Z. Pang</t>
  </si>
  <si>
    <t>School of Software, Yunnan University, Kunming, China; University of Chinese Academy of Sciences, Beijing, China; Department of Mechanical Engineering, Tsinghua University, Beijing, China; School of Software, Yunnan University, Kunming, China; University of Chinese Academy of Sciences, Beijing, China; Department of Intelligent Systems, Royal Institute of Technology (KTH), Stockholm, Sweden</t>
  </si>
  <si>
    <t>2025 IEEE 23rd International Conference on Industrial Informatics (INDIN)</t>
  </si>
  <si>
    <t>As traditional analog industrial automation transitions toward digitalization, the efficient deployment of control systems becomes increasingly critical. Open programmable logic controllers (OpenPLC) and the Modbus communication protocol, leveraging the widespread adoption of containerization technologies, are gradually migrating to native cloud architectures. This paper investigates the deployment of OpenPLC in local environments, Docker containers, and Kubernetes clusters, evaluating several key performance indicators, including resource consumption, Modbus communication response time, throughput, multi-user handling, stability, and fault recovery. By designing experimental platforms tailored to different environments and conducting validation across multiple platforms, the experimental results indicate that, although local deployment performs better in terms of low latency and resource consumption, deployments on the Kubernetes platform exhibit significant advantages in fault recovery, throughput, and system stability. In contrast, Docker-based deployments demonstrate more balanced performance, but lag behind Kubernetes in scalability and fault tolerance. Based on the experimental findings, this study provides valuable insights for selecting the optimal deployment strategy for industrial automation systems, taking into account OpenPLC, containerization technologies, performance requirements, and the integration of cloud-fog automation for enhanced flexibility and scalability.</t>
  </si>
  <si>
    <t>979-8-3315-1121-0</t>
  </si>
  <si>
    <t>10.1109/INDIN64977.2025.11279472</t>
  </si>
  <si>
    <t>https://ieeexplore.ieee.org/stamp/stamp.jsp?arnumber=11279472</t>
  </si>
  <si>
    <t>Containerization;OpenPLC;cloud-fog automation</t>
  </si>
  <si>
    <t>Fault tolerance;Cloud computing;Automation;Scalability;Fault tolerant systems;Throughput;Real-time systems;Time factors;Probes;Resilience</t>
  </si>
  <si>
    <t>12-15 July 2025</t>
  </si>
  <si>
    <t>A New Dataset for Intrusion Detection in Industrial Control System: A Gas Pipeline Testbed Study</t>
  </si>
  <si>
    <t>L. Deng; X. Zhang; Q. Zheng; D. Zhao; J. Zhou; J. Xiang</t>
  </si>
  <si>
    <t>Hubei Key Laboratory of Transportation of Internet of Things School of Computer Science and Artifical Intelligence, Wuhan University of Technology, Wuhan, China; Hubei Key Laboratory of Transportation of Internet of Things School of Computer Science and Artifical Intelligence, Wuhan University of Technology, Wuhan, China; Hubei Key Laboratory of Transportation of Internet of Things School of Computer Science and Artifical Intelligence, Wuhan University of Technology, Wuhan, China; Hubei Key Laboratory of Transportation of Internet of Things School of Computer Science and Artifical Intelligence, Wuhan University of Technology, Wuhan, China; Hubei Key Laboratory of Transportation of Internet of Things School of Computer Science and Artifical Intelligence, Wuhan University of Technology, Wuhan, China; Hubei Key Laboratory of Transportation of Internet of Things School of Computer Science and Artifical Intelligence, Wuhan University of Technology, Wuhan, China</t>
  </si>
  <si>
    <t>2023 IEEE Intl Conf on Parallel &amp; Distributed Processing with Applications, Big Data &amp; Cloud Computing, Sustainable Computing &amp; Communications, Social Computing &amp; Networking (ISPA/BDCloud/SocialCom/SustainCom)</t>
  </si>
  <si>
    <t>887</t>
  </si>
  <si>
    <t>892</t>
  </si>
  <si>
    <t>The security of Industrial Control Systems (ICS) is a critical issue that has gained increasing attention in recent years. Machine learning based intrusion detection systems (IDS) have shown promise in detecting previously unknown attacks, but their performance depends heavily on the quality of the dataset. However, most existing datasets in the field are either outdated or do not reflect the specific characteristics of ICS. We construct a dataset of ICS network traffic collected from a gas pipeline testbed, which covers a range of normal and abnormal events specific to the domain. We detail our methodology for constructing the dataset based on the gas pipeline testbed. Moreover, the systematic and fundamental comparative experiments are performed, based on the collected dataset. Specifically, we evaluate the performance of five supervised machine learning models on it while comparing their results. Our experimental results show that the dataset can serve as a valuable resource for data-driven IDS research and that Random Forest is an effective model for detecting anomalies in ICS data.</t>
  </si>
  <si>
    <t>979-8-3503-2922-3</t>
  </si>
  <si>
    <t>10.1109/ISPA-BDCloud-SocialCom-SustainCom59178.2023.00149</t>
  </si>
  <si>
    <t xml:space="preserve">Research and Development; Research and Development; Natural Science Foundation of Chongqing; </t>
  </si>
  <si>
    <t>https://ieeexplore.ieee.org/stamp/stamp.jsp?arnumber=10491813</t>
  </si>
  <si>
    <t>Industrial Control Systems;Intrusion Detection Systems;Machine Learning;Dataset</t>
  </si>
  <si>
    <t>Systematics;Industrial control;Pipelines;Intrusion detection;Telecommunication traffic;Feature extraction;Security</t>
  </si>
  <si>
    <t>21-24 Dec. 2023</t>
  </si>
  <si>
    <t>1021</t>
  </si>
  <si>
    <t>1026</t>
  </si>
  <si>
    <t>Optimizing MQTT-CoAP Interoperability: A Broker-Based Extension for Seamless Integration</t>
  </si>
  <si>
    <t>Department of Electronics, Information and Bioengineering, Politecnico di Milano, Milan, Italy; Department of Electronics, Information and Bioengineering, Politecnico di Milano, Milan, Italy; Department of Electronics, Information and Bioengineering, Politecnico di Milano, Milan, Italy</t>
  </si>
  <si>
    <t>44564</t>
  </si>
  <si>
    <t>44577</t>
  </si>
  <si>
    <t>The Internet of Things (IoT) is revolutionizing connectivity by enabling everyday objects and devices to communicate over the Internet, streamlining industrial processes, improving quality of life, and driving innovation across various applications. Ensuring seamless communication between heterogeneous IoT devices remains a fundamental challenge due to differences in underlying communication protocols. This work presents a broker-based extension designed to enable direct, bidirectional interoperability between MQTT and CoAP, two of the most widely adopted IoT protocols. Unlike middleware-based solutions, this approach integrates RESTful and publish/subscribe paradigms within a single broker architecture, streamlining deployment and minimizing system complexity. The proposed solution demonstrates low-latency performance and minimal resource overhead with low median latencies of 2.15 ms and an estimated increase of only 0.53 ms over the baseline. Resource-wise, the broker extension shows a modest median CPU overhead of 2.6% and a memory usage increase of just 0.1% at higher throughputs. These results confirm that the system can efficiently manage multiple concurrent message flows and maintain scalability under varying traffic conditions. This position the broker extension as a practical, modular, and lightweight solution for enhancing IoT interoperability in constrained environments.</t>
  </si>
  <si>
    <t>10.1109/JIOT.2025.3593935</t>
  </si>
  <si>
    <t xml:space="preserve">Made in Italy Circular and Sustainable (MICS) Extended Partnership; Next-Generation EU through Italian PNRR M4 C2, Invest 1.3(grant numbers:D.D.1551.11-10-2022,PE00000004); </t>
  </si>
  <si>
    <t>https://ieeexplore.ieee.org/stamp/stamp.jsp?arnumber=11104830</t>
  </si>
  <si>
    <t>Broker extension;CoAP;Internet of Things (IoT);interoperability;MQTT</t>
  </si>
  <si>
    <t>Protocols;Interoperability;Translation;Semantics;Real-time systems;Payloads;Logic gates;Industrial Internet of Things;Scalability;Quality of service</t>
  </si>
  <si>
    <t>1 Nov.1, 2025</t>
  </si>
  <si>
    <t>FedMqADV: A Unified Framework for End-to-End Evaluation of MQTT-Based Federated Learning in Adversarial Setting</t>
  </si>
  <si>
    <t>N. G. Ndiaye; C. Ruland; K. Waedt; O. Zeddini; E. Kirdan</t>
  </si>
  <si>
    <t>Framatome; University of Siegen; Framatome; Framatome; Framatome</t>
  </si>
  <si>
    <t>Industrial IoT and smart factories increasingly use AI to address operational challenges. Over distributed networked control systems, federated learning enables decentralized AI training with enhanced privacy protections and, recently, more and more security features such as robust aggregation, homomorphic encryption, and differential privacy techniques. However, deploying such emerging robust techniques across factory systems challenges real-time and efficient process monitoring. This research introduces FedMqADV, a scalable MQTT broker performance benchmark framework for handling federated learning across multiple distributed clients in an adversarial setting. The framework supports several open-source MQTT brokers such as Eclipse Mosquitto, NanoMQ, and VerneMQ and integrates adaptive adversarial attacks and defense strategies tailored for industrial IoT applications. We evaluated communication efficiency and reliability under different network conditions in a distributed water treatment plant based on specific application requirements. The results demonstrate that NanoMQ offers the optimal balance between privacy, reliability and performance; making it the most suitable choice for resource-constrained environments.</t>
  </si>
  <si>
    <t>10.1109/ICPS65515.2025.11087915</t>
  </si>
  <si>
    <t xml:space="preserve">European Commission(grant numbers:101120853); </t>
  </si>
  <si>
    <t>https://ieeexplore.ieee.org/stamp/stamp.jsp?arnumber=11087915</t>
  </si>
  <si>
    <t>federated learning;IIoT;differential privacy;homomorphic encryption;MQTT broker;resource-constrained</t>
  </si>
  <si>
    <t>Training;Privacy;Differential privacy;Federated learning;Benchmark testing;Protection;Homomorphic encryption;Artificial intelligence;Water resources;Industrial Internet of Things</t>
  </si>
  <si>
    <t>Secure IoT Deployment Checklist for Building Management System</t>
  </si>
  <si>
    <t>R. Chan; W. K. Yan; J. M. Ma; M. Y. H. Low; K. P. Yar; K. M. Loh; G. C. Zhi En; H. Rehman; T. C. Phua</t>
  </si>
  <si>
    <t>Infocomm Technology cluster, Singapore Institute of Technology, Singapore; Infocomm Technology cluster, Singapore Institute of Technology, Singapore; Infocomm Technology cluster, Singapore Institute of Technology, Singapore; Infocomm Technology cluster, Singapore Institute of Technology, Singapore; Infocomm Technology cluster, Singapore Institute of Technology, Singapore; Infocomm Technology cluster, Singapore Institute of Technology, Singapore; Infocomm Technology cluster, Singapore Institute of Technology, Singapore; Firefense Pte. Ltd, Singapore; Firefense Pte. Ltd, Singapore</t>
  </si>
  <si>
    <t>A Building Management System (BMS) enables the capability to control the infrastructure within a building. BMS can be considered a miniature industrial control system, which is more conventional and prevalent. The legacy architecture of the BMS assumes every device has to be connected physically. Due to this reason, installing Internet of Things (IoT) devices may introduce new security loopholes in the existing BMS. Moreover, an adversary may utilize the communication channel between the BMS and IoT devices to launch cyber-attacks. In this paper, we created a prototype setup of a BMS with IoT devices to study the deployment and how the system can be installed. We introduced a comprehensive IoT security deployment checklist to assess IoT solutions' security posture, specifically focusing on the BMS system. This checklist is novel to the market as the existing works are mostly targeted at IoT but are not fully applicable to BMS.</t>
  </si>
  <si>
    <t>10.1109/WF-IoT54382.2022.10152169</t>
  </si>
  <si>
    <t>https://ieeexplore.ieee.org/stamp/stamp.jsp?arnumber=10152169</t>
  </si>
  <si>
    <t>Building management system;vulnerability assessment;cybersecurity;deployment security;Internet of Things</t>
  </si>
  <si>
    <t>Industrial control;Architecture;Prototypes;Focusing;Communication channels;Internet of Things;Security</t>
  </si>
  <si>
    <t>S. S. Ha; H. Beuster; T. R. Doebbert; G. Scholl</t>
  </si>
  <si>
    <t>Electrical Measurement Engineering, Helmut-Schmidt-University, Hamburg, Germany; Electrical Measurement Engineering, Helmut-Schmidt-University, Hamburg, Germany; Electrical Measurement Engineering, Helmut-Schmidt-University, Hamburg, Germany; Electrical Measurement Engineering, Helmut-Schmidt-University, Hamburg, Germany</t>
  </si>
  <si>
    <t>A new FPGA-based approach for a data diode transmitting data unidirectionally from a high security zone to a lower security zone is evaluated and implemented. With the FPGA implementation, the need of additional hardware could be minimized compared to most state-of-the-art data diode realizations. The proposed data diode is designed to use the available backplane bus communication protocol between the programmable logic controller (PLC) and its connected peripherals. To demonstrate the universal approach an open-source platform based on the Revolution Pi (RevPi) and its backplane bus is used. Principally the data diode behaves as a mirror presenting the complete protected system behind the high security zone including the RevPi controller and its devices to the information technology (IT) network. Another controller within the lower security zone is used to imitate the operational technology (OT) process. Our approach is not limited to the above controller and can be applied to any type of PLC. The only requirement is that the communication protocol on the backplane bus is known and can be modified for this purpose.</t>
  </si>
  <si>
    <t xml:space="preserve">Ministry of Defense; </t>
  </si>
  <si>
    <t>https://ieeexplore.ieee.org/stamp/stamp.jsp?arnumber=10218126</t>
  </si>
  <si>
    <t>Data Diode;FPGA-based;Unidirectional;Secure Industrial Automation System;OT-IT Separation</t>
  </si>
  <si>
    <t>Protocols;Automation;Backplanes;Programmable logic devices;Process control;Logic gates;Security</t>
  </si>
  <si>
    <t>60</t>
  </si>
  <si>
    <t>680</t>
  </si>
  <si>
    <t>Toward a Unified Security Framework for Digital Twin Architectures</t>
  </si>
  <si>
    <t>S. M. Abdullahi; S. Lazarova-Molnar</t>
  </si>
  <si>
    <t>Mœrsk McKinney M∅ller Institute, University of Southern Denmark, Odense, Denmark; Institute AIFB, Karlsruhe Institute of Technology, Karlsruhe, Germany</t>
  </si>
  <si>
    <t>2024 IEEE International Conference on Cyber Security and Resilience (CSR)</t>
  </si>
  <si>
    <t>612</t>
  </si>
  <si>
    <t>617</t>
  </si>
  <si>
    <t>Digital Twins (DTs) stand as the most dominant representation of cyber-physical integration made possible through the advent of Industry 4.0. Their utilization is gaining precedence across various application domains for the implementation and analysis of complex systems. However, despite the numerous architectures proposed to develop and describe DTs setup in these applications, most of them fail to address the security and privacy challenges specific to each architecture. In this study, we examine a cross-platform DT reference architecture that adapts to various DT architectures in terms of functionality, reliability, and life cycle. We then explore the specific cybersecurity challenges of this reference architecture. As a result of our study, we propose a unified security framework that incorporates attack-defense layers and a model checker that scrutinizes various inputs from the DT architecture to assess its security and privacy. Finally, we present the security solutions that this framework can provide.</t>
  </si>
  <si>
    <t>979-8-3503-7536-7</t>
  </si>
  <si>
    <t>10.1109/CSR61664.2024.10679442</t>
  </si>
  <si>
    <t>https://ieeexplore.ieee.org/stamp/stamp.jsp?arnumber=10679442</t>
  </si>
  <si>
    <t>digital twins;architectures;security;vulnerability;framework</t>
  </si>
  <si>
    <t>Privacy;Adaptation models;Digital twins;Fourth Industrial Revolution;Reliability;Computer crime;Complex systems</t>
  </si>
  <si>
    <t>2-4 Sept. 2024</t>
  </si>
  <si>
    <t>Improving operational security for web-based distributed control systems in wastewater management</t>
  </si>
  <si>
    <t>O. Chenaru; D. Popescu; D. Enache; L. Ichim; F. Stoican</t>
  </si>
  <si>
    <t>Faculty of Automatic Control and Computer Science, Politehnica University, Bucharest, Romania; Faculty of Automatic Control and Computer Science, Politehnica University, Bucharest, Romania; Faculty of Automatic Control and Computer Science, Politehnica University, Bucharest, Romania; Faculty of Automatic Control and Computer Science, Politehnica University, Bucharest, Romania; Faculty of Automatic Control and Computer Science, Politehnica University, Bucharest, Romania</t>
  </si>
  <si>
    <t>2017 25th Mediterranean Conference on Control and Automation (MED)</t>
  </si>
  <si>
    <t>1089</t>
  </si>
  <si>
    <t>1093</t>
  </si>
  <si>
    <t>Traditional industrial systems have been designed to ne intrinsically safe by isolating their monitoring and control network. Considering the possible impact of a security attack, many plants today still choose to use this method to ensure maximum protection. At the same time, a separate trend observed in highly distributed applications like water management systems, is to centralize more local SCADA sites, into a Regional Control Center (RCC). This allows more efficient operation of existing resources and even integration with high level applications like water network modelling and simulation tools. Typical network include Ethernet and GSM communication. In order to benefit most from the implementation of plant-wide applications with reduced operating costs, increased flexibility and availability we need to address correctly the security aspects. This paper presents a methodology for improving operational security in a wastewater treatment plant and exemplifies its implementation in a specific application.</t>
  </si>
  <si>
    <t>978-1-5090-4533-4</t>
  </si>
  <si>
    <t>10.1109/MED.2017.7984263</t>
  </si>
  <si>
    <t>https://ieeexplore.ieee.org/stamp/stamp.jsp?arnumber=7984263</t>
  </si>
  <si>
    <t>Integrated circuits;Computer security;Measurement;Wastewater;Monitoring;Tools</t>
  </si>
  <si>
    <t>3-6 July 2017</t>
  </si>
  <si>
    <t>ML-Augmented Network Packet Broker based Anomaly Detection at IIoT-Edge Egress Port</t>
  </si>
  <si>
    <t>S. GVK; A. GH; M. Rao; J. Bapat; D. Das</t>
  </si>
  <si>
    <t>CIET, International Institute of Information Technology, Bangalore, India; CIET, International Institute of Information Technology, Bangalore, India; CIET, International Institute of Information Technology, Bangalore, India; CIET, International Institute of Information Technology, Bangalore, India; CIET, International Institute of Information Technology, Bangalore, India</t>
  </si>
  <si>
    <t>2023 IEEE International Conference on Advanced Networks and Telecommunications Systems (ANTS)</t>
  </si>
  <si>
    <t>Industrial Internet of Things (IIoT) refers to networked entities like smart sensors, actuators, computers, etc., deployed to enhance the manufacturing and industrial processes. However, an IIoT system needs to be ethically designed to build the trust of the users. Privacy and security form the technological basis for trustworthiness of any IoT system. One of the important security tools is an Intrusion Detection System (IDS), and it involves detection of system’s deviations from expected behavior. In this paper, a novel Network Packet Broker (NPB) based anomaly detector positioned at the egress port of the edge device of an IoT system is proposed. The proposed system combines the advantages of an NPB capable of detecting signature based anomalies on high speed zero packet dropped data, with the flexibility of adding ML algorithms applied on the features extracted from the captured data. The proposed anomaly detector system has been tested successfully for monitoring the egress traffic of the edge for a client-server REST application, using an experimental setup in a lab. An ingenious feature of the setup is that the anomalies in the normal traffic have been introduced using an off the shelf Ethernet tester. The performance of the system has been evaluated with varying severity levels of anomalies, measured in terms of bandwidth of the traffic generated by the Ethernet tester. The results showing the accuracies of the anomaly detection using a set of ML classifiers, are presented, to demonstrate the feasibility of the system for any vertical of IIoT.</t>
  </si>
  <si>
    <t>2153-1684</t>
  </si>
  <si>
    <t>979-8-3503-0767-2</t>
  </si>
  <si>
    <t>10.1109/ANTS59832.2023.10468811</t>
  </si>
  <si>
    <t>https://ieeexplore.ieee.org/stamp/stamp.jsp?arnumber=10468811</t>
  </si>
  <si>
    <t>Smart systems;Anomaly detection;Internet of Things (IoT);Network Packet Broker;Intrusion Detection System;Ethernet tester</t>
  </si>
  <si>
    <t>Image edge detection;Ethernet;Detectors;Bandwidth;Writing;Feature extraction;Telecommunications</t>
  </si>
  <si>
    <t>17-20 Dec. 2023</t>
  </si>
  <si>
    <t>23614</t>
  </si>
  <si>
    <t>23626</t>
  </si>
  <si>
    <t>100515</t>
  </si>
  <si>
    <t>100528</t>
  </si>
  <si>
    <t>An Investigative Evaluation of Open Source Intrusion Detection Systems for Operational Technology Networks Using MITRE ICS Attack Simulation on a Thermal Power Plant Test Bed</t>
  </si>
  <si>
    <t>A. Joy; M. Chandane; F. Kazi</t>
  </si>
  <si>
    <t>Computer Engineering Dept., VJTI, Mumbai, India; Computer Engineering Dept., VJTI, Mumbai, India; Department of Electrical Engineering, VJTI, Mumbai, India</t>
  </si>
  <si>
    <t>2024 IEEE 21st India Council International Conference (INDICON)</t>
  </si>
  <si>
    <t>Intrusion Detection Systems (IDS) play a critical role in identifying security breaches by monitoring network activities and protecting computer networks and systems. The significant increase in cyber attacks targeting the Operational Technology (OT) domain has necessitated the deployment of IDS solutions to detect malicious activities within industrial networks. High-speed traffic generated in Industrial Control System (ICS) environments presents a unique challenge for IDS, as they must monitor large and diverse traffic volumes while maintaining low latency and high accuracy. This study evaluates the performance of three widely used open source IDS solutions-Zeek, Suricata, and Wazuh-across various parameters like attack detection coverage, packet drop rate, and resource utilization which are crucial for ICS environments. The evaluation was conducted using a Hardware-in-the-Loop (HIL) Thermal Power Plant (TPP) test bed, where various cyberattacks using various techniques from the MITRE ICS ATT&amp;CK matrix were executed simulating real-world threats to critical infrastructure. Events detected by IDS sensors from the network traffic of the test bed were transmitted to a distributed Elastic cluster and visualized using Kibana dashboards. This systematic assessment aims to provide insight into the effectiveness of open-source IDS solutions in addressing the unique security challenges of ICS environments.</t>
  </si>
  <si>
    <t>2325-9418</t>
  </si>
  <si>
    <t>979-8-3503-9128-2</t>
  </si>
  <si>
    <t>10.1109/INDICON63790.2024.10958514</t>
  </si>
  <si>
    <t>https://ieeexplore.ieee.org/stamp/stamp.jsp?arnumber=10958514</t>
  </si>
  <si>
    <t>Intrusion Detection System (IDS);Industrial Control System (ICS);Operational Technology (OT)</t>
  </si>
  <si>
    <t>Visualization;Systematics;Industrial control;Intrusion detection;Telecommunication traffic;Thermal conductivity;Sensors;Security;Power generation;Monitoring</t>
  </si>
  <si>
    <t>19-21 Dec. 2024</t>
  </si>
  <si>
    <t>Future of IoTSP – IT and OT Integration</t>
  </si>
  <si>
    <t>P. Lipnicki; D. Lewandowski; D. Pareschi; W. Pakos; E. Ragaini</t>
  </si>
  <si>
    <t>PLCRC ABB, Corporate Research Center, Kraków, Poland; LBU, EPPC ABB, Bergamo, Italy; PLCRC ABB, Corporate Research Center, Kraków, Poland; LBU, EPPC ABB, Bergamo, Italy; IAOG ABB, Rotterdam, Netherlands</t>
  </si>
  <si>
    <t>2018 IEEE 6th International Conference on Future Internet of Things and Cloud (FiCloud)</t>
  </si>
  <si>
    <t>203</t>
  </si>
  <si>
    <t>207</t>
  </si>
  <si>
    <t>The Future of Internet of Things, Service and People (IoTSP) for the industrial sector lies in integrating two worlds - information technology and operation technology. This article explains in details practical concepts of IT and OT integration with a usage of digitalization approach. As an example an oil and gas business is taken into account. The so-called Digital Oilfield idea is focusing on melding the IT, OT and IoTSP in order to "learn" what is working best for O&amp;G production, to predict equipment failures, track employees in the field in order to coach them in real-time and remove from hazardous situations. The ABB Polish Corporate Research Center has developed and built the advanced test rig for ABILITY-powered machines, used as multipurpose experimental rig mainly for applications in the oil, gas and chemicals sectors. The test rig provides additional capabilities in terms of the advanced control methods and condition monitoring techniques design and evaluation for the industrial compression systems. Except the industrial view on the matter, the facility is also used to verify novel and disruptive concepts for device communication and connectivity from sensors and devices up to cloud and it has been used to validate cloud use and business cases.</t>
  </si>
  <si>
    <t>978-1-5386-7503-8</t>
  </si>
  <si>
    <t>10.1109/FiCloud.2018.00037</t>
  </si>
  <si>
    <t>https://ieeexplore.ieee.org/stamp/stamp.jsp?arnumber=8458014</t>
  </si>
  <si>
    <t>IoTSP, IT, OT, integration, condition monitoring, end-to-end solution</t>
  </si>
  <si>
    <t>Cloud computing;Sensors;Condition monitoring;Business;Software;Testing;Computer architecture</t>
  </si>
  <si>
    <t>6-8 Aug. 2018</t>
  </si>
  <si>
    <t>P. Maurya; A. Hazra; A. Kalita</t>
  </si>
  <si>
    <t>Wireless Communication Network, Aalborg University, Denmark; EIDS Lab, Indian Institute of Information Technology SriCity, India; National University of Singapore, Singapore</t>
  </si>
  <si>
    <t>PP</t>
  </si>
  <si>
    <t>The transition to Industry 5.0 emphasizes the need and importance of human–machine collaboration, driving the demand for intelligent Internet of Things (IoT) and communication protocols. This paper examines the essential prerequisites for Industry 5.0, evaluates the existing constraints of IoT communication protocols, and highlights the requirements for industrial convergence. Specifically, the article focuses on and discusses the role of IoT protocols and standards in realizing the key objectives of Industry 5.0 over Industry 4.0. In addition, it outlines a human-centric Industry 5.0 reference architecture designed to support managers and decision-makers through real-time data visibility, predictive maintenance insights, and resource optimization. To this end, we introduce an edge-enabled Industry 5.0 reference architecture and use cases, particularly emphasizing the enhancement of human–machine interaction. This paper also examines the 6TiSCH (IPv6 over the Time-Slotted Channel Hopping mode of IEEE 802.15.4e) wireless network protocol, focusing on its performance evaluation, prospective advantages, and upcoming advancements. Finally, several open research challenges and managerial implications are discussed to achieve Industry 5.0 resolution.</t>
  </si>
  <si>
    <t>1937-4178</t>
  </si>
  <si>
    <t>https://ieeexplore.ieee.org/stamp/stamp.jsp?arnumber=11300931</t>
  </si>
  <si>
    <t>Industry 5.0;Internet of Things;standards &amp; protocols</t>
  </si>
  <si>
    <t>Fifth Industrial Revolution;Protocols;Fourth Industrial Revolution;Collaboration;Industries;Decision making;Creativity;Robots;Resilience;Industrial Internet of Things</t>
  </si>
  <si>
    <t>IEEE Early Access Articles</t>
  </si>
  <si>
    <t>SenseFuzz: Black-box Fuzzing of ICS Protocols via Runtime Statistics Sensing</t>
  </si>
  <si>
    <t>Y. Li; A. Fu; Y. Zhang</t>
  </si>
  <si>
    <t>National Computer Network Intrusion Protection Center, University of Chinese Academy of Sciences, Beijing, China; School of Computer Science and Engineering, Nanjing University of Science and Technology, Nanjing, China; National Computer Network Intrusion Protection Center, University of Chinese Academy of Sciences, Beijing, China</t>
  </si>
  <si>
    <t>2023 IEEE Smart World Congress (SWC)</t>
  </si>
  <si>
    <t>The ICS protocols undertake critical functions in industrial control systems, by enabling real-time data exchange, data acquisition, parameter configuration, status monitoring, fault diagnosis, command issuance and execution. It serves as the foundation for the collaborative operations of all components in industrial control systems. With the development of internet technology, industrial control systems, which were originally physically isolated, have become new targets for hackers. However, due to the high level of privatization of ICS protocols and their complex workflow, existing methods are insufficient in detecting vulnerabilities in these protocols. This paper proposes a black-box fuzzing test method based on sensing the program runtime feedback. By collecting run-time statistics, including CPU utilization, memory utilization, disk I/O, and message interaction, our method is able to determine whether the program has triggered a new execution path, thus improving the efficiency of the fuzzing procedure. We evaluated our prototype on five open-source ICS protocol programs and discovered six reported vulnerabilities, among which five could cause the industrial control programs to become unresponsive or crash.</t>
  </si>
  <si>
    <t>979-8-3503-1980-4</t>
  </si>
  <si>
    <t>10.1109/SWC57546.2023.10448795</t>
  </si>
  <si>
    <t>https://ieeexplore.ieee.org/stamp/stamp.jsp?arnumber=10448795</t>
  </si>
  <si>
    <t>ICS;Protocols;Fuzzing</t>
  </si>
  <si>
    <t>Integrated circuits;Protocols;Runtime;Industrial control;Closed box;Fuzzing;Sensors</t>
  </si>
  <si>
    <t>28-31 Aug. 2023</t>
  </si>
  <si>
    <t>3809</t>
  </si>
  <si>
    <t>3825</t>
  </si>
  <si>
    <t>PQ-CAN: A Framework for Simulating Post-Quantum Cryptography in Embedded Systems</t>
  </si>
  <si>
    <t>M. Conti; F. Marchiori; S. Matarazzo; M. Rubin</t>
  </si>
  <si>
    <t>Department of Mathematics, University of Padova, Padova, Italy; Department of Mathematics, University of Padova, Padova, Italy; Department of Mathematics, University of Padova, Padova, Italy; Department of Mathematics, University of Padova, Padova, Italy</t>
  </si>
  <si>
    <t>The rapid development of quantum computers threatens traditional cryptographic schemes, prompting the need for Post-Quantum Cryptography (PQC). Although the NIST standardization process has accelerated the development of such algorithms, their application in resource-constrained environments such as embedded systems remains a challenge. Automotive systems relying on the Controller Area Network (CAN) bus for communication are particularly vulnerable due to their limited computational capabilities, high traffic, and need for real-time response. These constraints raise concerns about the feasibility of implementing PQC in automotive environments, where legacy hardware and bit rate limitations must also be considered.In this paper, we introduce PQ-CAN, a modular framework for simulating the performance and overhead of PQC algorithms in embedded systems. We consider the automotive domain as our case study, testing a variety of PQC schemes under different scenarios. Our simulation enables the adjustment of embedded system computational capabilities and CAN bus bit rate constraints. We also provide insights into the trade-offs involved by analyzing each algorithm’s security level and overhead for key encapsulation and digital signature. By evaluating the performance of these algorithms, we provide insights into their feasibility and identify the strengths and limitations of PQC in securing automotive communications in the post-quantum era.</t>
  </si>
  <si>
    <t>10.1109/ISCC65549.2025.11326414</t>
  </si>
  <si>
    <t>https://ieeexplore.ieee.org/stamp/stamp.jsp?arnumber=11326414</t>
  </si>
  <si>
    <t>Post-Quantum Cryptography;Embedded Systems;Automotive;CAN bus</t>
  </si>
  <si>
    <t>Encapsulation;Computers;Embedded systems;Bit rate;Standardization;Real-time systems;Controller area networks;Cryptography;Automotive engineering;Testing</t>
  </si>
  <si>
    <t>156484</t>
  </si>
  <si>
    <t>156503</t>
  </si>
  <si>
    <t>184365</t>
  </si>
  <si>
    <t>184374</t>
  </si>
  <si>
    <t>2767</t>
  </si>
  <si>
    <t>2780</t>
  </si>
  <si>
    <t>IEC 61850 Compatible OpenPLC for Cyber Attack Case Studies on Smart Substation Systems</t>
  </si>
  <si>
    <t>M. M. Roomi; W. S. Ong; S. M. S. Hussain; D. Mashima</t>
  </si>
  <si>
    <t>Illinois at Singapore Pte. Ltd., Singapore; Illinois at Singapore Pte. Ltd., Singapore; School of Computing, National University of Singapore, Singapore; Illinois at Singapore Pte. Ltd., Singapore</t>
  </si>
  <si>
    <t>9164</t>
  </si>
  <si>
    <t>9173</t>
  </si>
  <si>
    <t>Programmable Logic Controllers (PLCs) are essential components for enabling remote monitoring and automated control in industrial control systems. Recently PLCs are often utilized in a modernized power grid system for implementing an additional layer of automated control, such as operation of circuit breakers under specific conditions. Thus, in order to create a software-based smart grid testbed (or ‘cyber range’ for cyber security experiments); emulation of the PLC is imperative. OpenPLC is a software widely used for emulating PLCs, but unfortunately it does not support IEC 61850 standard, which is the globally adopted standard for substation automation in smart power grid systems. Thus, in this paper, the enhancement of OpenPLC to support IEC 61850 protocol and information models is discussed. The performance of the implementation has been validated to corroborate its application for use cases in the smart grid paradigm. Subsequently, the implementation is demonstrated in a smart grid cyber range to evaluate the impacts of attacks and thereby, the effectiveness of security measures and robustness of PLC control logic. The implementation, named ‘OpenPLC61850’, is made available as an open-source project for the wider research and industry community.</t>
  </si>
  <si>
    <t>10.1109/ACCESS.2022.3144027</t>
  </si>
  <si>
    <t xml:space="preserve">National Research Foundation, Singapore, and the Singapore University of Technology and Design, through the National Satellite of Excellence in Design Science and Technology for Secure Critical Infrastructure(grant numbers:NSoE DeST-SCI2019-005); National Research Foundation, Prime Minister’s Office, Singapore, through the Campus for Research Excellence and Technological Enterprise (CREATE) Program; </t>
  </si>
  <si>
    <t>https://ieeexplore.ieee.org/stamp/stamp.jsp?arnumber=9684382</t>
  </si>
  <si>
    <t>Programmable logic controller;cyber security;smart grid test bed;cyber range;IEC 61850</t>
  </si>
  <si>
    <t>IEC Standards;Protocols;Standards;Smart grids;Cyberattack;Open source software;IEC</t>
  </si>
  <si>
    <t>270</t>
  </si>
  <si>
    <t>279</t>
  </si>
  <si>
    <t>BIER-Based Multicast Routing for Low-Power and Lossy Networks</t>
  </si>
  <si>
    <t>I. E. Lakhlef; B. Djamaa; M. R. Senouci</t>
  </si>
  <si>
    <t>Distributed and Complex Systems Lab., Ecole Militaire Polytechnique, Algiers, Algeria; Distributed and Complex Systems Lab., Ecole Militaire Polytechnique, Algiers, Algeria; Distributed and Complex Systems Lab., Ecole Militaire Polytechnique, Algiers, Algeria</t>
  </si>
  <si>
    <t>2024 2nd International Conference on Electrical Engineering and Automatic Control (ICEEAC)</t>
  </si>
  <si>
    <t>In scenarios involving point-to-multipoint network traffic, IP multicast protocols facilitate the routing of packets from a single source to multiple destinations in a single transmission. This approach conserves valuable resources such as bandwidth, energy, and time, making it ideal for a variety of Low-power and Lossy Network (LLN) applications. These applications range from over-the-air programming and information sharing to device configuration and resource discovery. Given the constrained nature of LLN networks, there is an increased demand for efficient communication protocols. To address these demands, this paper proposes a Bit-Indexed Explicit Replication (BIER) based approach to multicast packet routing within LLNs. A series of simulations using the Cooja simulator were conducted to evaluate the performance of our proposal. The obtained results confirm the viability of the proposed approach for implementing multicasting in LLNs.</t>
  </si>
  <si>
    <t>979-8-3503-4974-0</t>
  </si>
  <si>
    <t>10.1109/ICEEAC61226.2024.10576246</t>
  </si>
  <si>
    <t>https://ieeexplore.ieee.org/stamp/stamp.jsp?arnumber=10576246</t>
  </si>
  <si>
    <t>Internet of Things;Low Power and Lossy Network;Multicast;BIER;ESMRF;Contiki</t>
  </si>
  <si>
    <t>Wireless networks;Information sharing;Telecommunication traffic;Programming;Multicast communication;Routing;Multicast protocols</t>
  </si>
  <si>
    <t>12-14 May 2024</t>
  </si>
  <si>
    <t>Knowledge Representation of Asset Information and Performance in OT Environments</t>
  </si>
  <si>
    <t>M. Bhole; W. Kastner; T. Sauter</t>
  </si>
  <si>
    <t>Institute of Computer Engineering, TU Wien, Vienna, Austria; Institute of Computer Engineering, TU Wien, Vienna, Austria; Institute of Computer Technology, TU Wien</t>
  </si>
  <si>
    <t>2023 IEEE 28th International Conference on Emerging Technologies and Factory Automation (ETFA)</t>
  </si>
  <si>
    <t>To make a management decision for the Operational Technology (OT) environment, obtaining OT asset information from a plant is essential. Key Performance Indicators (KPIs) can play a crucial role in evaluating the performance of the manufacturing process, minimizing production costs, assessing process effectiveness, and investigating various settings to improve performance, operations, and quality in OT. This paper aims to provide a detailed examination of how Asset Information Mining Sources (AIMSs) support the process for acquiring both static and runtime OT asset information. Once we have obtained accurate OT asset information, we can calculate the KPIs and incorporate them into a knowledge representation using an ontology-based model. This model can assist the management team in making informed decisions and provide a roadmap for exploring further automation possibilities.</t>
  </si>
  <si>
    <t>979-8-3503-3991-8</t>
  </si>
  <si>
    <t>10.1109/ETFA54631.2023.10275721</t>
  </si>
  <si>
    <t>https://ieeexplore.ieee.org/stamp/stamp.jsp?arnumber=10275721</t>
  </si>
  <si>
    <t>Operational Technology;Asset Information Mining;Knowledge Representation</t>
  </si>
  <si>
    <t>Runtime;Manufacturing processes;Costs;Key performance indicator;Knowledge representation;Production;Manufacturing automation</t>
  </si>
  <si>
    <t>12-15 Sept. 2023</t>
  </si>
  <si>
    <t>CRT-LoRa: An efficient and reliable MAC scheme for real-time industrial applications</t>
  </si>
  <si>
    <t>F. Battaglia; G. Gugliandolo; R. Mani; G. Campobello; N. Donato</t>
  </si>
  <si>
    <t>Department of Engineering, University of Messina, Messina, Italy; Department of Engineering, University of Messina, Messina, Italy; Engineering School of Monastir, University of Monastir, Monastir, Tunisia; Department of Engineering, University of Messina, Messina, Italy; Department of Engineering, University of Messina, Messina, Italy</t>
  </si>
  <si>
    <t>2023 IEEE International Workshop on Metrology for Industry 4.0 &amp; IoT (MetroInd4.0&amp;IoT)</t>
  </si>
  <si>
    <t>30</t>
  </si>
  <si>
    <t>35</t>
  </si>
  <si>
    <t>LoRa is a well-established wireless technology in the field of Low Power Wide Area Network (LPWAN) protocols, providing radio coverage of several kilometers and extremely low power consumption. However, its medium access protocol, the LoRaWAN MAC protocol, is not suitable for industrial applications. To address this limitation, several alternative protocols, such as Industrial LoRa and RT-LoRa, have been proposed to support reliable and real-time communication between sensor nodes. In this paper, we present CRT-LoRa, a novel MAC strategy that improves the performance of LoRa by introducing a coding transmission scheme based on the Chinese Remainder Theorem (CRT). We evaluated the performance of CRT-LoRa through an extensive simulation campaign in OMNeT++. Our simulation results, partially reported in this paper, indicate that CRT-LoRa achieves a lower packet loss rate and energy consumption than RT-LoRa under similar conditions and simulation scenarios.</t>
  </si>
  <si>
    <t>979-8-3503-9657-7</t>
  </si>
  <si>
    <t>10.1109/MetroInd4.0IoT57462.2023.10180184</t>
  </si>
  <si>
    <t>https://ieeexplore.ieee.org/stamp/stamp.jsp?arnumber=10180184</t>
  </si>
  <si>
    <t>Industrial Internet of Things;LoRa;Low Power Wide Area Networks (LPWANs);Chinese Remainder Theorem</t>
  </si>
  <si>
    <t>Wireless communication;Energy consumption;Wireless sensor networks;Power demand;Simulation;Packet loss;Reliability theory</t>
  </si>
  <si>
    <t>6-8 June 2023</t>
  </si>
  <si>
    <t>755</t>
  </si>
  <si>
    <t>759</t>
  </si>
  <si>
    <t>1023</t>
  </si>
  <si>
    <t>1027</t>
  </si>
  <si>
    <t>Proceedings of 5th International Conference on Trends in Material Science and Inventive Materials, ICTMIM 2025</t>
  </si>
  <si>
    <t>Rashid, M.; Singh, Y.; Manzoor, S.I.</t>
  </si>
  <si>
    <t>Rashid, Marifat (59918968800); Singh, Yashwant Prasad (57210010055); Manzoor, Sheikh Imroza (57224600572)</t>
  </si>
  <si>
    <t>59918968800; 57210010055; 57224600572</t>
  </si>
  <si>
    <t>Methodology for Assessing Existing Vulnerabilities in Modbus Protocol</t>
  </si>
  <si>
    <t>Procedia Computer Science</t>
  </si>
  <si>
    <t>259</t>
  </si>
  <si>
    <t>10.1016/j.procs.2025.04.154</t>
  </si>
  <si>
    <t>https://www.scopus.com/inward/record.uri?eid=2-s2.0-105006527122&amp;doi=10.1016%2Fj.procs.2025.04.154&amp;partnerID=40&amp;md5=791da008d5c526a53cd675d17cfd3093</t>
  </si>
  <si>
    <t>Modbus protocol is one of the most extensively used communication protocols in Industrial Control Systems (ICS) because of its simplicity reliability, and basic position in ICS communication and availability as an open-source solution, However, the rising use of Ethernet Modbus TCP/IP connections and their integration with the internet have exposed this protocol to a variety of security concerns. A comprehensive assessment of related literature shows that the lack of encryption is a fundamental flaw in the Modbus protocol used in ICS systems. In this study, we evaluate the vulnerability of Modbus communication configuration by providing the methodology for assessing the existing vulnerability: Lack of Encryption, which includes an Allen-Bradley (1769-L30ER) Programmable Logic Controller (PLC) as the server and a Modbus Poll client (PC). The results revealed clearly that the sent data remained in plain text, making it vulnerable to interception and modification. In addition, we performed a Denial-of-Service (DoS) attack on the experimental setup to demonstrate how easily inside attackers may exploit this existing vulnerability. As a result, improving the security of the Modbus protocol is essential. This study attempts to throw attention on the critical need to improve Modbus protocol security mechanisms in order to protect ICS systems from possible attacks. © 2025 The Author(s). Published by Elsevier B.V.</t>
  </si>
  <si>
    <t>2-s2.0-105006527122</t>
  </si>
  <si>
    <t>Freitas, Luís Cesar (57540862800); Pereira, F. (55821740000); Lopes, Helena (57219449834); Lima, Ana L. (55554225800); Marujo, Pedro (58985406000); Ottaviano, Erika (6603447658); Machado, José Mendes (55936466500)</t>
  </si>
  <si>
    <t>Aquilina, Jurgen (59260836700); Xuereb, Peter G. (57202908592); Francalanza, Emmanuel (55303850800); Mallia, Jasmine (58512888100); Refalo, Paul (6508272427)</t>
  </si>
  <si>
    <t>2024 IEEE International Symposium on Measurements and Networking, M and N 2024 - Proceedings</t>
  </si>
  <si>
    <t>2024 32nd Mediterranean Conference on Control and Automation, MED 2024</t>
  </si>
  <si>
    <t>2024 6th International Conference on Frontier Technologies of Information and Computer, ICFTIC 2024</t>
  </si>
  <si>
    <t>2023 IEEE Globecom Workshops, GC Wkshps 2023</t>
  </si>
  <si>
    <t>2023 15th IEEE International Conference on Industry Applications, INDUSCON 2023 - Proceedings</t>
  </si>
  <si>
    <t>2023 IEEE International Conference on Omni-Layer Intelligent Systems, COINS 2023</t>
  </si>
  <si>
    <t>Grüner, S.; Gogolev, A.E.; Heuschkel, J.</t>
  </si>
  <si>
    <t>Grüner, Sten (57211157714); Gogolev, Alexander E. (57204799811); Heuschkel, Jens (56644731700)</t>
  </si>
  <si>
    <t>57211157714; 57204799811; 56644731700</t>
  </si>
  <si>
    <t>https://www.scopus.com/inward/record.uri?eid=2-s2.0-85141363621&amp;doi=10.1109%2FETFA52439.2022.9921503&amp;partnerID=40&amp;md5=f01df0d75b24ea98c6c46e5b375a660f</t>
  </si>
  <si>
    <t>PubSub is a recent introduction to a widely-accepted industrial communication protocol OPC UA. It is driven by OPC Foundation Field eXchange group (ex-FLC, ex-Shapers) to enable real-time OPC UA over TSN for cyclic communication in industrial automation. Furthermore, evolution of Soft Programmable Logic Controllers (PLC) to Virtual PLCs entails a wider use of software stacks and applications expected to provide necessary level of performance, which might be influenced by various configuration options of the application, the OPC UA stack, and the underlying operating system. In this work we address this issue with an experimental setup for benchmarking of cyclic PubSub applications using commercial off-the-shelf (COTS) hardware and a state-of-the-art open-source OPC UA PubSub stack. Experimental results show achievable jitter and cycle times for different message sizes, SDK options, and OS configurations. © 2022 IEEE.</t>
  </si>
  <si>
    <t>2-s2.0-85141363621</t>
  </si>
  <si>
    <t>Martínez de Lucena, M.M.; Fröhlich, A.A.</t>
  </si>
  <si>
    <t>Martínez de Lucena, Mateus (57230141500); Fröhlich, Antônio Augusto (12752196800)</t>
  </si>
  <si>
    <t>57230141500; 12752196800</t>
  </si>
  <si>
    <t>https://www.scopus.com/inward/record.uri?eid=2-s2.0-85100865912&amp;doi=10.1109%2FTDSC.2021.3058057&amp;partnerID=40&amp;md5=64db06a613d9f067e1099e8c90a777ed</t>
  </si>
  <si>
    <t>Industrial Internet of Things (IIoT) gateways connected to the Internet are often based on conventional operating systems such as Linux and on conventional communication protocols such as HTTPS and therefore are valuable targets for malicious attackers. When compromised, a malicious IIoT gateway can interfere with data exchanged between IIoT devices and systems running on servers or the Cloud. The Gateway Integrity Checking Protocol (GIP), proposed in previous work, defines a gossip mechanism to collect data from sets of IIoT devices to respond to security challenges issued by an External Security Agent (ESA) to assess a gateway's trustworthiness. GIP relies on a secure channel between IIoT devices and the ESA, which is achieved using a Public Key Infrastructure (PKI) for message authentication and encryption. In this article, we perform an analysis of the security measures employed by GIP, using formal descriptions to demonstrate that GIP is no less secure than the hash algorithm and the public key infrastructure used. Additionally, we simulate different configurations of GIP to measure detection rate and time to detect integrity faults. © 2004-2012 IEEE.</t>
  </si>
  <si>
    <t>2-s2.0-85100865912</t>
  </si>
  <si>
    <t>Ren, H.; Li, H.; Zhao, H.; He, F.; Dou, R.; Yao, Z.; Zhao, G.</t>
  </si>
  <si>
    <t>Ren, Hui (55899257400); Li, Huifeng (57298432300); Zhao, Hui (58656156600); He, Feng (58656473400); Dou, Renhui (53979590100); Yao, Zhiqiang (55459782000); Zhao, Guoqing (56340549900)</t>
  </si>
  <si>
    <t>55899257400; 57298432300; 58656156600; 58656473400; 53979590100; 55459782000; 56340549900</t>
  </si>
  <si>
    <t>Security Transformation Technology for Electricity Metering Communication Protocol; 电能计量用通信规约安全改造技术</t>
  </si>
  <si>
    <t>Zhongguo Dianli/Electric Power</t>
  </si>
  <si>
    <t>54</t>
  </si>
  <si>
    <t>10.11930/j.issn.1004-9649.202003037</t>
  </si>
  <si>
    <t>https://www.scopus.com/inward/record.uri?eid=2-s2.0-85138496067&amp;doi=10.11930%2Fj.issn.1004-9649.202003037&amp;partnerID=40&amp;md5=288761db56504024d4650c3458f90858</t>
  </si>
  <si>
    <t>Network attacks are now penetrating into industrial control system. Acquisition of electricity energy data is related to the economic interests of all parties, so it is very important to obtain accurate electricity data in time. In the paper, security transformation is made to the 102 protocol based on IEC 62351. The TLS protocol is added in the transmission layer, and the HMAC is used in the application layer to verify the security of ASDU message, so as to realize such functions as the communication encryption, authentication and integrity verification between the main and sub stations of the electricity energy acquisition system. The key data indexes, such as the authentication time of the main and sub stations, the increase time of the single frame data before and after the 102 protocol transformation of the electricity energy acquisition system, are simulated and tested. The testing results show that transformation of the application layer consumes more time and can seriously affect the communication efficiency when message frames are large in numbers. It is concluded through comprehensive comparison that the overall performance is better when SM4 encryption suite is used for TLS protocol. © 2021 ELECTRIC POWER. All rights reserved.</t>
  </si>
  <si>
    <t>Automation of Electric Power Systems Press</t>
  </si>
  <si>
    <t>2-s2.0-85138496067</t>
  </si>
  <si>
    <t>2021 International Conference on Cyber Warfare and Security, ICCWS 2021 - Proceedings</t>
  </si>
  <si>
    <t>Stranahan, J.; Soni, T.; Carpenter, J.; Heydari, V.</t>
  </si>
  <si>
    <t>Stranahan, John (57208130059); Soni, Tapan (57208134690); Carpenter, Jacob (57223607972); Heydari, Vahid (57191240715)</t>
  </si>
  <si>
    <t>57208130059; 57208134690; 57223607972; 57191240715</t>
  </si>
  <si>
    <t>SCADA Testbed Implementation, Attacks, and Security Solutions</t>
  </si>
  <si>
    <t>Advances in Intelligent Systems and Computing</t>
  </si>
  <si>
    <t>1363 AISC</t>
  </si>
  <si>
    <t>10.1007/978-3-030-73100-7_53</t>
  </si>
  <si>
    <t>https://www.scopus.com/inward/record.uri?eid=2-s2.0-85105910737&amp;doi=10.1007%2F978-3-030-73100-7_53&amp;partnerID=40&amp;md5=0db805d7cb1d3aef8b8df4d5b56ff49f</t>
  </si>
  <si>
    <t>Supervisory Control and Data Acquisition (SCADA) systems have been in use for decades. They provide remote management and monitoring capabilities for Industrial Control Systems (ICS) such as power plants, trains, water treatment plants, and dams. In recent years, SCADA systems have been targeted by malicious attackers. The Modbus TCP/IP protocol, which is the standard communication protocol used by many SCADA systems for network communication, is unencrypted and therefore it is insecure by design. In this research, cost-effective design and implementation of a custom SCADA testbed is proposed to assess common vulnerabilities and exploits in real-world Industrial Control Systems. A solution is then proposed to prevent these types of vulnerabilities from being exploited on real-world systems by implementing a secure tunnel. © 2021, The Author(s), under exclusive license to Springer Nature Switzerland AG.</t>
  </si>
  <si>
    <t>2-s2.0-85105910737</t>
  </si>
  <si>
    <t>Proceedings - Conference on Local Computer Networks, LCN</t>
  </si>
  <si>
    <t>The development of information and communication technology and its wide application in industrial control systems (ICSs) has brought a growing number of security risks to ICSs. Quantifying and dynamically assessing the security risks of ICSs is of great significance to protect ICSs from cyber attacks. Current risk assessment methods, however, do not take into account social engineering (SE) attacks and the potential cyber-to-physical risks associated with cyber attacks. To address these issues, we propose a novel method for the dynamic security risk assessment of ICSs, called SEAG. Specifically, the scheme first extends and modifies three metrics in the common vulnerability scoring system to four metrics for objectively calculating the exploit probability of SE. Then, we construct the attack graph by relying on the knowledge graph that integrates three kinds of knowledge including SE knowledge, common vulnerability knowledge, and control system knowledge. In addition, we combine real time attack data that causes system performance loss with the industrial protocol function code attack detected by the intrusion detection system to accurately quantify the potential cyber-tophysical risks associated with cyber attacks. This method allows us to dynamically assess the security risks of ICSs in real time. Finally, the method is verified by one simulation testbed, which shows the effectiveness and accuracy of the proposed method for dynamic quantitative evaluating security risks of ICSs.</t>
  </si>
  <si>
    <t>This paper addresses the critical need for enhancing security in Supervisory Control and Data Acquisition (SCADA) networks within Industrial Control Systems (ICSs) to protect the industrial processes from cyberattacks. The purpose of our work is to propose and evaluate lightweight security measures to safeguard critical infrastructure resources. The scope of our effort involves simulating a secure SCADA/IoT-based hardware test bench for ICSs, utilizing Modbus and MQTT communication protocols. Through case studies in remote servo motor control, water distribution systems, and power system voltage level indicators, vulnerabilities such as Denial of Service (DoS) and Man-in-The-Middle (MiTM) attacks are identified, and security recommendations are provided. To execute our work, we deploy lightweight ciphers such as Prime Counter &amp; Hash Chaining (PCHC) and Ascon algorithm with Compression Rate (ACR) for secure information exchange between the plant floor and the control center. Evaluation of these ciphers on Raspberry Pi focuses on execution speed and memory utilization. Additionally, a comparison with the AGA-12 protocol standard for SCADA networks is conducted to underscore the efficacy of the proposed security measures. Our findings include the identification of SCADA network vulnerabilities and the proposal of lightweight security measures to mitigate risks. Performance evaluation of the proposed ciphers on Raspberry Pi demonstrates their effectiveness, emphasizing the importance of deploying such measures to ensure resilience against cyber threats in SCADA environments.</t>
  </si>
  <si>
    <t>Kumar, Pradeep/0009-0002-4209-0270; , Suvrajit Mullick/0009-0000-5366-0107</t>
  </si>
  <si>
    <t>Schiliro', Francesco/G-1353-2017; Moustafa, Nour/Z-1160-2018</t>
  </si>
  <si>
    <t>Schiliro', Francesco/0000-0003-1327-2817; Moustafa, Nour/0000-0001-6127-9349</t>
  </si>
  <si>
    <t>Wu, Xuepei/JCO-6996-2023; Xie, Lihua/D-2236-2009</t>
  </si>
  <si>
    <t>Xie, Lihua/0000-0002-7137-4136</t>
  </si>
  <si>
    <t>Gruner, S; Gogolev, AE; Heuschkel, J</t>
  </si>
  <si>
    <t>Gruner, Sten; Gogolev, Alexander E.; Heuschkel, Jens</t>
  </si>
  <si>
    <t>WOS:000934103900070</t>
  </si>
  <si>
    <t>Refalo, Paul/U-9099-2018; Francalanza, Emmanuel/AAE-8849-2021</t>
  </si>
  <si>
    <t>In recent years, the increase in cyber-attacks on Industrial Control Systems (ICS) due to open industrial protocols has highlighted the vulnerability of critical infrastructures to such threats. Notable incidents like Stuxnet and BlackEnergy3 have demonstrated the potential for significant operational disruptions. Such a new situation calls for a successful risk assessment approach that can address the multifaceted nature of cyber threats. Addressing such need, this paper introduces a novel holistic risk assessment framework combining Bayesian Networks (BNs) with Multi-Criteria Decision Making (MCDM) to compute and integrate heterogeneous risk values into a single, comprehensive risk metric. In more detail, a set of heterogeneous risk metrics, derived by resorting to an array of risk-specific BNs, is combined through the Incomplete Analytic Hierarchy Process (AHP) technique. Briefly, a set of experts is asked to compare the relevance of pairs of risks, and this relative information is translated into a weight associated to each metric. The effectiveness of the proposed risk assessment technique is evaluated against a real hardware-in-the-loop case study in a laboratory environment, namely the Water Distribution Testbed (WDT) for cyber-physical security testing.</t>
  </si>
  <si>
    <t>The availability of performance studies and simple models for firewalls able to deal with industrial application-layer communication protocols, such as Modbus/TCP, is crucial when the impact of these devices has to be estimated, even roughly, before their actual deployment in industrial networks. Unfortunately, most manufacturers do not provide this kind of information for commercial off-the-shelf available products. Thus, a viable solution is the development and experimental validation of simple models that can be used by designers to predict those fire-wall characteristics not explicitly related to their security capabilities. As an example, latency introduced on message forwarding is an aspect of significant interest in many industrial control systems, where delays and jitters in data delivery can severely impact on the effectiveness of the control actions. This paper reports on our experience in developing a performance model for a commercial device able to perform advanced application-layer filtering, in particular of Modbus/TCP traffic. A set of ad hoc designed experiments, performed by means of a purposely developed laboratory testbed, enabled both model development and validation, confirming a good correspondence of the estimated performance with the device actual behavior.</t>
  </si>
  <si>
    <t>IoT data exchange is supported today by different communication protocols and different protocolar frameworks, each of which with its own advantages and disadvantages, and often co-existing in a way that is mandated by vendor policies. Although different protocols are relevant in different domains, there is not a protocol that provides better performance (jitter, latency, energy consumption) across different scenarios. The focus of this work is two-fold. First, to provide a comparison of the different available solutions in terms of protocolar features such as type of transport, type of communication pattern support, security aspects, including Named-data networking as relevant example of an Information-centric networking architecture. Secondly, the work focuses on evaluating three of the most popular protocols used both in Consumer as well as in Industrial IoT environments: MQTT, CoAP, and OPC UA. The experimentation has been carried out first on a local testbed for MQTT, COAP and OPC UA. Then, larger experiments have been carried out for MQTT and CoAP, based on the large-scale FIT-IoT testbed. Results show that CoAP is the protocol that achieves across all scenarios lowest time-to-completion, while OPC UA, albeit exhibiting less variability, resulted in higher time-to-completion in comparison to CoAP or MQTT.</t>
  </si>
  <si>
    <t>C Sofia, Rute/I-1553-2013</t>
  </si>
  <si>
    <t>C Sofia, Rute/0000-0002-7455-5872; Soares, José/0000-0003-2083-366X; Carvalho, Liliana Inocêncio/0000-0002-4535-4465; Silva, Daniel/0000-0001-9821-2738</t>
  </si>
  <si>
    <t>The security of Industrial Internet of Things (IIoT) systems is a challenge that needs to be addressed immediately, as the increasing use of new communication paradigms and the abundant use of sensors opens up new opportunities to compromise these types of systems. In this sense, technologies such as Trusted Execution Environments (TEEs) and Hardware Security Modules (HSMs) become crucial for adding new layers of security to IIoT systems, especially to edge nodes that incorporate sensors and perform continuous measurements. These technologies, coupled with new communication paradigms such as Blockchain, offer a high reliability, robustness and good interoperability between them. This paper proposes the design of a secure sensor incorporating the above mentioned technologies-HSMs and a TEE-in a hardware device based on a dual-core architecture. Through this combination of technologies, one of the cores collects the data extracted by the sensors and implements the security mechanisms to guarantee the integrity of these data, while the remaining core is responsible for sending these data through the appropriate communication protocol. This proposed approach fits into the Blockchain networks, which act as an Oracle. Finally, to illustrate the application of this concept, a use case applied to wine logistics is described, where this secure sensor is integrated into a Blockchain that collects data from the storage and transport of barrels, and a performance evaluation of the implemented prototype is provided.</t>
  </si>
  <si>
    <t>Morales, Diego P/E-1005-2012; Cruz Cozar, Juan/IST-2957-2023; Castillo, Encarnacion/ACP-5061-2022; Parrilla, Luis/C-2439-2012</t>
  </si>
  <si>
    <t>Morales, Diego P/0000-0002-3294-8934; Escobar-Molero, Antonio/0000-0003-3541-2956; Cruz Cozar, Juan/0000-0003-0105-1646; Cabrera Gutierrez, Antonio Javier/0000-0003-4550-7131; Castillo, Encarnacion/0000-0001-6476-8105;</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</si>
  <si>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t>
  </si>
  <si>
    <t>Marusak, Piotr/J-8834-2018; Lawrynczuk, Maciej/AAR-7788-2020</t>
  </si>
  <si>
    <t>Marusak, Piotr/0000-0002-6556-7919; Cabaj, Krzysztof/0000-0002-5955-5890</t>
  </si>
  <si>
    <t>The supervisory software is widely used in industrial control systems (ICSs) to manage field devices such as PLC controllers. Once compromised, it could be misused to control or manipulate these physical devices maliciously, endangering manufacturing process or even human lives. Therefore, extensive security testing of supervisory software is crucial for the safe operation of ICS. However, fuzzing ICS supervisory software is challenging due to the prevalent use of proprietary protocols. Without the knowledge of the program states and packet formats, it is difficult to enter the deep states for effective fuzzing. In this work, we present a fuzzing framework to automatically discover implementation bugs residing in the communication protocols between the supervisory software and the field devices. To avoid heavy human efforts in reverse-engineering the proprietary protocols, the proposed approach constructs a state-book based on the readily-available execution trace of the supervisory software and the corresponding inputs. Then, we propose a state selection algorithm to find the protocol states that are more likely to have bugs. Our fuzzer distributes more budget on those interesting states. To quickly reach the interesting states, traditional snapshot-based method does not work since the communication protocols are time sensitive. We address this issue by synchronously managing external events (GUI operations and network traffic) during the fuzzing loop. We have implemented a prototype and used it to fuzz the supervisory software of four popular ICS platforms. We have found 13 bugs and received 3 CVEs, 2 are classified as critical (CVSS3.x score CRITICAL 9.8) and affected 40 different products.</t>
  </si>
  <si>
    <t>Liu, Puzhuo/JXL-7499-2024; Liu, Peng/A-4255-2013</t>
  </si>
  <si>
    <t>Liu, Puzhuo/0000-0002-8995-5924; Guan, Le/0000-0002-8205-5616;</t>
  </si>
  <si>
    <t>Nimmala, Dr. Satyanarayana/GVS-1308-2022; BANDI, RAMBABU/AFU-6525-2022; sena, vasanth/ABF-6292-2020; Pasha, Md Aleem/ABI-7649-2020</t>
  </si>
  <si>
    <t>SENA, P/0000-0002-6447-1982; BANDI, RAMBABU/0000-0001-8037-814X;</t>
  </si>
  <si>
    <t>The convergence of Operational Technology (OT) and Information Technology (IT) networks has become increasingly prevalent with the growth of Industrial Internet of Things (IIoT) applications. This shift, while enabling enhanced automation, remote monitoring, and data sharing, also introduces new challenges related to communication latency and cybersecurity. Oftentimes, legacy OT protocols were adapted to the TCP/IP stack without an extensive review of the ramifications to their robustness, performance, or safety objectives. To further accommodate the IT/OT convergence, protocol gateways were introduced to facilitate the migration from serial protocols to TCP/IP protocol stacks within modern IT/OT infrastructure. However, they often introduce additional vulnerabilities by exposing traditionally isolated protocols to external threats. This study investigates the security and reliability implications of migrating serial protocols to TCP/IP stacks and the impact of protocol gateways, utilizing two widely used OT protocols: Modbus TCP and DNP3. Our protocol analysis finds a significant safety-critical vulnerability resulting from this migration, and our subsequent tests clearly demonstrate its presence and impact. A multi-tiered testbed, consisting of both physical and emulated components, is used to evaluate protocol performance and the effects of device-specific implementation flaws. Through this analysis of specifications and behaviors during communication interruptions, we identify critical differences in fault handling and the impact on time-sensitive data delivery. The findings highlight how reliance on lower-level IT protocols can undermine OT system resilience, and they inform the development of mitigation strategies to enhance the robustness of industrial communication networks.</t>
  </si>
  <si>
    <t>Sharif-Kashani, Hamid/AAR-6783-2021; Boeding, Matthew/LCE-4754-2024; Hempel, Michael/MHQ-8472-2025</t>
  </si>
  <si>
    <t>Sharif-Kashani, Hamid/0000-0001-6229-2043; Boeding, Matthew/0000-0002-4510-8280; Hempel, Michael/0000-0002-7091-8349; Scalise, Paul/0009-0009-4145-7318; Lopez, Juan/0000-0001-5083-8627</t>
  </si>
  <si>
    <t>de Lucena, MM; Frohlich, AA</t>
  </si>
  <si>
    <t>de Lucena, Mateus M.; Frohlich, Antonio Augusto</t>
  </si>
  <si>
    <t>IEEE TRANSACTIONS ON DEPENDABLE AND SECURE COMPUTING</t>
  </si>
  <si>
    <t>Fröhlich, Antônio/K-6728-2012</t>
  </si>
  <si>
    <t>Martínez de Lucena, Mateus/0000-0002-8315-689X</t>
  </si>
  <si>
    <t>1545-5971</t>
  </si>
  <si>
    <t>JUL-AUG</t>
  </si>
  <si>
    <t>WOS:000822379900001</t>
  </si>
  <si>
    <t>This research presents a simulation focusing on the integration of a dynamic and robust cybersecurity framework into a manufacturing execution system (MES). This research aims to address cyber security vulnerabilities inherent in manufacturing execution systems (MES). Production implementation systems commonly use various communication protocols, including RS232, IPv4, IPv6, PROFIBUS, and MODBUS. Recent manufacturing implementation systems provide a framework for separating industrial control system networks from corporate enterprise networks and the Internet. Production implementation systems strengthen cyber security as a result. However, when corporate networks and industrial control systems collaborate, cyber security becomes crucial. This process poses significant security risks that can compromise integrity and data confidentiality. This study aims to identify and mitigate gateway vulnerabilities, establish a cyber-defense framework, emphasize standardization of communication protocols, highlight its unique advantages, and benchmark the proposed method against existing cyber security solutions. The design of cyber resilience in manufacturing systems encompasses the systems' capacity to anticipate, address, and recover from cyber threats, all while preserving operational integrity. Mathematical modeling strengthens security by exploring vulnerabilities in various control and communication protocols like PLC, SCADA, DCS, RS232, IPv4, IPv6, PROFIBUS, and MODBUS. The study reveals that the analysis of data can safeguard systems against potential attacks, given the unique security implications of each protocol. This research proposes that simple processes and mathematical models can enhance cyber security, despite the existence of various procedures. We propose mathematical models that establish functional relationships to forecast computer behavior, enhance performance, and underscore the crucial role of standardized communication protocols. We develop and investigate a mathematical model. We develop and investigate a mathematical model that takes into account the presence of various security devices, including firewall configurations, encryption systems, and access control systems. We design and propose a mathematical model and a dynamic system dynamics equation that align with the real-time conditions of the MES. The dynamic system dynamics equation determines a security metric based on specific parameters. Passing the base threshold triggers the transaction deletion logic, exposing the proactive event for security breaches. This research suggests designing and exploring MES automation with the goal of ensuring seamless service, implementing cyber security response mechanisms swiftly, and minimizing response time. The process flow diagram in figure 1 shows a structured approach to a research paper that begins with model development to create a conceptual system representation. A functional analysis follows, assessing organizational needs and objectives as well as the implementation process, which includes the framework proposal stage and tool selection. Among these, the performance evaluation entails measuring the model's performance using established metrics, driving the MES system through dynamic response, monitoring its behavior, and making changes based on feedback.</t>
  </si>
  <si>
    <t>Salazar, Luis; L\'{o}pez-Morales, Efr\'{e}n; Lozano, Juan; Rubio-Medrano, Carlos; C\'{a}rdenas, \'{A}lvaro A.</t>
  </si>
  <si>
    <t>ICSNet: A Hybrid-Interaction Honeynet for Industrial Control Systems</t>
  </si>
  <si>
    <t>https://doi-org.ep.bib.mdh.se/10.1145/3690134.3694813</t>
  </si>
  <si>
    <t>10.1145/3690134.3694813</t>
  </si>
  <si>
    <t>Industrial Control Systems (ICS) manage several critical infrastructures, such as the electrical grid and water treatment plants. ICS have been the target of cyberattacks designed to disrupt the operation of critical infrastructure, risking the safety of the system. Honeypots and honeynets are used to gather intelligence on novel threats against ICS and to help us prepare for future attacks. In this paper, we introduce ICSNet, a hybrid-interaction honeynet that improves on the state of the art of ICS honeynets by developing a new modular architecture that integrates high-fidelity physical process simulations, more industrial protocols, and high-fidelity device fingerprints. We evaluate ICSNet using multiple physical process scenarios and reconnaissance tools like Nmap and Nikto. We show that ICSNet can successfully represent different ICS environments while interacting with the industrial assets in the physical simulation, giving attackers a convincing view of an ICS.</t>
  </si>
  <si>
    <t>cyber deception, cyber-physical systems, honeypot, industrial control systems, plc</t>
  </si>
  <si>
    <t>https://doi-org.ep.bib.mdh.se/10.1145/3702209</t>
  </si>
  <si>
    <t>The industrial Internet of Things (IIoT) is prominently emerging in applications of large-scale and wide-area applications, such as oilfield management, smart grid management, real-time equipment monitoring, and integration of traffic management systems for smart cities. Relying on short-range wireless technologies (e.g., WirelessHART and ISA100.11a), traditional wireless solutions for industrial automation find it challenging to support the expansive scale of today’s IIoT. To address this limitation, we propose to adopt LoRaWAN, a prominent low-power wide-area network technology, for industrial automation. LoRaWAN for industrial automation poses some unique challenges. The fundamental building blocks of any industrial automation system are feedback control loops that largely rely on real-time communication. LoRaWAN traditionally adopts a simple protocol based on ALOHA with no collision avoidance or Listen Before Talk with Clear Channel Assessment and Random Backoff mechanisms to minimize energy consumption, which are less suitable for real-time communication. Existing real-time protocols for short-range technologies cannot be applied to a LoRaWAN network due to its unique characteristics such as asymmetry between downlink and the uplink spectrum, predefined modes (or classes) of operation, and concurrent reception through orthogonal spreading factors. In this paper, we address these challenges and propose RTPL- a Real-Time communication Protocol for LoRaWAN networks. RTPL is a low-overhead and conflict-free communication protocol allowing autonomous real-time communication of low-energy devices and exploits LoRa’s capability of parallel communication. We implement our approach on LoRa devices and evaluate through both physical experiments and extensive simulations. All results show that RTPL&amp;nbsp;achieves on average 75\% improvement in real-time performance without sacrificing throughput or energy compared to traditional LoRaWAN.</t>
  </si>
  <si>
    <t>Giehl, Alexander; Heinl, Michael P.; Embacher, Victor</t>
  </si>
  <si>
    <t>EmuFlex: A Flexible OT Testbed for Security Experiments with OPC UA</t>
  </si>
  <si>
    <t>https://doi-org.ep.bib.mdh.se/10.1145/3664476.3670931</t>
  </si>
  <si>
    <t>10.1145/3664476.3670931</t>
  </si>
  <si>
    <t>Modern communication standards for the Industrial Internet of Things (IIoT) like the Open Platform Communications Unified Architecture (OPC&amp;nbsp;UA) were developed with security in mind. However, their correct implementation in operational technology (OT) environments is often neglected due to a lack of appropriate monetary and human resources, especially among small and medium-sized enterprises. We present a flexible, inexpensive, and easy to use testbed enabling OT operators to experiment with different security scenarios. Our testbed is purely virtual so that procurement and construction of physical or hybrid test environments is not required. It can be operated as a web-hosted service and leverages Docker as well as OPC&amp;nbsp;UA. The testbed therefore combines usability and support for modern technologies enabling future-oriented security studies as well as flexible usage across verticals and company boundaries.</t>
  </si>
  <si>
    <t>Emulation, Modbus, OPC&amp;nbsp;UA, Operational Technology, Security Experimentation</t>
  </si>
  <si>
    <t>https://doi-org.ep.bib.mdh.se/10.1145/3485130</t>
  </si>
  <si>
    <t>Erba, Alessandro; Murillo, Andres F.; Taormina, Riccardo; Galelli, Stefano; Tippenhauer, Nils Ole</t>
  </si>
  <si>
    <t>On Practical Realization of Evasion Attacks for Industrial Control Systems</t>
  </si>
  <si>
    <t>https://doi-org.ep.bib.mdh.se/10.1145/3689930.3695213</t>
  </si>
  <si>
    <t>10.1145/3689930.3695213</t>
  </si>
  <si>
    <t>In recent years, a number of evasion attacks for Industrial Control Systems have been proposed. During an evasion attack, the attacker attempts to hide ongoing process anomalies to avoid anomaly detection. Examples of such attacks range from replay attacks to adversarial machine learning techniques. Those attacks generally are applied to existing datasets with normal and anomalous data, to which the evasion attacks are added post-hoc. This represents a very strong attacker, who is effectively able to observe and manipulate data from anywhere in the system, in real-time, with zero processing delay, and no computational constraints. Prior work has shown that such strong attackers are theoretically difficult to detect by most existing countermeasures. So far, it is unclear if such an attack could be practically realized, and if there are challenges that would impair the attacker. In this work, we systematically discuss options for an attacker to mount evasion attacks in real-world ICS, and show the constraints that result from those options. To validate our findings, we design and implement a framework that allows the realization of evasion attacks and anomaly detection for ICS emulation. We demonstrate practical constraints that arise from different settings, and their effect on attack performance. For example, we found that network packet replay might trigger network errors, which will result in unexpected spoofing patterns.</t>
  </si>
  <si>
    <t>anomaly detection, dataset, evasion attacks, industrial control systems</t>
  </si>
  <si>
    <t>Fu, Xiao; Han, Junyi; Cao, Kuo</t>
  </si>
  <si>
    <t>An Industrial Internet of Things (IIoT) platform for intelligent wind turbine gearbox fault detection with automatic annotation</t>
  </si>
  <si>
    <t>https://doi-org.ep.bib.mdh.se/10.1145/3697467.3697612</t>
  </si>
  <si>
    <t>10.1145/3697467.3697612</t>
  </si>
  <si>
    <t>Machine learning-based fault detection plays a critical role in improving the operational reliability and efficiency of wind turbines. However, existing high-performance methods typically rely on large, manually annotated training datasets, which are not readily available in the wind industry. With the fourth industrial revolution, the Industrial Internet of Things (IIoT) concept that guides the operation of the real industry through the simulation, can provide easier and reliable maintenance. Therefore, this paper proposes an IIoT platform for real-time health monitoring of wind turbine gearboxes, through which a kurtosis-based automatic annotation approach to identify normal and abnormal measurements to characterize the health condition of each individual gearbox is developed. The dataset containing 22,074 measurements collected from four damaged wind turbines is employed, and the proposed method produces annotations comparable to those provided by independent domain experts. In this way, virtual-real fusion is applied to improve the integration of artificial intelligence in manufacturing, which allows a more effective condition monitoring system in the current era of Internet of Everything.</t>
  </si>
  <si>
    <t>Automatic annotation, Fault detection, Gearbox, Industrial internet of things (IIoT), Wind turbine</t>
  </si>
  <si>
    <t>Niu, Xianghao; Cook, Marco M.; Pezaros, Dimitrios</t>
  </si>
  <si>
    <t>https://doi-org.ep.bib.mdh.se/10.1145/3642974.3652287</t>
  </si>
  <si>
    <t>The advent of inter-connectivity between Industrial Control Systems (ICS) and Information Technology (IT) has greatly enhanced operational efficiency within many Critical National Infrastructure (CNI) sectors, such as energy generation and water treatment. However, prominent industrial network protocols such as Modbus, were designed and implemented without cyber-security considerations, promoting low overheads and real-time communications over digital resilience. Since insecure industrial protocols continue to prevail, considering future protocol implementations and retrofitting security controls to existing exposed environments is critical to mitigate the growing cyber threats that target ICS. In this paper, we aim to address security limitations that are inherent within industrial protocol plain-text transmission, specifically Modbus-TCP. We use Raspberry Pis to represent real resource constrained Modbus devices and evaluate two encryption solutions: 1) Direct on-device encryption and 2) an encrypted SOCKS5 proxy server to facilitate secure communications between Modbus devices. Both methods employ symmetric encryption using stream ciphers and are evaluated for throughput, latency, and Queries Per Second (QPS). Experimental results demonstrate that while on-device encryption provides superior performance compared to the proxy-based solution, it comes at the cost of greater complexity and potential hardware upgrades. Hence, the trade-off between performance and adaptability requires careful consideration.</t>
  </si>
  <si>
    <t>Industrial Control Systems, Modbus-TCP, SCADA, Stream Ciphers, Symmetric Encryption</t>
  </si>
  <si>
    <t>Lucchese, Marco; Lupia, Francesco; Merro, Massimo; Paci, Federica; Zannone, Nicola; Furfaro, Angelo</t>
  </si>
  <si>
    <t>HoneyICS: A High-interaction Physics-aware Honeynet for Industrial Control Systems</t>
  </si>
  <si>
    <t>https://doi-org.ep.bib.mdh.se/10.1145/3600160.3604984</t>
  </si>
  <si>
    <t>10.1145/3600160.3604984</t>
  </si>
  <si>
    <t>Industrial control systems (ICSs) are vulnerable to cyber-physical attacks, i.e., security breaches in cyberspace that adversely affect the underlying physical processes. In this context, honeypots are effective countermeasures both to defend against such attacks and discover new attack strategies. In recent years, honeypots for ICSs have made significant progress in faithfully emulating OT networks, including physical process interactions. We propose HoneyICS, a high-interaction, physics-aware, scalable, and extensible honeynet for ICSs, equipped with an advanced monitoring system. We deployed our honeynet on the Internet and conducted experiments to evaluate the effectiveness of HoneyICS.</t>
  </si>
  <si>
    <t>Industrial control system, attack monitoring, cyber-physical attack, honeypot, physics-awareness</t>
  </si>
  <si>
    <t>Amadou Kountche, Djibrilla; Aubert, Jocelyn; Nguyen, Manh-Dung; Kalfa, Natalia; Durante, Nicola Gregorio; Passerini, Cristiano; Kuding, Stephane</t>
  </si>
  <si>
    <t>The PRECINCT Ecosystem Platform for Critical Infrastructure Protection: Architecture, Deployment and Transferability</t>
  </si>
  <si>
    <t>https://doi-org.ep.bib.mdh.se/10.1145/3664476.3670437</t>
  </si>
  <si>
    <t>10.1145/3664476.3670437</t>
  </si>
  <si>
    <t>The present work was done during the PRECINCT (Preparedness and Resilience Enforcement for Critical INfrastructure Cascading Cyberphysical Threats and effects with focus on district or regional protection) project. The PRECINCT Ecosystem Platform (PEP), part of the PRECINCT approach, serves to “unify” different Critical Infrastructures (CIs) – through a cybersecurity ecosystem platform - and helps in improving facility protection against cascading effects resulting from cyber-physical attacks, in minimizing service disruptions and in managing interfaces with other CIs. In recent years, CIs have been equipped with Industrial Internet of Things (IIoT) technologies including sensors and actuators which communicate using open protocols (e.g., MQTT, AMQP, CoAP, Modbus, DNP3) or commercially licensed protocols (LoRA, IEC 6870-5-101, Profibus) to share data and commands. Furthermore, the management of these CIs is built on Information Communication Technologies (ICTs) which became Critical Information Infrastructure (CII). Therefore, this paper proposes an approach for the deployment of ICT tools used in CI Protection (CIP) projects. Indeed, the PEP’s deployment in PRECINCT’s Living Labs (LLs) was described using Topology and Orchestration Specification for Cloud Applications (TOSCA). TOSCA, in addition to the usage of reference architectures, is proposed by this paper for re-usability and transferability of CIP projects outcomes.</t>
  </si>
  <si>
    <t>Critical Infrastructure Protection, Reference Architecture, TOSCA</t>
  </si>
  <si>
    <t>Gardiner, Joseph; Eiffert, Adam; Garraghan, Peter; Race, Nicholas; Nagaraja, Shishir; Rashid, Awais</t>
  </si>
  <si>
    <t>Controller-in-the-Middle: Attacks on Software Defined Networks in Industrial Control Systems</t>
  </si>
  <si>
    <t>https://doi-org.ep.bib.mdh.se/10.1145/3462633.3483979</t>
  </si>
  <si>
    <t>10.1145/3462633.3483979</t>
  </si>
  <si>
    <t>Programmable networks are an area of increasing research activity and real-world usage. The most common example of programmable networks is software defined networking (SDN), in which the control and data planes are separated, with switches only acting as forwarding devices controlled by software in the form of an SDN controller. As well as routing, this controller can perform other network functions such as load balancing and firewalls. There is an increasing amount of work proposing the use of SDN in industrial control systems (ICS) environments. The ability of SDN to dynamically control the network provides many potential benefits, including to security, utilising the dynamic orchestration of security controls. However, the centralisation of network control results in a single point of failure within the system, and thus potentially a major target of attack. An attacker who is capable of controlling the SDN controller gains near full control of the network. In this paper, we describe and analyse this very scenario. We demonstrate a number of simple, yet highly effective, attacks from a compromised SDN controller within an ICS environment which can break the real-time properties of industrial protocols, and potentially interfere with the operation of physical processes.</t>
  </si>
  <si>
    <t>industrial control systems, operational technology, scada, security, software defined networking</t>
  </si>
  <si>
    <t>Biebel, Marius; Song, Zhao; Schreck, Thomas; Hackl, Christoph</t>
  </si>
  <si>
    <t>Identifying key attacks on an IEEE 9-Bus System by leveraging the MITRE ATT&amp;amp;CK ICS Matrix</t>
  </si>
  <si>
    <t>https://doi-org.ep.bib.mdh.se/10.1145/3679240.3734647</t>
  </si>
  <si>
    <t>10.1145/3679240.3734647</t>
  </si>
  <si>
    <t>With the ongoing digitization of power grids, an increasing number of digital components are introduced into modern power grids. In this paper, we examine the IEEE 9-Bus system as a point of reference to highlight the process of moving from an electrical grid model to a cybersecurity model in order to identify relevant standards and protocols. We then leverage publicly accessible CVE data and a literature review to map discussed attack techniques for key protocols to the MITRE ATT&amp;amp;CK ICS Matrix and compare this information to identify similarities and differences between research findings and published vulnerabilities.The contributions of this study are twofold. First, we outline the way from an electro-technical grid model and derive potential standards and protocols for monitoring and control of such power networks. Second, we review and map related literature and CVEs to the MITRE ATT&amp;amp;CK ICS matrix to prototype this approach as a way of literature review to outline areas of high research activity and potential research gaps.Our analysis reveals that Denial of Service, Unauthorized Command Messages, and Adversary in the Middle techniques are among the most frequently discussed attack techniques in both published vulnerabilities and academic research concerning these protocols. Furthermore, we highlight a notable disparity: while academic research often emphasizes Adversary in the Middle techniques, the CVE data indicates a greater prevalence of initial access and lateral movement tactics.</t>
  </si>
  <si>
    <t>MITRE ATT&amp;amp;CK, IEEE 9-Bus System, Security, Vulnerability, Smart Grid, Cyberphysicl Power System Modbus, DNP3, IEC-60870, IEC-61850</t>
  </si>
  <si>
    <t>Samanis, Emmanouil; Gardiner, Joseph; Rashid, Awais</t>
  </si>
  <si>
    <t>SoK: A Taxonomy for Contrasting Industrial Control Systems Asset Discovery Tools</t>
  </si>
  <si>
    <t>https://doi-org.ep.bib.mdh.se/10.1145/3538969.3538979</t>
  </si>
  <si>
    <t>10.1145/3538969.3538979</t>
  </si>
  <si>
    <t>Asset scanning and discovery is the first and foremost step for organizations to understand what assets they have and what to protect. There is currently a plethora of free and commercial asset scanning tools specializing in identifying assets in industrial control systems (ICS). However, there is little information available on their comparative capabilities and how their respective features contrast. Nor is it clear to what depth of scanning these tools can reach and whether they are fit-for-purpose in a scaled industrial network architecture. We provide the first systematic feature comparison of free-to-use asset scanning tools on the basis of an ICS scanning taxonomy that we propose. Based on the taxonomy, we investigate scanning depths reached by the tools’ features and validate our investigation through experimentation on Siemens, Schneider Electric, and Allen Bradley devices in a testbed environment.</t>
  </si>
  <si>
    <t>Asset Management;, Cyber-physical Systems, Industrial Control Systems, Security</t>
  </si>
  <si>
    <t>Gardiner, Joseph; Abaimov, Stanislav; Williams, Jacob; Shahbi, Feras; Anastasakis, Konstantinos; Chowdhury, Partha Das; Ellis, Winston; Sameen, Maria; Samanis, Emmanouil; Rashid, Awais</t>
  </si>
  <si>
    <t>"If You Build it, They will Come" - A Blueprint for ICS-focused Capture-The-Flag Competitions</t>
  </si>
  <si>
    <t>https://doi-org.ep.bib.mdh.se/10.1145/3690134.3694818</t>
  </si>
  <si>
    <t>10.1145/3690134.3694818</t>
  </si>
  <si>
    <t>Industrial control systems (ICS) are the specialist systems responsible for operating many aspects of Critical National Infrastructure (CNI), including power generation and distribution, water treatment, and transport systems. With the increasing cyber threats against such systems comes a requirement for a suitably skilled workforce to protect them. However, there exists a skills gap in this area. Capture-the-flag (CTF) competitions can provide valuable learning experiences for participants. In this work, we use our experience of running multiple ICS-themed CTFs to prepare a set of blueprints for organizing a similarly themed CTF. We then discuss the implementation of our event, mapped to this blueprint, and then present the results of a participant survey to explore the learning benefits of the event.</t>
  </si>
  <si>
    <t>capture-the-flag, critical infrastructure protection, ctf, cybersecurity, industrial control systems, security training</t>
  </si>
  <si>
    <t>Huang, Liusong; Jaharadak, Adam; Izzati Ahmad, Nor; Wang, Jie</t>
  </si>
  <si>
    <t>Research on the Secure Transmission Mechanism of Time Series Data in Power Plants</t>
  </si>
  <si>
    <t>https://doi-org.ep.bib.mdh.se/10.1145/3717934.3718026</t>
  </si>
  <si>
    <t>10.1145/3717934.3718026</t>
  </si>
  <si>
    <t>With the continuous improvement of the automation level of thermal power plants, the secure transmission of time series data has become a key link to ensure the efficient operation and safety management of the system. This paper proposes a secure transmission mechanism for time series data based on DCS system, SIS module and time series database, aiming to deal with the security and real-time issues of key parameters of thermal power plants (such as boiler temperature, pressure, reheat temperature, etc.) during transmission. By introducing isolation devices such as network gates and combining the performance comparison analysis of transmission protocols such as CDT and Modbus, the transmission performance and security of the designed architecture under different network load conditions are experimentally verified. The experimental results show that the CDT protocol has significant advantages in terms of delay, packet loss rate and bandwidth utilization, and can effectively ensure the secure transmission of time series data in a complex network environment. At the same time, the data synchronization and integrity assurance mechanism ensures that the data is not tampered with or lost during transmission through methods such as hash verification, which provides reliable guarantee for the efficient and safe operation of thermal power plants. The research in this paper provides a theoretical basis and practical application support for the transmission of time series data in industrial control systems.</t>
  </si>
  <si>
    <t>CDT Protocol, DCS System, Secure Transmission, Thermal Power Plant, Time Series Data</t>
  </si>
  <si>
    <t>Mondal, Shalmoly; Hassani, Alireza; Jayaraman, Prem Prakash; Delir Haghighi, Pari; Georgakopoulos, Dimitrios</t>
  </si>
  <si>
    <t>Modelling IoT Application Requirements for Benchmarking IoT Middleware Platforms</t>
  </si>
  <si>
    <t>https://doi-org.ep.bib.mdh.se/10.1145/3487664.3487742</t>
  </si>
  <si>
    <t>10.1145/3487664.3487742</t>
  </si>
  <si>
    <t>The significant advances in the Internet of Things (IoT) have led to IoT applications being widely used in various scenarios ranging from smart city, smart farming, to Industrial IoT (IIoT) solutions. With the explosion of IoT application development, IoT middleware platforms are increasingly being used for hosting such IoT applications. This has given rise to the need for developing benchmarking solutions to analyze and test the performance of different middleware platforms that host these IoT applications. To develop such benchmarks, there are a number of key components that are needed. One of these components is an IoT dataset. To generate such datasets, representing IoT application requirements in a general and formal way is important. In this paper, we propose a framework to model the IoT Applications Requirements and enable Data Generation(ARDG-IoT). The framework supports a formal way to capture IoT application requirements and use these requirements to generate IoT data that can be used to create benchmarks for different IoT middleware platforms. ARDG-IoT consists of our proposed model, IoTSySML, which captures the application requirements, and an IoT data simulator tool, which is used to generate IoT data. We present an evaluation of the framework using a real world Industrial IoT application case study.</t>
  </si>
  <si>
    <t>Benchmarking, IoT Application Requirements, IoT Middleware, Requirements Engineering, Requirements Modelling</t>
  </si>
  <si>
    <t>Karagiozidis, Alexios; Gergeleit, Martin</t>
  </si>
  <si>
    <t>A Forensic I/O Recorder for Industrial Control Systems Using PLCs and OPC UA</t>
  </si>
  <si>
    <t>https://doi-org.ep.bib.mdh.se/10.1145/3600160.3605059</t>
  </si>
  <si>
    <t>10.1145/3600160.3605059</t>
  </si>
  <si>
    <t>The increasing network connectivity of automation or industrial control systems (ICS) through Industrie 4.0 has led to higher risks of attacks, where remote attackers can compromise industrial devices or networks to maliciously change or inject data, as well as send malicious commands that can damage machines or impair production efficiency. However, evidence gathering for such attacks can be challenging due to the lack of forensic compliant logging capabilities, as well as the high heterogeneity of these devices that makes it difficult to find generalized approaches for collecting evidence or artifacts from an ICS system. Furthermore industrial devices have limited hardware and CPU resources making established IT forensics not applicable to these devices. To address this challenge, we use an industrial device, specifically a Programmable Logic Controller (PLC), as a non intrusive I/O recorder to log I/O changes in a forensically compliant manner. In addition, we use OPC UA to securely transmit the data as well as to allow deployment of the approach to a broader range of devices by establishing a forensic information model or OPC UA server interface.</t>
  </si>
  <si>
    <t>OPC UA, PLCs, digital forensics, industrial control systems</t>
  </si>
  <si>
    <t>Dietz, Marietheres; Hageman, Leon; Hornung, Constantin; Pernul, G\"{u}nther</t>
  </si>
  <si>
    <t>Employing Digital Twins for Security-by-Design System Testing</t>
  </si>
  <si>
    <t>https://doi-org.ep.bib.mdh.se/10.1145/3510547.3517929</t>
  </si>
  <si>
    <t>10.1145/3510547.3517929</t>
  </si>
  <si>
    <t>Ever since cyber attacks focused on industrial and critical infrastructure settings, the awareness of the security issues of these systems has increased. These industrial control systems (ICS) mainly focus on operation and availability -- instead of providing general security features. Moreover, the current Industry 4.0 movement aggravates this security gap by connecting the ICS to the enterprise network, which facilitates targeting these systems. Proper system testing can reveal the system's vulnerabilities and provide remedies. However, security measures are usually neglected or addressed after an emerging incident only, which results in high costs. To maximize the benefit of system testing, we argue that it should be carried out as early as possible, especially to render systems secure-by-design. In this work, we propose an approach for introducing security-by-design system testing by the application of a digital twin. A digital twin is able to represent a system virtually along its lifecycle. To enable security-by-design, the simulation capability of digital twin is harnessed to create a prospective environment of a planned system. This allows detecting vulnerabilities before they can emerge in the real-world and providing a adequate risk strategy. Our work shows how security-by-design system testing is anchored in the security applications along a system's lifecycle. Next to proposing a security-by-design system testing approach with digital twins, we implement a digital twin representing a pressure vessel, and demonstrate how to carry out each step of our proposed approach. During this proof-of-concept, we identify vulnerabilities and show how an attacker can compromise the system by manipulating values of the pressure vessel with the potential to cause over-pressure, which, in turn, can result in an explosion of the vessel.</t>
  </si>
  <si>
    <t>digital twin, industrial vulnerabilities, security-by-design, system testing</t>
  </si>
  <si>
    <t>Zhang, Xiaofan; Huang, Haibo; Lina, Zhu; Wei, Yibo; Li, Yangyang; Zhu, Muyijie; Zheng, Jiahui; Luo, Xi</t>
  </si>
  <si>
    <t>Exploration and practice of industrial control system information security incident emergency exercise</t>
  </si>
  <si>
    <t>https://doi-org.ep.bib.mdh.se/10.1145/3444370.3444596</t>
  </si>
  <si>
    <t>10.1145/3444370.3444596</t>
  </si>
  <si>
    <t>Industrial control system information security incident emergency exercise is a security management and technical activities, which is comprehensive, interdisciplinary and multi-link. Based on the global exercises and the existing exercise organization experience, this paper summarizes three characteristics, three forms and five procedures of industrial security emergency exercise. Besides, this paper proposes a detailed implementation idea and optimization method of PTDTE emergency exercise in five stages of preparation, test, design, training and exercise, and gives a specific explanation in combination with two examples of emergency exercise. By carrying out the procedural and systematic emergency exercise, the enterprises can test the emergency plan, improve the decision-making ability and safety skills, focus on investigation and traceability, coordinate the emergency disposal timely and effectively, and ensure the cyber security of industrial control system.</t>
  </si>
  <si>
    <t>Cyber security, Emergency exercise, Emergency management, ICS Security</t>
  </si>
  <si>
    <t>Bathalapalli, Venkata Karthik Vishnu Vardhan; Mohanty, Saraju; Pan, Chenyun; Kougianos, Elias</t>
  </si>
  <si>
    <t>QPUF 3.0: Sustainable Cybersecurity of Smart Grid through Security-By-Design based on Quantum-PUF and Quantum Key Distribution</t>
  </si>
  <si>
    <t>https://doi-org.ep.bib.mdh.se/10.1145/3716368.3735275</t>
  </si>
  <si>
    <t>10.1145/3716368.3735275</t>
  </si>
  <si>
    <t>The scope of Quantum computing and its information processing potential in comparison to classical computing has significantly broadened its application and research, most notably in the domain of Quantum Internet-of-Things (QIoT). This research explores the scope of Quantum Computing in enabling secure and sustainable smart grid operations through the integration of tamper-proof Quantum Physical Unclonable Functions (QPUF) primitive and Quantum Key Distribution (QKD) communication protocols. A novel framework is proposed that leverages QPUF-based intelligent device attestation and QKD-based secure communication among quantum-capable smart grid entities with quantum computing capabilities. The proposed QPUF-QKD integrated framework was evaluated using IBM and Rigetti Computing’s quantum systems and simulators. Notably, QPUF evaluation on IBM and Rigetti quantum simulators achieved 100\% reliability with 53\% uniqueness, demonstrating its effectiveness and reliability across different quantum computing platforms. Additionally, the QPUF-QKD integrated framework validation and its computational time analysis presented substantiates its potential for Quantum Security-by-Design (QSbD) of smart grid and its applications.</t>
  </si>
  <si>
    <t>Cybersecurity, Security-by-Design, Quantum Security-by-Design, Quantum Physical Unclonable Functions (PUF), Quantum Key Distribution (QKD), Smart Grid</t>
  </si>
  <si>
    <t>Koutras, Dimitris; Dimitrakopoulos, Giorgos; Malamas, Vangelis; Kotzanikolaou, Panayiotis; Douligeris, Christos</t>
  </si>
  <si>
    <t>Comparative Analysis and Implementation of HTTP3, MQTT, and CoAP for IoT Applications</t>
  </si>
  <si>
    <t>https://doi-org.ep.bib.mdh.se/10.1145/3716554.3716830</t>
  </si>
  <si>
    <t>10.1145/3716554.3716830</t>
  </si>
  <si>
    <t>This paper compares three of the most commonly used application-layer communication protocols, namely HTTP3, MQTT, and CoAP, for IoT applications. While HTTP3 is used as a baseline, MQTT and CoAP are optimized for resource-constrained environments and have thus found widespread use in IoT. This research work investigates the mechanisms, design features, and performance characteristics of each protocol and outlines their respective strengths and weaknesses. It will also carry out practical simulations to assess the utilization of processing resources under different communication models, such as publish-subscribe and request-response. The results of this work will be very useful in selecting an appropriate protocol for different IoT use cases with a trade-off between efficiency, security, and ease of implementation.</t>
  </si>
  <si>
    <t>Publish-Subscribe Model, Request-Response Model, IoT protocols, Application Layer</t>
  </si>
  <si>
    <t>Li, Ying; Bing, Zhigang; Zhao, Di; Zhu, Yingzhuang; Lai, Zhanhang</t>
  </si>
  <si>
    <t>D&amp;amp;R of Digital Twin-based Intelligent Control Practical Training System</t>
  </si>
  <si>
    <t>https://doi-org.ep.bib.mdh.se/10.1145/3606843.3606851</t>
  </si>
  <si>
    <t>10.1145/3606843.3606851</t>
  </si>
  <si>
    <t>The manufacturing industry is gradually reforming in the direction of intelligent digitalization. The traditional automation control technology and virtual simulation technology cannot intuitively reflect the operation working state of the actual equipment in the intelligent manufacturing production line in order to solve the problems of low intelligence level, lack of 3D visualization function, and poor sense of interactive experience in the traditional manufacturing system. In this paper, we design a digital twin intelligent control training system based on digital twin technology and determine the overall framework of the system and the corresponding modules and functions. The static virtual model of the twin system is constructed using 3dMAX software, the UI visualization of the dynamic interactive twin system is built using the unity development platform, and the OPC UA based industrial IoT real-time data acquisition method is proposed. The digital twin module establishes the data acquisition framework to connect the actual production line with the virtual production line to realize real-time data signal acquisition and control and complete the digital twin and data fusion. The experimental results show that the system can realize intelligent control of production line visualization production and intuitively reflect the operation status of the equipment. The system is used to teach practical training courses in colleges and universities. Students can obtain the real-time operation status of production plants in the physical world through the models, movements, data, and other information displayed by the digital twin, which increases students' practical operation ability and improves the teaching effect, and lays the foundation for further expanding the application fields of digital twin technology.</t>
  </si>
  <si>
    <t>Digital twin, Human-computer interaction, Practical training system, Unity, Virtual reality synchronization</t>
  </si>
  <si>
    <t>Teixeira De Castro, Hugo; Hussain, Ahmed; Blanc, Gregory; El Hachem, Jamal; Blouin, Dominique; Leneutre, Jean; Papadimitratos, Panos</t>
  </si>
  <si>
    <t>https://doi-org.ep.bib.mdh.se/10.1145/3664476.3670470</t>
  </si>
  <si>
    <t>Cyber-Physical Systems (CPSs) complexity has been continuously increasing to support new life-impacting applications, such as Internet of Things (IoT) devices or Industrial Control Systems (ICSs). These characteristics introduce new critical security challenges to both industrial practitioners and academics. This work investigates how Model-Based System Engineering (MBSE) and attack graph approaches could be leveraged to model secure Cyber-Physical System solutions and identify high-impact attacks early in the system development life cycle. To achieve this, we propose a new framework that comprises (1) an easily adoptable modeling paradigm for Cyber-Physical System representation, (2) an attack-graph-based solution for Cyber-Physical System automatic quantitative security analysis, based on the MulVAL security tool, (3) a set of Model-To-Text (MTT) transformation rules to bridge the gap between SysML and MulVAL. We illustrated the validity of our proposed framework through an autonomous ventilation system example. A Denial of Service (DoS) attack targeting an industrial communication protocol was identified and displayed as attack graphs. In future work, we intend to connect the approach to dynamic security databases for automatic countermeasure selection.</t>
  </si>
  <si>
    <t>Critical Infrastructures, Risk Analysis, Security and Privacy for Cyber-Physical Systems, Security by Design., Threats and Attack Modelling, Usable Security and Privacy</t>
  </si>
  <si>
    <t>https://doi-org.ep.bib.mdh.se/10.1145/3696788</t>
  </si>
  <si>
    <t>Kannoth, Subash; Schnicke, Frank; Antonino, Pablo Oliveira</t>
  </si>
  <si>
    <t>Enabling Industry 4.0 Communication Protocol Interoperability: An OPC UA Case Study</t>
  </si>
  <si>
    <t>https://doi-org.ep.bib.mdh.se/10.1145/3459960.3459977</t>
  </si>
  <si>
    <t>10.1145/3459960.3459977</t>
  </si>
  <si>
    <t>Rapid advances in digitalization are leading the automation and manufacturing sector towards the fourth industrial revolution also known as Industry 4.0, whose main goal is to realize the changeable production processes, which is currently expensive and effort-intensive. The Open Platform Communications Unified Architecture (OPC UA) is an established and well-known communication protocol in the industrial domain. The Reference Architecture Model Industry4.0 (RAMI 4.0) proposes OPC UA as the core communication protocol among assets such as machines, robots, and appliances. Despite the key role of OPC UA in Industry 4.0, there is still a lack of technical guidance on how to integrate OPC UA with other communication protocols, especially with legacy devices that communicate through proprietary protocols. To address this challenge, we propose a solution that is characterized by a set of communication primitives, a platform-independent type system and an intermediate language. We also evaluate the overhead created through integration in terms of the round-trip time and message size imposed by metadata for abstraction. We have implemented the proposed approach in reference Industry 4.0 projects, and in this paper, we report our experiences in integrating OPC UA in a homogeneous communication system comprised of Create, Read, Update, Delete and Invoke primitives which improves the protocol interoperability and reduces integration effort.</t>
  </si>
  <si>
    <t>End-to-end communication, Industrial IoT, Industry 4.0, OPC UA, Protocol Interoperability</t>
  </si>
  <si>
    <t>Sekaran, Yatish; Debnath, Tanmoy; Assadi, Taeesh Azal; Suvvari, Sai Dileep; Oswal, Shubh</t>
  </si>
  <si>
    <t>Using Machine Learning to detect abnormalities on Modbus/TCP Networks</t>
  </si>
  <si>
    <t>https://doi-org.ep.bib.mdh.se/10.1145/3590837.3590893</t>
  </si>
  <si>
    <t>10.1145/3590837.3590893</t>
  </si>
  <si>
    <t>Modbus/TCP is a communication protocol extensively used in machine-to-machine communications. Therefore, anomaly detection on this protocol is of paramount importance in the industry as it helps protect cyber assets and monitor IoT devices created by manufacturing plants across the globe. This detection is achieved by looking at standard patterns and then comparing them with patterns of data found unknown to the system itself. Today, catapulted by rapid developments in machine learning, there has been a marked reduction in the time it takes to identify anomalies in Modbus/TCP networks. Anomaly detection methodologies, leveraging neural networks trained through numerous machine-learning algorithms, further provide a system that could be effectively applied to many IoT device marketplaces, such as consumer-level applications. This paper proposes a framework for evaluating feature sets and learning-based models to detect Modbus/TCP anomalies efficiently and accurately.</t>
  </si>
  <si>
    <t>Anomaly Detection, IoT security, Modbus/TCP protocol, Network attacks</t>
  </si>
  <si>
    <t>Bistarelli, Stefano; Bosimini, Emanuele; Santini, Francesco</t>
  </si>
  <si>
    <t>A Medium-Interaction Emulation and Monitoring System for Operational Technology</t>
  </si>
  <si>
    <t>https://doi-org.ep.bib.mdh.se/10.1145/3465481.3470100</t>
  </si>
  <si>
    <t>10.1145/3465481.3470100</t>
  </si>
  <si>
    <t>We present LOGistICS, a monitoring-framework with the aim to study the security of industrial PLC systems. The architecture encompasses different processing components and probes, with different tasks. In particular, this paper focuses on the description of a new medium-interaction honeypot attracting Modbus and S7comm traffic. With respect to related open-projects (e.g. Conpot), our proposal is highly extensible, configurable, and it allows for interacting more with an attacker while remaining less detectable. With LOGistICS the main objective is to study the behaviour of hosts that are interested in attacking industrial services.</t>
  </si>
  <si>
    <t>Honeypot, ICS, Modbus, S7comm, medium interaction.</t>
  </si>
  <si>
    <t>Tippenhauer, Nils Ole; Chen, Binbin; Mashima, Daisuke; Nicol, David M.</t>
  </si>
  <si>
    <t>vBump: Securing Ethernet-based Industrial Control System Networks with VLAN-based Traffic Aggregation</t>
  </si>
  <si>
    <t>https://doi-org.ep.bib.mdh.se/10.1145/3462633.3483983</t>
  </si>
  <si>
    <t>10.1145/3462633.3483983</t>
  </si>
  <si>
    <t>Bump-in-the-wire (bump) devices can be used to protect critical endpoints in Industrial Control System (ICS) networks. However, bump devices cannot be used to authenticate incoming broadcast traffic, are complex to manage, and one bump is needed per host.In this work, we propose a virtual bump-like solution called vBump, which allows to insert virtual bumps in front of Ethernet-based legacy ICS devices. The vBumps can be used to limit traffic to whitelisted destinations, inspect all traffic on or above Link-layer like a centralized intrusion detection systems (or monitoring systems), or even police the traffic like a centralized intrusion prevention systems. In particular, this also allows the network to apply fine-grained control on traffic between nodes that need to be in the same Link-layer broadcast domain. Compared to traditional bumps, vBumps do not require any changes in physical network topology, and the central server's global view allows for more informed decision, with less computational constraints. We implement the system in a high-fidelity ICS testbed, and demonstrate its capabilities to support even time-critical protection control traffic in smart grids. Our system can handle traffic rates of 150Mbps with one-way delay of ~1ms.</t>
  </si>
  <si>
    <t>vlan, traffic filtering, industrial control system, ics security</t>
  </si>
  <si>
    <t>Barua, Anomadarshi; Pan, Lelin; Faruque, Mohammad Abdullah Al</t>
  </si>
  <si>
    <t>BayesImposter: Bayesian Estimation Based.bss Imposter Attack on Industrial Control Systems</t>
  </si>
  <si>
    <t>https://doi-org.ep.bib.mdh.se/10.1145/3564625.3564638</t>
  </si>
  <si>
    <t>10.1145/3564625.3564638</t>
  </si>
  <si>
    <t>Over the last six years, several papers used memory deduplication to trigger various security issues, such as leaking heap-address and causing bit-flip in the physical memory. The most essential requirement for successful memory deduplication is to provide identical copies of a physical page. Recent works use a brute-force approach to create identical copies of a physical page that is an inaccurate and time-consuming primitive from the attacker’s perspective. Our work begins to fill this gap by providing a domain-specific structured way to duplicate a physical page in cloud settings in the context of industrial control systems (ICSs). Here, we show a new attack primitive - BayesImposter, which points out that the attacker can duplicate the.bss section of the target control DLL file of cloud protocols using the Bayesian estimation technique. Our approach results in less memory (i.e., 4 KB compared to GB) and time (i.e., 13 minutes compared to hours) compared to the brute-force approach used in recent works. We point out that ICSs can be expressed as state-space models; hence, the Bayesian estimation is an ideal choice to be combined with memory deduplication for a successful attack in cloud settings. To demonstrate the strength of BayesImposter, we create a real-world automation platform using a scaled-down automated high-bay warehouse and industrial-grade SIMATIC S7-1500 PLC from Siemens as a target ICS. We demonstrate that BayesImposter can predictively inject false commands into the PLC that can cause possible equipment damage with machine failure in the target ICS. Moreover, we show that BayesImposter is capable of adversarial control over the target ICS resulting in severe consequences, such as killing a person but making it looks like an accident. Therefore, we also provide countermeasures to prevent the attack.</t>
  </si>
  <si>
    <t>DLL file, PLCs, adversarial control, bayesian estimation</t>
  </si>
  <si>
    <t>https://doi-org.ep.bib.mdh.se/10.1145/3485832.3488028</t>
  </si>
  <si>
    <t>GUI-driven fuzzer, ICS security, Supervisory software, fuzzing, protocol implementation bugs</t>
  </si>
  <si>
    <t>El Akhdar, Abir; Baidada, Chafik; Kartit, Ali</t>
  </si>
  <si>
    <t>Adaptability of Microservices Architecture in IoT Systems : A Comprehensive Review</t>
  </si>
  <si>
    <t>https://doi-org.ep.bib.mdh.se/10.1145/3659677.3659734</t>
  </si>
  <si>
    <t>10.1145/3659677.3659734</t>
  </si>
  <si>
    <t>Abstract. This paper investigates how microservices, a transformative paradigm in cloud and enterprise applications, can adapt to the challenges presented by the Internet of Things (IoT). Microservices architecture, identified by the disintegration of monolithic software into distributed and decoupled services, presents a solution that enhances scalability and maintainability. While traditionally top-down, microservices align with IoT's need for flexible, vendor-independent service combinations. Identifying challenges in traditional IoT architectures, this research addresses a gap in the lack of a comprehensive review on the integration of microservices. Objectives include analyzing characteristics, identifying benefits and challenges, exploring best practices, and evaluating adaptability in terms of flexibility, scalability, data management, security, privacy, performance, and efficiency. We aim, through this work, to add to the existing knowledge base on microservices and IoT systems and offer valuable perspectives for practitioners and researchers in the field.</t>
  </si>
  <si>
    <t>Comprehensive Review, Internet of Things, IoT, MSA, Microservices, Software Architecture</t>
  </si>
  <si>
    <t>https://doi-org.ep.bib.mdh.se/10.1145/3641280</t>
  </si>
  <si>
    <t>The digital transformation of factories has greatly increased the number of peripherals that need to connect to a network for sensing or control, resulting in a growing demand for a new network category known as the Equipment Area Network (EAN). The EAN is characterized by its cable-free, high-capacity, low-latency, and low-power features. To meet these expectations, we present BEANet, a novel solution designed specifically for EAN that combines a two-stage synchronization mechanism with a time division protocol. We implemented the system using commercially available Bluetooth Low Energy (BLE) modules and evaluated its performance. Our results show that the network can support up to 150 peripherals with a packet reception rate of 95.4\%, which is only 0.9\% lower than collision-free BLE transmission. When the cycle time is set to 2 s, the average transmission latency for all peripherals is 0.1 s, while the power consumption is 18.9 μW, which is only half that of systems using LLDN or TSCH. Simulation results also demonstrate that BEANet has the potential to accommodate over 30,000 peripherals under certain configurations.</t>
  </si>
  <si>
    <t>Agarwal, Sharad; Rashid, Awais; Gardiner, Joseph</t>
  </si>
  <si>
    <t>Old MacDonald had a smart farm: Building a testbed to study cybersecurity in smart dairy farming</t>
  </si>
  <si>
    <t>https://doi-org.ep.bib.mdh.se/10.1145/3546096.3546097</t>
  </si>
  <si>
    <t>10.1145/3546096.3546097</t>
  </si>
  <si>
    <t>With the advent of modern smart farming and agritech technology, farms are increasingly becoming an example of a cyber-physical system (CPS). For example, a modern dairy farm will feature internet-of-things (IoT) devices for monitoring animals and fully automated milking parlors. When considering the cyber security of CPS, we often talk about critical national infrastructure (CNI) with a focus on heavy industries such as energy generation, water treatment, and manufacturing, which all have a long history of digitization. Food supply is also considered part of CNI, so it is essential to consider it. A cyber attack on a farm can impact food supply, reduce revenue for farmers, and impact animal welfare. The security of smart farming has not been widely explored, and there is a lack of realistic testbeds that evaluate the security of agritech devices. This paper discusses the design of such a testbed, focusing on the dairy farming sector. We provide an overview of the testbed and discuss the challenges and lessons learned during the design and build process. We also present some early results from our analysis of the devices and software within the testbed and discuss future research directions.</t>
  </si>
  <si>
    <t>Testbed, Smart Farming, Internet of Things, IIoT, Cyber Security</t>
  </si>
  <si>
    <t>Kuchar, Karel; Blazek, Petr; Fujdiak, Radek</t>
  </si>
  <si>
    <t>From Playground to Battleground: Cyber Range Training for Industrial Cybersecurity Education</t>
  </si>
  <si>
    <t>https://doi-org.ep.bib.mdh.se/10.1145/3638782.3638814</t>
  </si>
  <si>
    <t>10.1145/3638782.3638814</t>
  </si>
  <si>
    <t>The manufacturing and critical infrastructure world is increasingly dependent on cyber security. Cyber-attacks are becoming increasingly sophisticated, targeting traditional Information Technology (IT) and Operational Technology (OT) systems mainly due to the convergence of these infrastructures. Cyber-range assists with educating professionals and stakeholders about current trends and techniques by simulating realistic scenarios. This paper presents a scenario using the BUTCA (Brno University of Technology Cyber Arena) platform, developed at the Department of Telecommunications with a focus on IT and OT. The presented solution provides an effective and entertaining form of education using gamification aimed at a sector of interested students from primary school students to university students, professionals and interested members of the general public. As a proof of concept, we have developed a&amp;nbsp;game (within BUTCA) targeting an industrial sector. Where the main objective of the cyber game is to demonstrate the potential impact of a successful cyber attack caused by human error through a phishing attack.</t>
  </si>
  <si>
    <t>Cyber-range, ICS, IT, OT, education, gamification, industry, industry 4.0</t>
  </si>
  <si>
    <t>Chen, Yen-Jen; Lin, En-Cheng</t>
  </si>
  <si>
    <t>Design and Implementation of Hardware and Peripheral System for IoT Gateway</t>
  </si>
  <si>
    <t>https://doi-org.ep.bib.mdh.se/10.1145/3543712.3543740</t>
  </si>
  <si>
    <t>10.1145/3543712.3543740</t>
  </si>
  <si>
    <t>This paper uses Linkit Smart 7688 Duo development board developed by MediaTek as the core of the overall IoT gateway system design, which compares other development boards and IoT gateways on the market. Smart 7688 Duo development board is about 40\% lower in price than Raspberry Pi, and the hardware CPU clock is higher than NEXCOM NIO 51 gateway. This implementation provides a low-cost and highly customizable solution that allows system integrators to more effectively provide their customers with the most appropriate IT services. The proposed IoT gateway design utilizes the Linkit Smart 7688 Duo with MIPS and MCU dual-core chip, Arduino development environment and industrial protocol Modbus to design the data transfer of each sensor in the peripheral system. The IoT gateway obtains the sensor data and transmits it to the server using Message Queuing Telemetry Transport (MQTT). The data acquisition accuracy of the developed MCU program was measured with 2 sensors of hydrogen sulfide (H2S) and methane (CH4). The overall system architecture and peripheral systems are designed to realize the IoT gateway taking into account the internal heat dissipation and module wiring, and also the appearance of the chassis is designed to carry the IoT gateway system, so as to achieve a high-quality product prototype that is accurate, economical, and customizable.</t>
  </si>
  <si>
    <t>Gateway, IoT, MCU, MQTT, Modbus</t>
  </si>
  <si>
    <t>Maree, Jean-Marc; Kruger, Karel; Basson, Anton</t>
  </si>
  <si>
    <t>A Digital Twin Architecture for the Provisioning, Management, and Monitoring of Heterogenous IoT Devices</t>
  </si>
  <si>
    <t>https://doi-org.ep.bib.mdh.se/10.1145/3652620.3688258</t>
  </si>
  <si>
    <t>10.1145/3652620.3688258</t>
  </si>
  <si>
    <t>IoT devices must often be configured to be remotely managed and monitored. The configuration process is referred to as a provisioning process, where the device is configured into an operational state. This paper presents a DT architecture for provisioning, managing, and monitoring heterogeneous IoT devices. The architecture is targeted towards the device-as-a-service (DaaS) context, where the complexities involved in managing IoT devices is hidden from the user, and where the uptime of the IoT devices is critical. Device management here includes installing applications on the devices (to fulfill the functional requirements of the user) and monitoring the devices. The architecture presented here is aimed at use in a large manufacturing enterprise, such as an automotive manufacturer. A preliminary evaluation of the architecture shows its potential to dynamically handle the provisioning, managing, and monitoring of IoT devices. The preliminary evaluation shows how the architecture supports devices that use both publish-subscribe and request-response interaction methods, and even handle complex scenarios containing a human in the loop.</t>
  </si>
  <si>
    <t>digital twin, IoT device management, IoT device provisioning</t>
  </si>
  <si>
    <t>Wang, Jin; Xu, Jiangpei; Liu, Chang; Zhou, Wen; Li, Cong</t>
  </si>
  <si>
    <t>A Time-Sensitive Network Traffic Scheduling Method Under Critical Time-Triggered Stream Constraints</t>
  </si>
  <si>
    <t>https://doi-org.ep.bib.mdh.se/10.1145/3675417.3675571</t>
  </si>
  <si>
    <t>10.1145/3675417.3675571</t>
  </si>
  <si>
    <t>Security and efficiency of data transmission are critical in the big data era of the industrial Internet of thing. With benefits including accurate time synchronization, dependable traffic scheduling, and effective data transfer, the global business is actively pushing Time Sensitive Networking (TSN), a new architecture for network communication protocols. With these advantages, TSN will become the core infrastructure of the future Industrial Internet and support the development of core technologies such as Telematics and Industrial Internet. Traffic scheduling is one of the key problems in TSN, and most current studies regard TSN traffic scheduling as an NP-complete problem, which is solved by mathematical methods. Existing methods are solved by defining the definition of stream scheduling constraints in TSN, but they cannot guarantee the scheduling of critical time-triggered streams (TTS). Therefore, in this paper, we propose an ILP stream scheduling method under critical time-triggered stream constraints (CTT-ILP). To guarantee the scheduling success rate and transmission delay of critical TTS, CTT-ILP formulizes frame periodicity, link conflict-free, delay, frame isolation, and critical time-triggered stream, and constructs an ILP paradigm with multiple constraints. Based on the guarantee of critical TTS, experimental results demonstrate that the technique suggested in this paper still has good schedulability.</t>
  </si>
  <si>
    <t>Capodieci, Antonio; Mainetti, Luca; Dipietrangelo, Flavio</t>
  </si>
  <si>
    <t>Model-Driven approach to Cyber Risk Analysis in Industry 4.0</t>
  </si>
  <si>
    <t>https://doi-org.ep.bib.mdh.se/10.1145/3447568.3448541</t>
  </si>
  <si>
    <t>10.1145/3447568.3448541</t>
  </si>
  <si>
    <t>In the contest of industrial process and automation, and in particular in the so-called Industry 4.0, the now intensive application of control systems in interconnected networks has led to an increase in unexpected threats to information security for supervisory control and data acquisition (SCADA) and control systems distributed (DCS).Risk assessment is essential and the its common methods such as HHM, IIM, and RFRM have been successfully applied to SCADA systems.Another equally important need is the use of metrics and methodologies to analyze the risk (PRA- probability risk analysis), which includes methods such as FTA, ETA and FEMA and HAZOP. The goal of these methods is, in general, to determine the impact of a problem on the process plant and the risk reduction associated with a particular countermeasure.In this paper we present a methodology named CRiSP (Cyber Risk Analysis in Industrial Process System Environment). CRiSP defines an approach to analyze the risk related to the manipulation of a single element of the plant and to analyze the consequence to entire plant and in the same time to a restricted portion.</t>
  </si>
  <si>
    <t>Cybersecurity, Industry 4.0, Risk Analysis, Risk management</t>
  </si>
  <si>
    <t>Li, Xian; Li, Jinyi; Xing, Xiangpeng; Zhao, Hongxia</t>
  </si>
  <si>
    <t>Research on the realization of distance education practical training courses based on digital twin technology</t>
  </si>
  <si>
    <t>https://doi-org.ep.bib.mdh.se/10.1145/3686424.3686452</t>
  </si>
  <si>
    <t>10.1145/3686424.3686452</t>
  </si>
  <si>
    <t>As an important part of modern education mode, distance education has played an increasingly important role and played a good educational effect, but the practical training course has always been the pain point of distance education. Based on this, this paper applies the digital twin technology to the distance education training course, so that the learners can realize the virtual and real operation of the equipment. At the same time, in order to further deepen the remote operation as the field operation and realize the real operation and debugging of the field equipment, the key information and communication technology of the realization process is discussed, so as to realize the authenticity, effectiveness and scene of the distance education practical training course.</t>
  </si>
  <si>
    <t>Cosson, Adrien; Sikder, Amit Kumar; Babun, Leonardo; Celik, Z. Berkay; McDaniel, Patrick; Uluagac, A. Selcuk</t>
  </si>
  <si>
    <t>Sentinel: A Robust Intrusion Detection System for IoT Networks Using Kernel-Level System Information</t>
  </si>
  <si>
    <t>https://doi-org.ep.bib.mdh.se/10.1145/3450268.3453533</t>
  </si>
  <si>
    <t>10.1145/3450268.3453533</t>
  </si>
  <si>
    <t>The concept of Internet of Things (IoT) has changed the way we live by integrating commodity devices with cyberspace to automate our everyday tasks. Nowadays, IoT devices in the home environment are becoming ubiquitous with seamless connectivity and diverse application domains. Modern IoT devices have adopted a many-to-many connectivity model to enhance user experience and device functionalities compared to early IoT devices with standalone device setup and limited functionalities. However, the continuous connection between devices and cyberspace has introduced new cyber attacks targeting IoT devices and networks. Due to the resource-constrained nature of IoT devices as well as the opacity of the IoT framework, traditional intrusion detection systems cannot be applied here. In this paper, we introduce Sentinel, a novel intrusion detection system that uses kernel-level information to detect malicious attacks. Specifically, Sentinel collects low-level system information (CPU usage, RAM usage, total load, available swap, etc.) of each IoT device in a network and learns the pattern of device behavior to differentiate between benign and malicious events. We evaluated the efficacy and performance of Sentinel in different IoT platforms with multiple devices and settings. We also measured the performance of Sentinel against five types of real-life attacks. Our evaluation shows that Sentinel can detect different attacks to IoT devices and networks with high accuracy (over 95\%) and secure the devices in different IoT platforms and configurations. Also, Sentinel achieves minimum overhead in power consumption, ensuring high compatibility in resource-constraint IoT devices.</t>
  </si>
  <si>
    <t>Internet of Things, Intrusion detection, IoT security, Mirai Botnet</t>
  </si>
  <si>
    <t>https://dl-acm-org.ep.bib.mdh.se/action/doSearch?fillQuickSearch=false&amp;target=advanced&amp;expand=dl&amp;field1=Abstract&amp;text1=%28+++%28IIoT+OR+%22industrial+iot%22+OR+%22industrial+internet+of+things%22++++OR+%22Industrial+Control+System%22+OR+%22Industrial+Control+Systems%22++++OR+%22Industrial+Automation+System%22+OR+%22Industrial+Automation+Systems%22++++OR+%22Industrial+Automation+and+Control+System%22+OR+%22Industrial+Automation+and+Control+Systems%22%29+++AND+++%28%22information+exchange+protocol%22+OR+%22information+exchange+protocols%22++++OR+%22communication+protocol%22+OR+%22communication+protocols%22++++OR+%22industrial+protocol%22+OR+%22industrial+protocols%22%29+++AND+++%28%28performance+OR+security%29+AND+%28evaluat*+OR+test*+OR+assess*+OR+compar*+OR+benchmark*%29%29+++AND+++%28%22conceptual+model%22+OR+%22conceptual+framework%22+OR+%22reference+model%22+OR+%22domain+model%22++++OR+%22information+model%22+OR+metamodel+OR+ontology+OR+%22reference+architecture%22++++OR+%22architecture+description%22+OR+testbed+OR+%22test+bench%22+OR+testbench++++OR+%22experimental+setup%22+OR+%22test+harness%22+OR+benchmarking+OR+benchmark*++++OR+emulat*+OR+simulat*+OR+prototype+OR+%22reference+implementation%22++++OR+%22software+setup%22+OR+%22hardware+setup%22%29+%29&amp;startPage=0&amp;pageSize=50</t>
  </si>
  <si>
    <t>[[Abstract: iiot] OR [Abstract: "industrial iot"] OR [Abstract: "industrial internet of things"] OR [Abstract: "industrial control system"] OR [Abstract: "industrial control systems"] OR [Abstract: "industrial automation system"] OR [Abstract: "industrial automation systems"] OR [Abstract: "industrial automation and control system"] OR [Abstract: "industrial automation and control systems"]] AND [[Abstract: "information exchange protocol"] OR [Abstract: "information exchange protocols"] OR [Abstract: "communication protocol"] OR [Abstract: "communication protocols"] OR [Abstract: "industrial protocol"] OR [Abstract: "industrial protocols"]] AND [[Abstract: performance] OR [Abstract: security]] AND [[Abstract: evaluat*] OR [Abstract: test*] OR [Abstract: assess*] OR [Abstract: compar*] OR [Abstract: benchmark*]] AND [[Abstract: "conceptual model"] OR [Abstract: "conceptual framework"] OR [Abstract: "reference model"] OR [Abstract: "domain model"] OR [Abstract: "information model"] OR [Abstract: metamodel] OR [Abstract: ontology] OR [Abstract: "reference architecture"] OR [Abstract: "architecture description"] OR [Abstract: testbed] OR [Abstract: "test bench"] OR [Abstract: testbench] OR [Abstract: "experimental setup"] OR [Abstract: "test harness"] OR [Abstract: benchmarking] OR [Abstract: benchmark*] OR [Abstract: emulat*] OR [Abstract: simulat*] OR [Abstract: prototype] OR [Abstract: "reference implementation"] OR [Abstract: "software setup"] OR [Abstract: "hardware setup"]]</t>
  </si>
  <si>
    <t>Column1</t>
  </si>
  <si>
    <t>Digital twin security topic; no industrial comms protocol + no evaluation method/testbed framing.</t>
  </si>
  <si>
    <t>Threat model/abstraction; no protocol evaluation setup.</t>
  </si>
  <si>
    <t>PLC runtime benchmarking, not comm protocol benchmarking/evaluation.</t>
  </si>
  <si>
    <t>IDS dataset/testbed study; not protocol evaluation method.</t>
  </si>
  <si>
    <t>Protocol mechanism/extension paper; not an evaluation framework/testbed/method.</t>
  </si>
  <si>
    <t>Evaluation is for federated learning setup, not industrial protocol evaluation model/testbed.</t>
  </si>
  <si>
    <t>Checklist/guidance; no protocol evaluation artifact.</t>
  </si>
  <si>
    <t>Security architecture/framework; no protocol eval method/testbed.</t>
  </si>
  <si>
    <t>System security discussion; no protocol evaluation method/testbed.</t>
  </si>
  <si>
    <t>Anomaly detection system; not protocol evaluation framework.</t>
  </si>
  <si>
    <t>Evaluates IDS tools, not comm protocols.</t>
  </si>
  <si>
    <t>Integration/position topic; no protocol evaluation method or metrics focus.</t>
  </si>
  <si>
    <t>Crypto simulation in embedded; not clearly ICS/industrial protocol evaluation.</t>
  </si>
  <si>
    <t>Routing/multicast networking; not industrial protocol evaluation.</t>
  </si>
  <si>
    <t>Asset modelling/representation; not protocol eval/testbed.</t>
  </si>
  <si>
    <t>MAC scheme design; not protocol evaluation framework/testbed.</t>
  </si>
  <si>
    <t>Honeynet; protocol evaluation focus not visible in title.</t>
  </si>
  <si>
    <t>Attack/evasion paper; not protocol evaluation method/testbed.</t>
  </si>
  <si>
    <t>Fault detection platform; no protocol evaluation framing.</t>
  </si>
  <si>
    <t>Honeynet; no protocol evaluation method/testbed indicated.</t>
  </si>
  <si>
    <t>Platform/ecosystem; not protocol evaluation model/testbed.</t>
  </si>
  <si>
    <t>Attack paper; protocol evaluation not the main goal.</t>
  </si>
  <si>
    <t>Attack identification; not protocol evaluation.</t>
  </si>
  <si>
    <t>Secondary study (SoK/taxonomy), excluded by EC5.</t>
  </si>
  <si>
    <t>Training/CTF blueprint; not protocol evaluation.</t>
  </si>
  <si>
    <t>Secure mechanism proposal; evaluation model/testbed not indicated.</t>
  </si>
  <si>
    <t>Middleware benchmarking; not industrial protocol evaluation.</t>
  </si>
  <si>
    <t>Digital twin testing concept; no protocol evaluation method/testbed.</t>
  </si>
  <si>
    <t>Incident exercise/training; not protocol evaluation.</t>
  </si>
  <si>
    <t>Security mechanism/architecture; no protocol evaluation artifact.</t>
  </si>
  <si>
    <t>General IoT protocol comparison; industrial automation context unclear.</t>
  </si>
  <si>
    <t>Training system; not protocol evaluation.</t>
  </si>
  <si>
    <t>ML/IDS detection; not an evaluation framework/testbed for protocols.</t>
  </si>
  <si>
    <t>Network defense mechanism; protocol evaluation not indicated.</t>
  </si>
  <si>
    <t>Attack method paper; not protocol eval method/testbed.</t>
  </si>
  <si>
    <t>Review paper, excluded by EC5.</t>
  </si>
  <si>
    <t>Smart farming; industrial automation + industrial protocol focus unclear.</t>
  </si>
  <si>
    <t>Cyber range training; not protocol evaluation method/testbed.</t>
  </si>
  <si>
    <t>Hardware/gateway build; not protocol evaluation.</t>
  </si>
  <si>
    <t>Digital twin architecture; no protocol eval method/testbed.</t>
  </si>
  <si>
    <t>TSN scheduling method; not protocol evaluation framework/testbed.</t>
  </si>
  <si>
    <t>Risk analysis method; not protocol evaluation.</t>
  </si>
  <si>
    <t>Education/training; not protocol evaluation.</t>
  </si>
  <si>
    <t>IDS for IoT; no industrial protocol evaluation model/testbed.</t>
  </si>
  <si>
    <t>testbed + datasets paper for cybersecurity/digital forensics, not an evaluation method for industrial information-exchange protocols.</t>
  </si>
  <si>
    <t>ransomware in IIoT networks; nothing suggests protocol evaluation, benchmarking, or a reusable evaluation setup.</t>
  </si>
  <si>
    <t>Security/vulnerability analysis using ML; typically not a protocol evaluation framework/testbed.</t>
  </si>
  <si>
    <t>model development/IDS-style work, not protocol evaluation/testbed work.</t>
  </si>
  <si>
    <t>DDoS mitigation via stochastic modelling; doesn’t signal protocol evaluation setup or benchmarking framework.</t>
  </si>
  <si>
    <t>building an ICS security testbed and simulating attacks, not “experimental or theoretical evaluation of communication protocols” or “improving methods used for such evaluations"</t>
  </si>
  <si>
    <t>protocol benchmarking + experimental results</t>
  </si>
  <si>
    <t>improving protocol security evaluation (black-box fuzzing) and testing multiple ICS protocol programs</t>
  </si>
  <si>
    <t>contribution as a PLC emulator extension + cyber range use for attack/defense experiments, not a conceptual model/testbed whose primary aim is protocol evaluation/benchmarking across protocols or configurations</t>
  </si>
  <si>
    <t>evaluation platform and explicitly supports testing protocol/security configurations and even “comparative security experimentation.”</t>
  </si>
  <si>
    <t>proposes a model/test setup, but not for protocol evaluation (it’s a forensic logging interface + recorder)</t>
  </si>
  <si>
    <t>explicitly includes an experimental evaluation of protocol integration overhead (RTT + message size)</t>
  </si>
  <si>
    <t>honeypot + monitoring framework to study attacker behaviour, not a protocol evaluation/test method</t>
  </si>
  <si>
    <t>performance comparative test of OPC UA vs MQTT in an industrial application</t>
  </si>
  <si>
    <t>Title seems unrelated + Non-English and full-text not available, excluded by EC1 and EC2.</t>
  </si>
  <si>
    <t>Industrial automation + EtherCAT + simulation-based evaluation setup for end-to-end delay</t>
  </si>
  <si>
    <t>Industrial WSN + named industrial protocols + real testbed + KPI performance evaluation</t>
  </si>
  <si>
    <t>Primary goal is designing a new protocol, not evaluating existing protocols / evaluation methods</t>
  </si>
  <si>
    <t>Focus is adding security (signatures) and measuring overhead in one architecture; not a reusable evaluation framework/testbed for protocol comparison</t>
  </si>
  <si>
    <t>IC1</t>
  </si>
  <si>
    <t>IC2</t>
  </si>
  <si>
    <t>IC3</t>
  </si>
  <si>
    <t>IC4</t>
  </si>
  <si>
    <t>Industrial/brownfield IIoT + security testbed aimed at assessment</t>
  </si>
  <si>
    <t>Primary goal is integration/interoperability guidance, not protocol evaluation/benchmarking/testbed</t>
  </si>
  <si>
    <t>Covers industrial IoT use + named protocols + local testbed experiments (and broader experiments) on performance</t>
  </si>
  <si>
    <t>Focus is a gateway integrity protocol (GIP), not industrial information-exchange protocols evaluation/testbeds</t>
  </si>
  <si>
    <t>Industrial process setting + software-based test environment to evaluate protocol performance</t>
  </si>
  <si>
    <t>Industrial automation + OPC UA PubSub/TSN + experimental setup for performance benchmarking</t>
  </si>
  <si>
    <t>Industrial power/IEC 61850 context + MQTT/CoAP + IEC 61850–IIoT test bench</t>
  </si>
  <si>
    <t>Industrial monitoring context + protocol selection + experimental setup built for industrial scenario</t>
  </si>
  <si>
    <t>Primary goal is protocol extension/design, not protocol evaluation framework/testbed</t>
  </si>
  <si>
    <t>OPC UA + comparative performance testing approach for interoperability context</t>
  </si>
  <si>
    <t>Focus is crypto choice for Modbus-TCP encryption (component-level), not a reusable protocol evaluation framework/testbed</t>
  </si>
  <si>
    <t>OT/IIoT + performance/security implications tied to TCP/IP behaviour affecting OT protocols + analysis aimed at evaluating robustness/performance impacts</t>
  </si>
  <si>
    <t>Primary goal is new protocol design for LoRa, not evaluation of existing industrial protocols / evaluation methods for them</t>
  </si>
  <si>
    <t>A Testbed for Evaluating Performance and Cybersecurity Implications of IEC-61850 GOOSE Hardware Implementations</t>
  </si>
  <si>
    <t>M. Boeding; M. Hempel; H. Sharif; J. Lopez; K. Perumalla</t>
  </si>
  <si>
    <t>Electrical and Computer Engineering University of Nebraska-Lincoln, Lincoln, NE; Electrical and Computer Engineering University of Nebraska-Lincoln, Lincoln, NE; Electrical and Computer Engineering University of Nebraska-Lincoln, Lincoln, NE; Oak Ridge National Laboratory Oak, Ridge, TN; Oak Ridge National Laboratory Oak, Ridge, TN</t>
  </si>
  <si>
    <t>2023 IEEE 20th Consumer Communications &amp; Networking Conference (CCNC)</t>
  </si>
  <si>
    <t>The IEC-61850 standard introduced multiple protocols to increase data visibility across various power grid systems. The Generic Object Oriented Substation Events (GOOSE) protocol in particular is designed for bay-level communications, distributing high-priority messages across a power grid through the use of Intelligent Electrical Devices (IEDs). However, the protocol's multicast messaging and time requirements create cybersecurity concerns that can be exploited by a malicious actor. While the literature has examined the protocol's cybersecurity vulnerabilities, there is limited research on the consequences for performance and cybersecurity of the protocol's implementation on physical IEDs. In this paper, we introduce a flexible and practical testbed for GOOSE implementation evaluations performed on different devices, and to enable the demonstration of how different implementations on physical devices aim to mitigate GOOSE's vulnerabilities. We show the results of our testbed generating GOOSE traffic at variable data rates, with varying packet sizes. These results are then compared and verified against an IED with GOOSE protocol functionality to validate protocol generation. While this paper focuses on IEC-61850 GOOSE, the testbed presented herein is not limited to a single protocol, however, and can easily be utilized to expand the evaluation scope to a variety of Operational Technology (OT) communications protocols.</t>
  </si>
  <si>
    <t>2331-9860</t>
  </si>
  <si>
    <t>978-1-6654-9734-3</t>
  </si>
  <si>
    <t>10.1109/CCNC51644.2023.10060534</t>
  </si>
  <si>
    <t>https://ieeexplore.ieee.org/stamp/stamp.jsp?arnumber=10060534</t>
  </si>
  <si>
    <t>ICS;GOOSE;IEC-61850;Cybersecurity;Testbed</t>
  </si>
  <si>
    <t>Performance evaluation;Protocols;Substations;Power grids;Libraries;Hardware;Computer security</t>
  </si>
  <si>
    <t>8-11 Jan. 2023</t>
  </si>
  <si>
    <t>Benchmarking Cloud-Based SCADA System</t>
  </si>
  <si>
    <t>M. Yi; H. Mueller; L. Yu; J. Chuan</t>
  </si>
  <si>
    <t>Siemens, Corporate Technology; Siemens, Corporate Technology; Siemens, Corporate Technology; Siemens, Corporate Technology</t>
  </si>
  <si>
    <t>2017 IEEE International Conference on Cloud Computing Technology and Science (CloudCom)</t>
  </si>
  <si>
    <t>Supervisory Control and Data Acquisition (SCADA) is a typical OT (Operational Technology) system that uses computers, networked data communications and graphical user interface for process supervisory management. SCADA systems are managing industrial processes or mission-critical infrastructure, and most installations are not making use of cloud-based infrastructure. In this paper, we present different scenarios for cloud-based SCADA and a framework for performance evaluation. Based on measurement results in different scenarios, we identify critical design issues, give recommendations how to address them, and demonstrate the general feasibility of cloud-based SCADA systems.</t>
  </si>
  <si>
    <t>2330-2186</t>
  </si>
  <si>
    <t>978-1-5386-0692-6</t>
  </si>
  <si>
    <t>10.1109/CloudCom.2017.25</t>
  </si>
  <si>
    <t>https://ieeexplore.ieee.org/stamp/stamp.jsp?arnumber=8241099</t>
  </si>
  <si>
    <t>cloud computing;SCADA;performance;benchmark;migration</t>
  </si>
  <si>
    <t>SCADA systems;Cloud computing;Servers;Protocols;Performance evaluation;Standards;Monitoring</t>
  </si>
  <si>
    <t>11-14 Dec. 2017</t>
  </si>
  <si>
    <t>Implementing a performant security control for Industrial Ethernet</t>
  </si>
  <si>
    <t>A. Giehl; S. Plaga</t>
  </si>
  <si>
    <t>Fraunhofer AISEC, Garching (near Munich), Germany; Fraunhofer AISEC, Garching (near Munich), Germany</t>
  </si>
  <si>
    <t>2018 International Conference on Signal Processing and Information Security (ICSPIS)</t>
  </si>
  <si>
    <t>Security is an increased concern in smart manufacturing, however, is often met with concerns from operational technology (OT) operators. Performance is paramount in OT communication and, thus, a higher risk is currently deemed acceptable. However, the probability for cyber attacks is rising as recent, successful attacks on factory communication demonstrate. In this work, we present a performant security protocol extension for usage in OT networks. It enables message authentication and data integrity while keeping the protocol overhead within real-time constraints. The protocol extension protects against attacks targeting communication of cyber-physical systems in a smart manufacturing environment. The availability of OT operations facing these attack vectors is, thus, guaranteed.</t>
  </si>
  <si>
    <t>978-1-7281-0257-3</t>
  </si>
  <si>
    <t>10.1109/CSPIS.2018.8642758</t>
  </si>
  <si>
    <t>https://ieeexplore.ieee.org/stamp/stamp.jsp?arnumber=8642758</t>
  </si>
  <si>
    <t>Smart Manufacturing;Security;Industrie 4.0;Powerlink;Message Authentication</t>
  </si>
  <si>
    <t>Security;Protocols;Smart manufacturing;Real-time systems;Ethernet;Manganese</t>
  </si>
  <si>
    <t>7-8 Nov. 2018</t>
  </si>
  <si>
    <t>Passive Device Fingerprinting for OT Networks Using Byte Histograms</t>
  </si>
  <si>
    <t>J. Nunnelee; A. Howe; M. Papa</t>
  </si>
  <si>
    <t>The University of Tulsa, Tulsa, Oklahoma; The University of Tulsa, Tulsa, Oklahoma; The University of Tulsa, Tulsa, Oklahoma</t>
  </si>
  <si>
    <t>2026 IEEE 23rd Consumer Communications &amp; Networking Conference (CCNC)</t>
  </si>
  <si>
    <t>Device fingerprinting is a promising approach for securing Operational Technology (OT) networks by modeling the communication patterns of each device and using them to classify future network activity. This work proposes three byte-based fingerprinting strategies: byte histograms, n-grams, and machine learning models. Operating directly on raw packet bytes, these methods provide granular, protocol-agnostic fingerprints that avoid reliance on deep packet inspection or domain-specific feature engineering. The three strategies balance complementary strengths: byte histograms excel in modeling device-specific behavior, n-grams capture structural dependencies across consecutive bytes, and machine learning models prove most effective for generalizing to different network architectures. Experimental evaluation across two OT network testbeds demonstrates the robust classification performance for three device identification tasks: device-specific, unknown device, and cross-architecture testing. Results show that byte histograms and machine learning techniques achieve highest accuracy depending on the classification scenario, highlighting the practicality and adaptability of byte-level approaches for real-world OT device identification.</t>
  </si>
  <si>
    <t>979-8-3315-9673-6</t>
  </si>
  <si>
    <t>10.1109/CCNC65079.2026.11366557</t>
  </si>
  <si>
    <t>https://ieeexplore.ieee.org/stamp/stamp.jsp?arnumber=11366557</t>
  </si>
  <si>
    <t>Operational Technology;Fingerprinting;Device Classification;Machine Learning</t>
  </si>
  <si>
    <t>Performance evaluation;Histograms;Accuracy;Machine learning;Fingerprint recognition;Network architecture;Topology;Object recognition;Tuning;Testing</t>
  </si>
  <si>
    <t>9-12 Jan. 2026</t>
  </si>
  <si>
    <t>Safety and Security: A Field of Tension in Industrial Practice</t>
  </si>
  <si>
    <t>S. Hollerer; W. Kastner; T. Sauter</t>
  </si>
  <si>
    <t>Institute of Computer Engineering TU Wien, Vienna, Austria; Institute of Computer Engineering TU Wien, Vienna, Austria; Inst. of Computer Technology, TU Wien Integr. Sensor Syst., Danube Univ. Krems</t>
  </si>
  <si>
    <t>The convergence of Information Technology (IT) and Operational Technology (OT) leads to an increasing interdependence between the protection goals of security and safety. A cyber-attack targeting safety functions may in turn lead to hazards endangering people and the environment. Furthermore, misusing safety functions may impact availability by causing a machine or production line to stop working. This work analyzes how Austrian stakeholders of industrial automation enterprises address security and safety risks to mitigate undesired situations. The stakeholder analysis performed considers vendors of products or components, integrators, and asset owners of industrial systems. Secure infrastructures, system architectures, and risk management are subject areas of this analysis. The analysis was conducted in two phases. First, an online survey was created where the involved stakeholder offered their answer simultaneously. Considering the results of the survey, individual stakeholder workshops were carried out to obtain additional, more specific perceptions about the stakeholder’s OT system and components with respect to security and safety considerations. The obtained results provide insights into the current practices in the industry regarding safety and security.</t>
  </si>
  <si>
    <t>10.1109/INDIN51400.2023.10217900</t>
  </si>
  <si>
    <t>https://ieeexplore.ieee.org/stamp/stamp.jsp?arnumber=10217900</t>
  </si>
  <si>
    <t>OT Security;Safety;IT/OT convergence;Industry 4.0</t>
  </si>
  <si>
    <t>Surveys;Industries;Threat modeling;Automation;Ontologies;Safety;Security</t>
  </si>
  <si>
    <t>The importance of testing Smart Grid IEDs against security vulnerabilities</t>
  </si>
  <si>
    <t>P. E. Weerathunga; A. Cioraca</t>
  </si>
  <si>
    <t>General Electric Grid Solutions, Canada; General Electric Grid Solutions, Canada</t>
  </si>
  <si>
    <t>2016 69th Annual Conference for Protective Relay Engineers (CPRE)</t>
  </si>
  <si>
    <t>As the Smart Grid becomes highly interconnected, the power protection, control, and monitoring functions of the grid are increasingly relying on the communications infrastructure, which has seen rapid growth. At the same time concerns regarding cyber threats have attracted significant attention towards the security of power systems. A properly designed security attack against the power grid can cause catastrophic damages to equipment and create large scale power outages. The smart grid consists of critical IEDs, which are considered high priority targets for malicious security attacks. For this reason it is very important to design the IEDs from the beginning with cyber security in mind, starting with the selection of hardware and operating systems, so that all facets of security are addressed and the product is robust and can stand attacks. Fact is that the subject of cyber security is vast and it covers many aspects. This paper focuses mainly on one of these aspects, namely the aspect of IED firmware system testing from the security point of view. The paper discusses practical aspects of IED security testing, and introduces the reader to types of vulnerability exploitations on the IED communication stack and SCADA applications, practical aspects of security testing, the importance of early vulnerability detection and ways in which the security testing helps towards regulatory standards compliance, such as NERC-CIP. Finally, based on the results from the simulated attacks, the paper discusses the importance of good security practices in design and coding, so that the potential to introduce vulnerabilities is kept to a minimum. Designing with security in mind also includes good security practices, both in design and coding, and adequate policies for the software development process. Critical software development milestones must be established, such as design and test documentation review, code review, unit, integration and system testing.</t>
  </si>
  <si>
    <t>2474-9753</t>
  </si>
  <si>
    <t>978-1-5090-1532-0</t>
  </si>
  <si>
    <t>10.1109/CPRE.2016.7914920</t>
  </si>
  <si>
    <t>https://ieeexplore.ieee.org/stamp/stamp.jsp?arnumber=7914920</t>
  </si>
  <si>
    <t>IED = Intelligent Electronic Device;OT = Operational Technology;TCP/IP = Transmission Control Protocol/Internet Protocol;IT = Information Technology;CVE = Common Vulnerabilities and Exposures;CPU = Central Processing Unit;OSI = Open System Interconnect;UDP = User Datagram Protocol;DNP = Distributed Network Protocol;IP = Internet Protocol;MAC = Media Access Control;MTU = Maximum Transmission Unit</t>
  </si>
  <si>
    <t>Protocols;Software;Computer security;System testing;Encoding</t>
  </si>
  <si>
    <t>4-7 April 2016</t>
  </si>
  <si>
    <t>Virtual PLC in Industrial Edge Platform: Performance Evaluation of Supervision and Control Communication</t>
  </si>
  <si>
    <t>M. Gaffurini; P. Bellagente; A. Depari; A. Flammini; E. Sisinni; P. Ferrari</t>
  </si>
  <si>
    <t>Department of Information Engineering, University of Brescia, Brescia, Italy; Department of Information Engineering, University of Brescia, Brescia, Italy; Department of Information Engineering, University of Brescia, Brescia, Italy; Department of Information Engineering, University of Brescia, Brescia, Italy; Department of Information Engineering, University of Brescia, Brescia, Italy; Department of Information Engineering, University of Brescia, Brescia, Italy</t>
  </si>
  <si>
    <t>IEEE Transactions on Instrumentation and Measurement</t>
  </si>
  <si>
    <t>Edge computing allows for data processing at reduced latency since the computational power is moved close to the data sources. Traditionally, edge computing has been often used in industrial scenarios for implementing gateways between the operational technology (OT) world and the IT (cloud) world. Recently, big manufacturers of industrial programmable logic controller (PLC) started promoting the use of containerized virtual PLC (vPLC) hosted inside edge computing platforms. They foresee an innovative integration of container based applications, including automation control, with all the data-centric services and applications already available for edge ecosystems. Even if a clear advantage from the scalability and maintainability could be expected, would vPLCs meet the stringent requirements of industrial automation? This article is part of a multistage research work, and as a first step, it is focused on the evaluation of the performance of vPLC when exchanging data with other machines, controllers, supervisors, and data acquisition systems in a machine-to-machine (M2M) scenario. After a brief overview of the involved technology, the design of a methodology for comparing real PLC and vPLC is described. Then, performance metrics, and an experimental setup for the evaluation of existing devices are defined taking care of the sources of uncertainty. The effectiveness of the proposed methodology is demonstrated by considering a real use case. Through the use of the suggested methodology, important insights into the use case are revealed: for instance, the considered vPLC could work as fast as a real PLC with minimum communication latency in the order of 3 ms but, currently, there is a random delay with an average of 50 ms whose source has been identified to be the IP stack implementation of the vPLC. Finally, the proposed methodology allows for the creation and validation of analytical models of the use case.</t>
  </si>
  <si>
    <t>1557-9662</t>
  </si>
  <si>
    <t>10.1109/TIM.2024.3370746</t>
  </si>
  <si>
    <t xml:space="preserve">Next-GenerationEU (Italian Piano nazionale ripresa resilienza (PNRR)—M4 C2, Invest 1.3—D.D. 1551.11-10-2022)(grant numbers:PE00000004); </t>
  </si>
  <si>
    <t>https://ieeexplore.ieee.org/stamp/stamp.jsp?arnumber=10449455</t>
  </si>
  <si>
    <t>Container based virtualization;controller to controller (C2C);machine-to-machine (M2M);programmable logic controller (PLC);supervisory control;and data acquisition (SCADA)</t>
  </si>
  <si>
    <t>Virtualization;Automation;Hardware;Containers;Computer architecture;Machine-to-machine communications;Real-time systems</t>
  </si>
  <si>
    <t>(IIoT OR "industrial iot" OR "industrial internet of things" OR "operational technology" OR "Industrial Control System" OR "Industrial Control Systems" OR "Industrial Automation System" OR "Industrial Automation Systems" OR "Industrial Automation and Control System" OR "Industrial Automation and Control Systems") AND ("information‑exchange protocol" OR "information‑exchange protocols" OR "communication protocol" OR "communication protocols" OR "industrial protocol" OR "industrial protocols") AND (("performance" OR "security") NEAR/3 (evaluat* OR test* OR assess* OR compar* OR benchmark*)) AND ("conceptual model" OR "conceptual framework" OR "reference model" OR "domain model" OR "information model" OR metamodel OR ontology OR "reference architecture" OR "architecture description" OR testbed OR "test bench" OR testbench OR "experimental setup" OR "test harness" OR benchmarking OR benchmark* OR emulat* OR simulat* OR prototype OR "reference implementation" OR "software setup" OR "hardware setup")</t>
  </si>
  <si>
    <t>https://ieeexplore-ieee-org.ep.bib.mdh.se/search/searchresult.jsp?action=search&amp;matchBoolean=true&amp;queryText=((IIoT%20OR%20%22industrial%20iot%22%20OR%20%22industrial%20internet%20of%20things%22%20OR%20%22operational%20technology%22%20OR%20%22Industrial%20Control%20System%22%20OR%20%22Industrial%20Control%20Systems%22%20OR%20%22Industrial%20Automation%20System%22%20OR%20%22Industrial%20Automation%20Systems%22%20OR%20%22Industrial%20Automation%20and%20Control%20System%22%20OR%20%22Industrial%20Automation%20and%20Control%20Systems%22)%20AND%20(%22information%E2%80%91exchange%20protocol%22%20OR%20%22information%E2%80%91exchange%20protocols%22%20OR%20%22communication%20protocol%22%20OR%20%22communication%20protocols%22%20OR%20%22industrial%20protocol%22%20OR%20%22industrial%20protocols%22)%20AND%20((%22performance%22%20OR%20%22security%22)%20NEAR%2F3%20(evaluat*%20OR%20test*%20OR%20assess*%20OR%20compar*%20OR%20benchmark*))%20AND%20(%22conceptual%20model%22%20OR%20%22conceptual%20framework%22%20OR%20%22reference%20model%22%20OR%20%22domain%20model%22%20OR%20%22information%20model%22%20OR%20metamodel%20OR%20ontology%20OR%20%22reference%20architecture%22%20OR%20%22architecture%20description%22%20OR%20testbed%20OR%20%22test%20bench%22%20OR%20testbench%20OR%20%22experimental%20setup%22%20OR%20%22test%20harness%22%20OR%20benchmarking%20OR%20benchmark*%20OR%20emulat*%20OR%20simulat*%20OR%20prototype%20OR%20%22reference%20implementation%22%20OR%20%22software%20setup%22%20OR%20%22hardware%20setup%22))&amp;highlight=true&amp;returnFacets=ALL&amp;returnType=SEARCH&amp;matchPubs=true&amp;ranges=2016_2026_Year</t>
  </si>
  <si>
    <t>( TITLE-ABS-KEY ( ( IIoT OR "industrial iot" OR "industrial internet of things" OR "operational technology" OR "Industrial Control System" OR "Industrial Control Systems" OR "Industrial Automation System" OR "Industrial Automation Systems" OR "Industrial Automation and Control System" OR "Industrial Automation and Control Systems" ) ) AND TITLE-ABS-KEY ( ( "information‑exchange protocol" OR "information‑exchange protocols" OR "communication protocol" OR "communication protocols" OR "industrial protocol" OR "industrial protocols" ) ) AND TITLE-ABS-KEY ( ( ( performance OR security ) W/3 ( evaluat* OR test* OR assess* OR compar* OR benchmark* ) ) ) AND TITLE-ABS-KEY ( ( "conceptual model" OR "conceptual framework" OR "reference model" OR "domain model" OR "information model" OR metamodel OR ontology OR "reference architecture" OR "architecture description" OR testbed OR "test bench" OR testbench OR "experimental setup" OR "test harness" OR benchmarking OR benchmark* OR emulat* OR simulat* OR prototype OR "reference implementation" OR "software setup" OR "hardware setup" ) ) ) AND PUBYEAR &gt; 2015 AND PUBYEAR &lt; 2026 AND ( LIMIT-TO ( DOCTYPE , "cp" ) OR LIMIT-TO ( DOCTYPE , "ar" ) )</t>
  </si>
  <si>
    <t>https://www-scopus-com.ep.bib.mdh.se/results/results.uri?sort=plf-f&amp;src=s&amp;sid=1349b548233cfe23a0b5a21aaad2b518&amp;sot=a&amp;sdt=a&amp;cluster=scosubtype%2C%22cp%22%2Ct%2C%22ar%22%2Ct&amp;sl=1146&amp;s=%28+TITLE-ABS-KEY+%28+%28+IIoT+OR+%22industrial+iot%22+OR+%22industrial+internet+of+things%22+OR+%22operational+technology%22+OR+%22Industrial+Control+System%22+OR+%22Industrial+Control+Systems%22+OR+%22Industrial+Automation+System%22+OR+%22Industrial+Automation+Systems%22+OR+%22Industrial+Automation+and+Control+System%22+OR+%22Industrial+Automation+and+Control+Systems%22+%29+%29+AND+TITLE-ABS-KEY+%28+%28+%22information%26%238209%3Bexchange+protocol%22+OR+%22information%26%238209%3Bexchange+protocols%22+OR+%22communication+protocol%22+OR+%22communication+protocols%22+OR+%22industrial+protocol%22+OR+%22industrial+protocols%22+%29+%29+AND+TITLE-ABS-KEY+%28+%28+%28+performance+OR+security+%29+W%2F3+%28+evaluat*+OR+test*+OR+assess*+OR+compar*+OR+benchmark*+%29+%29+%29+AND+TITLE-ABS-KEY+%28+%28+%22conceptual+model%22+OR+%22conceptual+framework%22+OR+%22reference+model%22+OR+%22domain+model%22+OR+%22information+model%22+OR+metamodel+OR+ontology+OR+%22reference+architecture%22+OR+%22architecture+description%22+OR+testbed+OR+%22test+bench%22+OR+testbench+OR+%22experimental+setup%22+OR+%22test+harness%22+OR+benchmarking+OR+benchmark*+OR+emulat*+OR+simulat*+OR+prototype+OR+%22reference+implementation%22+OR+%22software+setup%22+OR+%22hardware+setup%22+%29+%29+%29+AND+PUBYEAR+%26gt%3B+2015+AND+PUBYEAR+%26lt%3B+2026&amp;origin=searchadvanced&amp;editSaveSearch=&amp;txGid=766958fa8566bdc9fd88f0e955088426&amp;sessionSearchId=1349b548233cfe23a0b5a21aaad2b518&amp;limit=10</t>
  </si>
  <si>
    <t>Boeding, M.; Hempel, M.; Sharif, H.; Lopez, J.; Perumalla, K.</t>
  </si>
  <si>
    <t>Boeding, Matthew (57983176400); Hempel, Michael (13613793400); Sharif, Hamid R. (57203073528); Lopez, Juan (57199358902); Perumalla, Kalyan S. (6701668733)</t>
  </si>
  <si>
    <t>57983176400; 13613793400; 57203073528; 57199358902; 6701668733</t>
  </si>
  <si>
    <t>Proceedings - IEEE Consumer Communications and Networking Conference, CCNC</t>
  </si>
  <si>
    <t>https://www.scopus.com/inward/record.uri?eid=2-s2.0-85150650255&amp;doi=10.1109%2FCCNC51644.2023.10060534&amp;partnerID=40&amp;md5=ac165edb39cce0195fe2bb8694d33949</t>
  </si>
  <si>
    <t>The IEC-61850 standard introduced multiple protocols to increase data visibility across various power grid systems. The Generic Object Oriented Substation Events (GOOSE) protocol in particular is designed for bay-level communications, distributing high-priority messages across a power grid through the use of Intelligent Electrical Devices (IEDs). However, the protocol's multicast messaging and time requirements create cybersecurity concerns that can be exploited by a malicious actor. While the literature has examined the protocol's cybersecurity vulnerabilities, there is limited research on the consequences for performance and cybersecurity of the protocol's implementation on physical IEDs. In this paper, we introduce a flexible and practical testbed for GOOSE implementation evaluations performed on different devices, and to enable the demonstration of how different implementations on physical devices aim to mitigate GOOSE's vulnerabilities. We show the results of our testbed generating GOOSE traffic at variable data rates, with varying packet sizes. These results are then compared and verified against an IED with GOOSE protocol functionality to validate protocol generation. While this paper focuses on IEC-61850 GOOSE, the testbed presented herein is not limited to a single protocol, however, and can easily be utilized to expand the evaluation scope to a variety of Operational Technology (OT) communications protocols. © 2023 IEEE.</t>
  </si>
  <si>
    <t>2-s2.0-85150650255</t>
  </si>
  <si>
    <t>Valme, R.; Beauchaine, A.; Tanaka, M.; Lamb, C.</t>
  </si>
  <si>
    <t>Valme, Romuald (58000275400); Beauchaine, Adam J. (57331597100); Tanaka, Minami (60198425700); Lamb, Christopher C. (49361719900)</t>
  </si>
  <si>
    <t>58000275400; 57331597100; 60198425700; 49361719900</t>
  </si>
  <si>
    <t>Integrity Enhancing Protocols: Performance and Recommendations for Nuclear Systems</t>
  </si>
  <si>
    <t>Proceedings of Nuclear Plant Instrumentation and Control and Human-Machine Interface Technology, NPIC and HMIT 2025</t>
  </si>
  <si>
    <t>10.13182/NPICHMIT25-47006</t>
  </si>
  <si>
    <t>https://www.scopus.com/inward/record.uri?eid=2-s2.0-105022112681&amp;doi=10.13182%2FNPICHMIT25-47006&amp;partnerID=40&amp;md5=f0affa9fb5cf949caab5583c06606b71</t>
  </si>
  <si>
    <t>In today's communication landscape there are multiple technologies and protocols used for communication between end devices. Within security paradigms for these protocols, integrity management is a common goal of system designers. Communication protocols focused on maintaining message integrity can provide assurance that some received data has not been altered or tampered with. While integrity is often coupled with confidentiality in protocol design, this analysis focuses on an evaluation of only integrity protocols. This work outlines various ways message integrity may be preserved with respect to high performance operational technology (OT) systems. It describes a series of experiments and an evaluation framework used to evaluate the performance of the identified integrity approaches regarding common system design goals. Finally, it addresses the testing environment utilized and closes the work with a summary of experimental results. © 2025 AMERICAN NUCLEAR SOCIETY, INCORPORATED, WESTMONT, ILLINOIS 60559.</t>
  </si>
  <si>
    <t>American Nuclear Society</t>
  </si>
  <si>
    <t>2-s2.0-105022112681</t>
  </si>
  <si>
    <t>TS=((IIoT OR "industrial iot" OR "industrial internet of things" OR "operational technology" OR "industrial control system" OR "industrial control systems" OR "industrial automation system" OR "industrial automation systems" OR "industrial automation and control system" OR "industrial automation and control systems") AND ("information exchange protocol" OR "information exchange protocols" OR "communication protocol" OR "communication protocols" OR "industrial protocol" OR "industrial protocols") AND ((performance OR security) NEAR/3 (evaluat* OR test* OR assess* OR compar* OR benchmark*)) AND ("conceptual model" OR "conceptual framework" OR "reference model" OR "domain model" OR "information model" OR metamodel OR ontology OR "reference architecture" OR "architecture description" OR testbed OR "test bench" OR testbench OR "experimental setup" OR "test harness" OR benchmarking OR benchmark* OR emulat* OR simulat* OR prototype OR "reference implementation" OR "software setup" OR "hardware setup") )</t>
  </si>
  <si>
    <t>https://www.webofscience.com/wos/woscc/summary/20f4f276-9994-4d06-9ec7-00cb6cdb4fbd-019ec4b417/relevance/1</t>
  </si>
  <si>
    <t>Pospisil, Ondrej; Fujdiak, Radek</t>
  </si>
  <si>
    <t>Identification of industrial devices based on payload</t>
  </si>
  <si>
    <t>https://doi-org.ep.bib.mdh.se/10.1145/3664476.3670462</t>
  </si>
  <si>
    <t>10.1145/3664476.3670462</t>
  </si>
  <si>
    <t>Identification of industrial devices based on their behavior in network communication is important from a cybersecurity perspective in two areas: attack prevention and digital forensics. In both areas, device identification falls under asset management or asset tracking. Due to the impact of active scanning on these networks, particularly in terms of latency, it is important to use passive scanning in industrial networks. For passive identification, statistical learning algorithms are nowadays the most appropriate. The aim of this paper is to demonstrate the potential for passive identification of PLC devices using statistical learning based on network communication, specifically the payload of the packet. Individual statistical parameters from 15 minutes of traffic based on payload entropy were used to create the features. Three scenarios were performed and the XGBoost algorithm was used for evaluation. In the best scenario, the model achieved an accuracy score of 83\% to identify individual devices.</t>
  </si>
  <si>
    <t>ICS, Identification, ML, OT, PLC, XGBoost</t>
  </si>
  <si>
    <t>Testbed + a industrial protocol (GOOSE) + performance + cybersecurity</t>
  </si>
  <si>
    <t>OT/ICS security topic related to device fingerpritning, not protocol evaluation</t>
  </si>
  <si>
    <t>Conceptual safety-security discussion, not related to prtocol evaluation/testbed</t>
  </si>
  <si>
    <t>Title does not indicate protocol evaluation, likely vulnerbility related rather than protocol assessment</t>
  </si>
  <si>
    <t>Industrial network device identification, not related to protocol evaluation</t>
  </si>
  <si>
    <t>Main contribution is a methodology + metrics + experimental procedure to evaluate communication performance (real PLC vs containerized vPLC) using an actual industrial protocol transaction (S7comm GET request/response) and measured latencies</t>
  </si>
  <si>
    <t>Includes a benchmarking framework for performance with measurement results and recommendations</t>
  </si>
  <si>
    <t>primary objective is to propose a flexible testbed and use it to evaluate IEC‑61850 GOOSE implementations under DoS/Replay/FDIA, including performance measurements (traffic rates, saturation) and security implications.</t>
  </si>
  <si>
    <t>experimentally evaluates protocol behavior (Modbus TCP vs. IEC 60870‑5‑101) under different scenarios and introduces a benchmark framework (i.e., a method/testbed to evaluate such protocols). While the broader aim is cloud‑SCADA performance, protocol comparison and evaluation methodology are central.</t>
  </si>
  <si>
    <t>primary objective is the experimental evaluation of protocol‑level supervision communication (S7comm) between PLCs/vPLCs and the proposal of a reusable evaluation methodology/metrics</t>
  </si>
  <si>
    <t>Experiments and an evalauation framework, while protocol focused. However, fulltext is not available.</t>
  </si>
  <si>
    <t>10.1145/2663716.2663755</t>
  </si>
  <si>
    <t>10.1109/ains.2017.8270432</t>
  </si>
  <si>
    <t>10.1109/surv.2012.0601112.00185</t>
  </si>
  <si>
    <t>Milajerdi, Sadegh M.; Eshete, Birhanu; Gjomemo, Rigel; Venkatakrishnan, V. N.</t>
  </si>
  <si>
    <t>CCS - POIROT: Aligning Attack Behavior with Kernel Audit Records for Cyber Threat Hunting</t>
  </si>
  <si>
    <t>https://doi.org/10.1145/3319535.3363217</t>
  </si>
  <si>
    <t>10.1145/3319535.3363217</t>
  </si>
  <si>
    <t>Cyber threat intelligence (CTI) is being used to search for indicators of attacks that might have compromised an enterprise network for a long time without being discovered. To have a more effective analysis, CTI open standards have incorporated descriptive relationships showing how the indicators or observables are related to each other. However, these relationships are either completely overlooked in information gathering or not used for threat hunting. In this paper, we propose a system, called POIROT, which uses these correlations to uncover the steps of a successful attack campaign. We use kernel audits as a reliable source that covers all causal relations and information flows among system entities and model threat hunting as an inexact graph pattern matching problem. Our technical approach is based on a novel similarity metric which assesses an alignment between a query graph constructed out of CTI correlations and a provenance graph constructed out of kernel audit log records. We evaluate POIROT on publicly released real-world incident reports as well as reports of an adversarial engagement designed by DARPA, including ten distinct attack campaigns against different OS platforms such as Linux, FreeBSD, and Windows. Our evaluation results show that POIROT is capable of searching inside graphs containing millions of nodes and pinpoint the attacks in a few minutes, and the results serve to illustrate that CTI correlations could be used as robust and reliable artifacts for threat hunting.</t>
  </si>
  <si>
    <t>Mallik, Avijit; Ahsan, Abid; Shahadat, Mhia Md. Zaglul; Tsou, Jia-Chi</t>
  </si>
  <si>
    <t>Man-in-the-middle-attack: Understanding in simple words</t>
  </si>
  <si>
    <t>https://doi.org/10.5267/j.ijdns.2019.1.001</t>
  </si>
  <si>
    <t>10.5267/j.ijdns.2019.1.001</t>
  </si>
  <si>
    <t>These days cyberattack is a serious criminal offense and it is a hotly debated issue moreover. A man-in-the-middle-attack is a kind of cyberattack where an unapproved outsider enters into an online correspondence between two users, remains escaped the two parties. The malware that is in the middle-attack often monitors and changes individual/classified information that was just realized by the two users. A man-in-the-middle-attack as a protocol is subjected to an outsider inside the system, which can access, read and change secret information without keeping any tress of manipulation. This issue is intense, and most of the cryptographic systems without having a decent authentication security are threatened to be hacked by the malware named 'men-in-themiddle-attack' (MITM/MIM). This paper essentially includes the view of understanding the term of 'men-in-the-middle-attack'; the current work is mainly emphasized to accumulate related data/information in a single article so that it can be a reference to conduct research further on this topic at college/undergraduate level. This paper likewise audits most cited research and survey articles on 'man-in-the-middle-attack' recorded on 'Google Scholar'. The motivation behind this paper is to help the readers for understanding and familiarizing the topic 'man-in-the-middle attack'.</t>
  </si>
  <si>
    <t>Xiao, Feng; Chen, Enhong; Xu, Qiang</t>
  </si>
  <si>
    <t>ICICS - S7commTrace: A High Interactive Honeypot for Industrial Control System Based on S7 Protocol</t>
  </si>
  <si>
    <t>https://doi.org/10.1007/978-3-319-89500-0_36</t>
  </si>
  <si>
    <t>10.1007/978-3-319-89500-0_36</t>
  </si>
  <si>
    <t>Intensively happened cyber-attacks against industrial control system pose a serious threat to the critical national infrastructure. It is significant to capture the detection and the attacking data for industrial control system by means of honeypot technology, as it provides the ability of situation awareness to reveal potential attackers and their motivations before a fatal attack happens. We develop a high interactive honeypot for industrial control system-S7commTrace, based on Siemens’ S7 protocol. S7commTrace supports more function codes and sub-function codes in protocol simulation, and improves the depth of interaction with the attacker to induce more high-level attacks effectively. A series of comparative experiments is carried out between S7commTrace and Conpot, by deploying these two kinds of honeypots under the same circumstance in four countries. Data captured by these two kinds of honeypots is analyzed respectively in four dimensions, which are query results in Shodan, count of data and valid data, coverage of function code and diversity of source IP address. Experiment results show that S7commTrace has better performance over Conpot.</t>
  </si>
  <si>
    <t>Cavalieri, Salvatore; Cantali, Giulio; Susinna, Andrea</t>
  </si>
  <si>
    <t>Integration of IoT Technologies into the Smart Grid.</t>
  </si>
  <si>
    <t>https://doi.org/10.3390/s22072475</t>
  </si>
  <si>
    <t>10.3390/s22072475</t>
  </si>
  <si>
    <t>This paper presents a novel solution in the field of the integration of the Smart Grid and the Internet of Things. The definition of a web platform able to offer a RESTful interface to IEC 61850 Servers to a generic user is proposed. The web platform enables the mapping of information maintained by an IEC 61850 Server into MQTT messages. Suitable mechanisms to introduce interoperable exchange of information were defined. The paper presents the main features offered by the proposed platform. The originality of the proposal is highlighted by comparing it with the current literature. A prototype was realized, and the software implementation choices are described and the main results of its evaluation are presented.</t>
  </si>
  <si>
    <t>10.5220/0006288106830693</t>
  </si>
  <si>
    <t>NA</t>
  </si>
  <si>
    <t>Seoane, Victor; García-Rubio, Carlos; Almenares, Florina; Campo, Celeste</t>
  </si>
  <si>
    <t>Performance evaluation of CoAP and MQTT with security support for IoT environments</t>
  </si>
  <si>
    <t>https://doi.org/10.1016/j.comnet.2021.108338</t>
  </si>
  <si>
    <t>10.1016/j.comnet.2021.108338</t>
  </si>
  <si>
    <t>Abstract World is living an overwhelming explosion of smart devices: electronic gadgets, appliances, meters, cars, sensors, camera and even traffic lights, that are connected to the Internet to extend their capabilities, constituting what is known as Internet of Things (IoT). In these environments, the application layer is decisive for the quality of the connection, which has dependencies to the transport layer, mainly when secure communications are used. This paper analyses the performance offered by these two most popular protocols for the application layer: Constrained Application Protocol (CoAP) and Message Queue Telemetry Transport (MQTT). This analysis aims to examine the features and capabilities of the two protocols and to determine their feasibility to operate under constrained devices taking into account security support and diverse network conditions, unlike the previous works. Since IoT devices typically show battery constraints, the analysis is focused on bandwidth and CPU use, using realistic network scenarios, since this use translates to power consumption.</t>
  </si>
  <si>
    <t>Al-Yami, Abdullah; Abu-Al-Saud, Wajih; Shahzad, Farrukh</t>
  </si>
  <si>
    <t>INFOCOM Workshops - Simulation of Industrial Wireless Sensor Network (IWSN) protocols</t>
  </si>
  <si>
    <t>https://doi.org/10.1109/infcomw.2016.7562133</t>
  </si>
  <si>
    <t>10.1109/infcomw.2016.7562133</t>
  </si>
  <si>
    <t>Industrial Wireless Sensor Networks (IWSN) are preferred over bulky wired networks in industrial monitoring and automation. These sensors are used to access locations, which are technically unreachable. The use of IWSN not only reduced the cost of automation systems but also played a significant role in alarm management by real time data transfer. ZigBee and WirelessHART are already deployed protocols for IWSN. ISA100.11a developed by International Society of Automation was specially designed for IWSN. The main features of this standard are low power consumption, real time fast data transfer, scalability, security, reliability, coexistence with other network architectures and robustness in harsh industrial environments. To achieve these features, these protocols use layer structure, which provides security, fast and reliable data transfer. IEEE 802.15.4 is used at its physical layer with variable data slots. This paper presents the results of the simulation of ZigBee, WirelessHART and ISA100 done on Pymote framework, which is extended by one of the authors, and Castalia. This paper compares and discusses the simulated results obtained from all three protocols.</t>
  </si>
  <si>
    <t>Gaj, Piotr; Jasperneite, Jurgen; Felser, Max</t>
  </si>
  <si>
    <t>Computer Communication Within Industrial Distributed Environment—a Survey</t>
  </si>
  <si>
    <t>https://doi.org/10.1109/tii.2012.2209668</t>
  </si>
  <si>
    <t>10.1109/tii.2012.2209668</t>
  </si>
  <si>
    <t>Nowadays, computer systems are presented in almost all types of human activity and they support any kind of industry as well. Most of these systems are distributed where the communication between nodes is based on computer networks of any kind. Connectivity between system components is the key issue when designing distributed systems, especially systems of industrial informatics. The industrial area requires a wide range of computer communication means, particularly time-constrained and safety-enhancing ones. From fieldbus and industrial Ethernet technologies through wireless and internet-working solutions to standardization issues, there are many aspects of computer networks uses and many interesting research domains. Lots of them are quite sophisticated or even unique. The main goal of this paper is to present the survey of the latest trends in the communication domain of industrial distributed systems and to emphasize important questions as dependability, and standardization. Finally, the general assessment and estimation of the future development is provided. The presentation is based on the abstract description of dataflow within a system.</t>
  </si>
  <si>
    <t>Campos, José Creissac; Machado, José; Seabra, Eurico</t>
  </si>
  <si>
    <t>Property Patterns for the Formal Verification of Automated Production Systemsstar</t>
  </si>
  <si>
    <t>https://doi.org/10.3182/20080706-5-kr-1001.00858</t>
  </si>
  <si>
    <t>10.3182/20080706-5-kr-1001.00858</t>
  </si>
  <si>
    <t>Borangiu, Theodor; Trentesaux, Damien; Thomas, André; Leitão, Paulo; Barata, Jose</t>
  </si>
  <si>
    <t>Digital transformation of manufacturing through cloud services and resource virtualization</t>
  </si>
  <si>
    <t>https://doi.org/10.1016/j.compind.2019.01.006</t>
  </si>
  <si>
    <t>10.1016/j.compind.2019.01.006</t>
  </si>
  <si>
    <t>Adjih, Cedric; Baccelli, Emmanuel; Fleury, Eric; Harter, Gaetan; Mitton, Nathalie; Noel, Thomas; Pissard-Gibollet, Roger; Saint-Marcel, Frederic; Schreiner, Guillaume; Vandaele, Julien; Watteyne, Thomas</t>
  </si>
  <si>
    <t>WF-IoT - FIT IoT-LAB: A large scale open experimental IoT testbed</t>
  </si>
  <si>
    <t>https://doi.org/10.1109/wf-iot.2015.7389098</t>
  </si>
  <si>
    <t>10.1109/wf-iot.2015.7389098</t>
  </si>
  <si>
    <t>This paper introduces the FIT IoT-LAB testbed, an open testbed composed of 2728 low-power wireless nodes and 117 mobile robots available for experimenting with large-scale wireless IoT technologies, ranging from low-level protocols to advanced Internet services. IoT-LAB is built to accelerate the development of tomorrow's IoT technology by offering an accurate open-access and open-source multi-user scientific tool. The IoT-LAB testbed is deployed in 6 sites across France. Each site features different node and hardware capabilities, but all sites are interconnected and available through the same web portal, common REST interfaces and consistent CLI tools. The result is a heterogeneous testing environment, which covers a large spectrum of IoT use cases and applications. IoT-LAB is a one-of-a-kind facility, allowing anyone to test their solution at scale, experiment and fine-tune new networking concept.</t>
  </si>
  <si>
    <t>Goldschmidt, Thomas; Hauck-Stattelmann, Stefan; Malakuti, Somayeh; Grüner, Sten</t>
  </si>
  <si>
    <t>Container-based architecture for flexible industrial control applications</t>
  </si>
  <si>
    <t>https://doi.org/10.1016/j.sysarc.2018.03.002</t>
  </si>
  <si>
    <t>10.1016/j.sysarc.2018.03.002</t>
  </si>
  <si>
    <t>Elamanov, Sherzod; Son, Hyeonseo; Flynn, Bob; Yoo, Seong Ki; Dilshad, Naqqash; Song, JaeSeung</t>
  </si>
  <si>
    <t>Interworking between Modbus and internet of things platform for industrial services</t>
  </si>
  <si>
    <t>https://doi.org/10.1016/j.dcan.2022.09.013</t>
  </si>
  <si>
    <t>10.1016/j.dcan.2022.09.013</t>
  </si>
  <si>
    <t>In the era of rapid development of Internet of Things (IoT), numerous machine-to-machine technologies have been applied to the industrial domain. Due to the divergence of IoT solutions, the industry is faced with a need to apply various technologies for automation and control. This fact leads to a demand for an establishing interworking mechanism which would allow smooth interoperability between heterogeneous devices. One of the major protocols widely used today in industrial electronic devices is Modbus. However, data generated by Modbus devices cannot be understood by IoT applications using different protocols, so it should be applied in a couple with an IoT service layer platform. oneM2M, a global IoT standard, can play the role of interconnecting various protocols, as it provides flexible tools suitable for building an interworking framework for industrial services. Therefore, in this paper, we propose an interworking architecture between devices working on the Modbus protocol and an IoT platform implemented based on oneM2M standards. In the proposed architecture, we introduce the way to model Modbus data as oneM2M resources, rules to map them to each other, procedures required to establish interoperable communication, and optimization methods for this architecture. We analyze our solution and provide an evaluation by implementing it based on a solar power management use case. The results demonstrate that our model is feasible and can be applied to real case scenarios.</t>
  </si>
  <si>
    <t>Alrashide, Abdulmueen; Abdelrahman, Mahmoud S.; Kharchouf, Ibtissam; Mohammed, Osama A.</t>
  </si>
  <si>
    <t>GNS3 Communication Network Emulation for Substation GOOSE Based Protection Schemes</t>
  </si>
  <si>
    <t>https://doi.org/10.1109/eeeic/icpseurope54979.2022.9854689</t>
  </si>
  <si>
    <t>10.1109/eeeic/icpseurope54979.2022.9854689</t>
  </si>
  <si>
    <t>This paper presents a communication network model used to study the impact of the communication layer on smart grid protection schemes. Communication failure due to hardware malfunction or cyber-attack could lead to major impacts on the smart grid. Some critical devices require real-time data or close to real-time to make the right decision at the right time and keep the system in a stable zone, such as a protection relay. Active man in the middle attack adds additional latency to the packet delivery. A false data injection attack could drive the system to an unstable point, eventually leading to a blackout. This paper designed and implemented communication emulation model for a local area network on the FIU smart grid testbed. Two cases were tested in the developed communication model. In the first case, two physical raspberry pi boards were used to represent two nodes in the smart grid and one traffic generated within the virtual network. In the second case, five ABB Protection Relays and COM600 substation automation devices were connected to GNS3. The two cases showed that GNS3 could be used to emulate the communications network and study the impact of the network performance on the real-world substation environment.</t>
  </si>
  <si>
    <t>Bacco, Manlio; Colucci, Marco; Gotta, Alberto</t>
  </si>
  <si>
    <t>ICC - Application protocols enabling internet of remote things via random access satellite channels</t>
  </si>
  <si>
    <t>https://doi.org/10.1109/icc.2017.7997292</t>
  </si>
  <si>
    <t>10.1109/icc.2017.7997292</t>
  </si>
  <si>
    <t>Nowadays, Machine-to-Machine (M2M) and Internet of Things (IoT) traffic rate is increasing at a fast pace. The use of satellites is expected to play a large role in delivering such a traffic. In this work, we investigate the use of two of the most common M2M/IoT protocols stacks on a satellite Random Access (RA) channel, based on DVB-RCS2 standard. The metric under consideration is the completion time, in order to identify the protocol stack that can provide the best performance level.</t>
  </si>
  <si>
    <t>Ashraf, Suleman; Shawon, Mohammad Hasanuzzaman; Khalid, Haris M.; Muyeen, S. M.</t>
  </si>
  <si>
    <t>Denial-of-Service Attack on IEC 61850-Based Substation Automation System: A Crucial Cyber Threat towards Smart Substation Pathways.</t>
  </si>
  <si>
    <t>https://doi.org/10.3390/s21196415</t>
  </si>
  <si>
    <t>10.3390/s21196415</t>
  </si>
  <si>
    <t>The generation of the mix-based expansion of modern power grids has urged the utilization of digital infrastructures. The introduction of Substation Automation Systems (SAS), advanced networks and communication technologies have drastically increased the complexity of the power system, which could prone the entire power network to hackers. The exploitation of the cyber security vulnerabilities by an attacker may result in devastating consequences and can leave millions of people in severe power outage. To resolve this issue, this paper presents a network model developed in OPNET that has been subjected to various Denial of Service (DoS) attacks to demonstrate cyber security aspect of an international electrotechnical commission (IEC) 61850 based digital substations. The attack scenarios have exhibited significant increases in the system delay and the prevention of messages, i.e., Generic Object-Oriented Substation Events (GOOSE) and Sampled Measured Values (SMV), from being transmitted within an acceptable time frame. In addition to that, it may cause malfunction of the devices such as unresponsiveness of Intelligent Electronic Devices (IEDs), which could eventually lead to catastrophic scenarios, especially under different fault conditions. The simulation results of this work focus on the DoS attack made on SAS. A detailed set of rigorous case studies have been conducted to demonstrate the effects of these attacks.</t>
  </si>
  <si>
    <t>Cena, Gianluca; Scanzio, Stefano; Valenzano, Adriano; Zunino, Claudio</t>
  </si>
  <si>
    <t>Performance evaluation of the EtherCAT distributed clock algorithm</t>
  </si>
  <si>
    <t>https://doi.org/10.1109/isie.2010.5637460</t>
  </si>
  <si>
    <t>10.1109/isie.2010.5637460</t>
  </si>
  <si>
    <t>EtherCAT is a real-time Ethernet protocol conceived for industrial environments, which is characterised by high communication efficiency. It is provided with a suitable mechanism, known as distributed clock, that enables synchronised operations to be carried out with precise timings. This can be profitably adopted, for instance, in motion control applications. In this paper, the accuracy of the distributed clock mechanism is evaluated by means of experimental measurements carried out on a real network set-up. Results confirm that the achieved performance complies with expectations and is very good indeed.</t>
  </si>
  <si>
    <t>Mizuya, Toru; Okuda, Makoto; Nagao, Tatsuaki</t>
  </si>
  <si>
    <t>A case study of data acquisition from field devices using OPC UA and MQTT</t>
  </si>
  <si>
    <t>https://doi.org/10.23919/sice.2017.8105594</t>
  </si>
  <si>
    <t>10.23919/sice.2017.8105594</t>
  </si>
  <si>
    <t>Data acquisition plays an important role in control (and measurement) systems, especially in the context of IoT. It is required to handle complex or structured data and to transfer data frequently. In this paper, a case study of data acquisition from field devices using OPC UA and MQTT is shown. Not all field devices have interfaces to connect to communication network such as Ethernet and they need help of gateway devices. A SCARA robot designed for studying was used as a field device and it was connected to communication network through a single board computer as gateway device. It is found that the SCARA robot with gateway device can be controlled by the data taken from OPC UA server and that its motion can be monitored by MQTT.</t>
  </si>
  <si>
    <t>Dai, Wenbin; Zhang, Yingyue; Kong, Lingbo; Christensen, James H.; Huang, Dan</t>
  </si>
  <si>
    <t>Design of Industrial Edge Applications Based on IEC 61499 Microservices and Containers</t>
  </si>
  <si>
    <t>https://doi.org/10.1109/tii.2022.3214199</t>
  </si>
  <si>
    <t>10.1109/tii.2022.3214199</t>
  </si>
  <si>
    <t>Industrial automation is entering a new era of the Industrial Internet with enhanced computing, communication, and storage capabilities provided by cloud computing and field devices. The paradigm of automation systems is shifting from the ISA-95 pyramid to the two-layers architecture: industrial cloud and edge computing. Industrial software is also evolving under the new architecture in ways for which dedicated software applications are no longer suited. Service-based industrial cloud and edge applications provide maximum flexibility, interoperability, and efficiency by combining the IEC 61499 standard, microservice architecture, and container technology. This article provides orchestration methods and deployment procedures for the OT-IT hybrid industrial edge applications. The feasibility of the proposed approach is demonstrated by an industrial case study with accompanying performance analysis.</t>
  </si>
  <si>
    <t>Machado, José; Seabra, Eurico; Campos, José Creissac; Soares, Filomena; Leão, Celina Pinto</t>
  </si>
  <si>
    <t>Safe controllers design for industrial automation systems</t>
  </si>
  <si>
    <t>https://doi.org/10.1016/j.cie.2010.12.020</t>
  </si>
  <si>
    <t>10.1016/j.cie.2010.12.020</t>
  </si>
  <si>
    <t>The design of safe industrial controllers is one of the most important domains related to Automation Systems research. To support it, synthesis and analysis techniques are available. Among the analysis techniques, two of the most important are Simulation and Formal Verification. In this paper these two techniques are used together in a complementary way. Understanding plant behaviour is essential for obtaining safe industrial systems controllers; hence, plant modelling is crucial to the success of these techniques. A two step approach is presented: first, the use of Simulation and, second, the use of Formal Verification of Industrial Systems Specifications. The specification and plant models used for each technique are described. Simulation and Formal Verification results are presented and discussed. The approach presented in the paper can be applied to real industrial systems, and obtain safe controllers for hybrid plants. The Modelica modelling language and Dymola simulation environment are used for Simulation purposes, and Timed Automata formalism and the UPPAAL real-time model-checker are used for Formal Verification purposes.</t>
  </si>
  <si>
    <t>10.1016/j.cose.2018.05.002</t>
  </si>
  <si>
    <t>Ozdogan, Erdal</t>
  </si>
  <si>
    <t>Structured Defense Model Against DNP3-Based Critical Infrastructure Attacks</t>
  </si>
  <si>
    <t>https://doi.org/10.1007/s13369-024-09577-3</t>
  </si>
  <si>
    <t>10.1007/s13369-024-09577-3</t>
  </si>
  <si>
    <t>Naik, Nitin</t>
  </si>
  <si>
    <t>Choice of effective messaging protocols for IoT systems: MQTT, CoAP, AMQP and HTTP</t>
  </si>
  <si>
    <t>https://doi.org/10.1109/syseng.2017.8088251</t>
  </si>
  <si>
    <t>10.1109/syseng.2017.8088251</t>
  </si>
  <si>
    <t>The standard and real-time communication technology is an unalloyed inevitability for the development of Internet of Things (IoT) applications. However, the selection of a standard and effective messaging protocol is a challenging and daunting task for any organisation because it depends on the nature of the IoT system and its messaging requirements. Copious messaging protocols have been developed and employed by various organisations based on their requirements in the last two decades. Though, none of them is able to support all messaging requirements of all types of IoT systems. Messaging protocol is an ongoing dilemma for the IoT industry; consequently, it is important to understand the pros and cons of the widely accepted and emerging messaging protocols for IoT systems to determine their best-fit scenarios. Therefore, this paper presents an evaluation of the four established messaging protocols MQTT, CoAP, AMQP and HTTP for IoT systems. Firstly, it presents the broad comparison among these messaging protocols to introduce their characteristics comparatively. Afterwards, it performs a further in-depth and relative analysis based on some interrelated criteria to gain insight into their strengths and limitations. Thus, based on this detailed evaluation, the user can decide their appropriate usage in various IoT systems according to their requirements and suitability.</t>
  </si>
  <si>
    <t>10.1109/ewdts.2019.8884472</t>
  </si>
  <si>
    <t>10.1145/3338466.3358917</t>
  </si>
  <si>
    <t>10.6028/nist.sp.800-207</t>
  </si>
  <si>
    <t>Barton, Martin; Budjac, Roman; Tanuska, Pavol; Gaspar, Gabriel; Schreiber, Peter</t>
  </si>
  <si>
    <t>Identification Overview of Industry 4.0 Essential Attributes and Resource-Limited Embedded Artificial-Intelligence-of-Things Devices for Small and Medium-Sized Enterprises</t>
  </si>
  <si>
    <t>https://doi.org/10.3390/app12115672</t>
  </si>
  <si>
    <t>10.3390/app12115672</t>
  </si>
  <si>
    <t>&lt;jats:p&gt;Nowadays there is a growing demand for small- and medium-sized enterprises (SMEs) to improve their level of digitalisation. This situation becomes even more critical in cases when SMEs act in the role of a subcontractor of large enterprises who demand the utilisation of certain digital operations. This paper aims to identify the essential Industry 4.0 attributes for the requirements of SMEs that enterprises can purchase to deploy an adequate solution with a view of increasing their competitiveness in the market. By analysing research articles and statistical data from the worldwide Web of Science database, we identify the major Industry 4.0 attributes for SME: Internet of Things (IoT), Big Data, Artificial Intelligence (AI), Cloud Computing, Simulation and Cybersecurity. Based on the review results and a survey by the European Commission, we propose devices primarily designed to implement AI tasks in industrial environments that meet the essential attributes for SMEs and have low entry costs. The subject of IoT is thoroughly addressed. Its subsets and the relationship between Industrial Internet of Things (IIoT) and Artificial Intelligence of Things (AIoT) are introduced and described. The characteristics of the listed devices as related to usability in the identified attributes are verified. Therefore, the description of the devices is provided with respect to their usability in SMEs. The main purpose of this paper is to identify attributes for SMEs and to develop strategic plans for the digitalisation requirements, particularly in the development of Artificial Intelligence as part of the implementation of the IoT pillar.&lt;/jats:p&gt;</t>
  </si>
  <si>
    <t>Banik, Trapa; Manicavasagam, Rajesh; Banik, Shampa; Banik, Shudipta</t>
  </si>
  <si>
    <t>Simulation and Analysis of Cyber-Attack on Modbus Protocol for Smart Grids in Virtual Environment</t>
  </si>
  <si>
    <t>https://doi.org/10.20944/preprints202309.0984.v2</t>
  </si>
  <si>
    <t>10.20944/preprints202309.0984.v2</t>
  </si>
  <si>
    <t>&lt;jats:p&gt;Smart grid capabilities have grown significantly in recent years. The smart grid provides advanced real-time handling of faults, advanced automatic control for efficient electricity transmission, monitoring and collection of the electrical system's capacity, and communication for information sharing. Unfortunately, its exposure to public networks makes it increasingly vulnerable to privacy breaches, vulnerabilities, and cyber-attacks. Cyber security threats and vulnerabilities in smart grid networks have become a primary concern that needs to be addressed before deploying a smart grid. Furthermore, the wide range of protocols increases the attack surface of a smart grid. This study focuses on the vulnerability of Modbus, which is regarded as one of the most prevalent protocols in smart grid communication networks. This paper presents preliminary findings of analyzing cyber-attacks against the Modbus protocol using a virtual testbed to investigate its effects on the smart grid network protocol. The concept incorporates an emulated Modbus/TCP network environment built from open-source software components that imitate fundamental industrial control features of the smart grid. Finally, we analyze the cycle of a cyber-attack leading through Reconnaissance to a DoS attack on the Modbus/TCP protocol and propose improvements to the test bed for protocol attack detection and mitigation.&lt;/jats:p&gt;</t>
  </si>
  <si>
    <t>10.1109/icarsc49921.2020.9096072</t>
  </si>
  <si>
    <t>Ustun, Taha Selim; Farooq, Mullapathi; Hussain, Sajid</t>
  </si>
  <si>
    <t>A Novel Approach for Mitigation of Replay and Masquerade Attacks in Smartgrids Using IEC 61850 Standard</t>
  </si>
  <si>
    <t>https://doi.org/10.1109/access.2019.2948117</t>
  </si>
  <si>
    <t>10.1109/access.2019.2948117</t>
  </si>
  <si>
    <t>There is growing awareness towards cybersecurity threats in power systems. Deployment of more intelligent electronic devices (IEDs) and the communication lines increase the probability of such attacks. IEC 61850 standard facilitates communication between different IEDs and eases interoperable operation with set data and message structures. An unwanted consequence of this standardized communication over ethernet is increased viability to cyber threats. Replay and masquerade attacks are, especially, of concern due to their imminent impact on the operation. While detecting replay attacks is easier, since the original messages are used for the attack, masquerade attack messages may be difficult to distinguish from original ones. Furthermore, inadequate mitigation approaches may be tricked by the hackers and the system starts the attacker as the authentic sender and discards original messages from authentic sources. It is vital to develop an approach that incorporates message authentication. In this fashion, when the hackers modify the message contents to by-pass security systems, the tampering can be detected, and the messages will be discarded. This paper analyses replay and masquerade attacks on IEC 61850 GOOSE messages and develops a solution to mitigates both of those. To detect modified messages, two distinct authentication mechanisms are utilized: RSA since it is the algorithm stipulated in IEC 62351-6 and Elliptic Curve Digital Signature Algorithm (ECDSA) due to its widespread use in smartgrid cybersecurity solutions. A full solution to mitigate GOOSE replay and masquerade attacks is developed based on the proposed framework in IEC 62351 standard. Full implementation is tested in the lab and results are included to show the viability of the solution.</t>
  </si>
  <si>
    <t>Mitchell, Robert; Chen, Ing-Ray</t>
  </si>
  <si>
    <t>A survey of intrusion detection techniques for cyber-physical systems</t>
  </si>
  <si>
    <t>https://doi.org/10.1145/2542049</t>
  </si>
  <si>
    <t>10.1145/2542049</t>
  </si>
  <si>
    <t>Pervasive healthcare systems, smart grids, and unmanned aircraft systems are examples of Cyber-Physical Systems (CPSs) that have become highly integrated in the modern world. As this integration deepens, the importance of securing these systems increases. In order to identify gaps and propose research directions in CPS intrusion detection research, we survey the literature of this area. Our approach is to classify modern CPS Intrusion Detection System (IDS) techniques based on two design dimensions: detection technique and audit material. We summarize advantages and drawbacks of each dimension’s options. We also summarize the most and least studied CPS IDS techniques in the literature and provide insight on the effectiveness of IDS techniques as they apply to CPSs. Finally, we identify gaps in CPS IDS research and suggest future research areas.</t>
  </si>
  <si>
    <t>Rocha, Murilo Silveira; Sestito, Guilherme Serpa; Dias, Andre Luis; Turcato, Afonso Celso; Brandão, Dennis</t>
  </si>
  <si>
    <t>MetroInd4.0&amp;amp;IoT - Performance Comparison Between OPC UA and MQTT for Data Exchange</t>
  </si>
  <si>
    <t>https://doi.org/10.1109/metroi4.2018.8428342</t>
  </si>
  <si>
    <t>10.1109/metroi4.2018.8428342</t>
  </si>
  <si>
    <t>With the new concepts brought by the Industry 4.0 and the Internet of Things (IoT), it is expected more equipment communicating with each other, using local and cloud computing servers. In order to the communication between the devices be efficient, fast and with time deterministic, it is necessary to choose a suitable network protocol. In this context, the article presents the performance comparison of quantity of used data and time spent to send and receive messages in two well-known protocols in the field of IoT and Industrial loT (IIoT): MQTT and OPC UA. The obtained values show the advantages of using each protocol in several scenarios, in order to exploit the best data exchange between devices.</t>
  </si>
  <si>
    <t>10.1007/978-3-031-40923-3_15</t>
  </si>
  <si>
    <t>Gogolev, Alexander; Mendoza, Francisco; Braun, Rol</t>
  </si>
  <si>
    <t>ETFA - TSN-Enabled OPC UA in Field Devices</t>
  </si>
  <si>
    <t>https://doi.org/10.1109/etfa.2018.8502597</t>
  </si>
  <si>
    <t>10.1109/etfa.2018.8502597</t>
  </si>
  <si>
    <t>The paradigm of “Industry 4.0” suggests that industrial automation systems will converge towards unified and standardized solutions. The concept of Industrial IoT, in turn, drives to interconnect them via deterministic networking. The alliance of these concepts promises to simplify the integration and management of complex multi-vendor automation systems. This paper investigates the emergence of the former aspect, namely - field device integration with the embedded OPC UA over TSN, using already available products.</t>
  </si>
  <si>
    <t>Li, Yuting; Jiang, Junhui; Lee, Changdae; Hong, Seung Ho</t>
  </si>
  <si>
    <t>Practical Implementation of an OPC UA TSN Communication Architecture for a Manufacturing System</t>
  </si>
  <si>
    <t>https://doi.org/10.1109/access.2020.3035548</t>
  </si>
  <si>
    <t>10.1109/access.2020.3035548</t>
  </si>
  <si>
    <t>In modern manufacturing systems, various industrial communication systems (e.g., fieldbus systems and industrial Ethernet networks) have been used to realize reliable information exchange. However, these industrial communication solutions are largely incompatible with each other, which do not satisfy the new requirements of Industry 4.0. Recently Time-Sensitive Networking (TSN) has been developed to improve the real-time capabilities to the standard Ethernet, and is considered to be a promising real-time communication solution for Industry 4.0. In this work, we propose a communication architecture for a manufacturing system using the Open Platform Communications Unified Architecture (OPC UA) and TSN technologies. TSN is adopted as the communication backbone to connect heterogeneous industrial automation subsystems. The OPC UA is adopted to realize horizontal and vertical communication between subsystems in the field layer and the entities of the upper layers. We implement a laboratory-level manufacturing system to validate the proposed architecture. The experimental results demonstrate the feasibility and capability of the proposed architecture. Moreover, we evaluate the performance of a key TSN substandard, i.e., IEEE 802.1Qbv, in the laboratory-level manufacturing system. The evaluation results demonstrate that IEEE 802.1Qbv can indeed provide excellent real-time capabilities for industrial applications.</t>
  </si>
  <si>
    <t>Liri, Elizabeth; Singh, Prateek Kumar; Bin Rabiah, Abdulrahman; Kar, Koushik; Makhijani, Kiran; Ramakrishnan, Kadangode K.</t>
  </si>
  <si>
    <t>LANMAN - Robustness of IoT Application Protocols to Network Impairments</t>
  </si>
  <si>
    <t>https://doi.org/10.1109/lanman.2018.8475048</t>
  </si>
  <si>
    <t>10.1109/lanman.2018.8475048</t>
  </si>
  <si>
    <t>Constrained Application Protocol (CoAP) and Message Queue Telemetry Transport (MQTT) are two IoT application layer protocols that are seeing increased attention and industry deployment. CoAP uses a request-response model and runs over UDP, while MQTT follows a publish-subscribe model running over TCP. For more constrained IoT devices, MQTTSensor Networks (MQTT-SN) provides a UDP-based transport between the sensor and an MQTT-SN gateway, while using TCP between that gateway and the MQTT broker. Quick UDP Internet Connections (QUIC) is a new protocol and although not originally designed for IoT devices, some design features such as reduced connection establishment time may be useful in an IoT environment. Each of these protocols seeks optimizations in features and implementation complexity based on application domains rather than having the full flexibility and adaptability of traditional transport protocols such as TCP. We investigate and analyze four protocols, namely, CoAP, MQTT, MQTT-SN and QUIC, to understand the overhead of obtaining data from an IoT device at a sink to potentially disseminate this data downstream. These constrained IoT devices often operate under challenging, varying network conditions, and it is important to understand the limitations of the protocols in such conditions. Thus, we evaluate the performance of these protocols under varying loss, delay and disruption conditions to identify the most effective environment for their operation and understand the limitations of their dynamic range. Results show that with non-confirmable CoAP a more adaptive wait timer is required; and a more streamlined QUIC protocol may be a potential alternative IoT protocol.</t>
  </si>
  <si>
    <t>Zarpelo, Bruno Bogaz; Miani, Rodrigo Sanches; Kawakani, Cludio Toshio; de Alvarenga, Sean Carlisto</t>
  </si>
  <si>
    <t>A survey of intrusion detection in Internet of Things</t>
  </si>
  <si>
    <t>https://doi.org/10.1016/j.jnca.2017.02.009</t>
  </si>
  <si>
    <t>10.1016/j.jnca.2017.02.009</t>
  </si>
  <si>
    <t>Sollfrank, Michael; Loch, Frieder; Denteneer, Steef; Vogel-Heuser, Birgit</t>
  </si>
  <si>
    <t>Evaluating Docker for Lightweight Virtualization of Distributed and Time-Sensitive Applications in Industrial Automation</t>
  </si>
  <si>
    <t>https://doi.org/10.1109/tii.2020.3022843</t>
  </si>
  <si>
    <t>10.1109/tii.2020.3022843</t>
  </si>
  <si>
    <t>A trend, accompanying the change of automation systems and their architectures, is the virtualization of software components. Virtualization strengthens platform-independent development and the provision of secure and isolated applications. Virtualization introduces well-defined interfaces to strengthen modularity, which facilitates the scalability of applications. However, virtualization includes additional software components and layers and, thus, additional computing costs. This additional effort can conflict with the real-time requirements of automation processes. Current research lacks the investigation of the time behavior of container-based virtualizations concerning their use in real-time systems. An assessment concerning real-time applications is required to prepare it for use in industrial automation. This article examines the effects of virtualization on the time delays of a software component based on Docker containers by providing measurements on a hardware testbed in a realistic use case. The experiments indicate that Docker virtualization can meet soft real-time requirements and can be used in industrial automation.</t>
  </si>
  <si>
    <t>Jun, Hyun-Ji; Yang, Hyo-Sik</t>
  </si>
  <si>
    <t>Performance of the XMPP and the MQTT Protocols on IEC 61850-Based Micro Grid Communication Architecture</t>
  </si>
  <si>
    <t>https://doi.org/10.3390/en14165024</t>
  </si>
  <si>
    <t>10.3390/en14165024</t>
  </si>
  <si>
    <t>As micro grids are gradually being deployed in many areas, communication technology is becoming important for collecting data and controlling devices in micro grids. In a micro grid, various devices are distributed and perform their respective functions. These devices exchange information with each other and transmit information to the micro grid management system. This micro grid environment is similar to the IoT environment in which information is exchanged in the presence of a large number of devices. Recent studies have tried to apply various IoT protocols as a communication protocol in the micro grid. However, the data model used in current research is limited in proprietary data mapping. Recently, IEC TC 57 published another IEC 61850 series which maps the IEC 61850 services to XMPP (eXtensible Messaging Presence Protocol), which was the first IoT protocol mapping of IEC 61850. Few research has shown that the mapping of the IEC 61850 data model to the IoT protocol and communication boundary is limited in a lab environment. We developed a micro grid test-bed with an IEC 61850 data and service model, and mapped to two IoT protocols, that is, XMPP and the MQTT (Message Queuing Telemetry Transport). By combining IoT protocol with the IEC 61850 data and service model, the proposed micro grid architecture can provide interoperability with any DMS or other power utility system. Performance analysis was conducted on the test-bed by measuring various metrics, such as the response time, packet size, and packet loss, over a public network.</t>
  </si>
  <si>
    <t>da Silva, Daniel Maniglia Amancio; Carvalho, Liliana Inocêncio; Soares, José; Sofia, Rute C.</t>
  </si>
  <si>
    <t>https://doi.org/10.3390/app11114879</t>
  </si>
  <si>
    <t>10.1145/3407023.3409182</t>
  </si>
  <si>
    <t>Prytz, G.</t>
  </si>
  <si>
    <t>ETFA - A performance analysis of EtherCAT and PROFINET IRT</t>
  </si>
  <si>
    <t>https://doi.org/10.1109/etfa.2008.4638425</t>
  </si>
  <si>
    <t>10.1109/etfa.2008.4638425</t>
  </si>
  <si>
    <t>Ethernet is emerging as the preferred industrial communication platform upon which a multitude of protocols and solutions specially targeted at industrial communication requirements have been developed. This paper concentrates on a set of protocols popularly referred to as the Real-time Ethernet protocols and analyses two key technologies, namely PROFINET IRT and EtherCAT. The real-time performance characteristics of PROFINET IRT and EtherCAT is compared by looking into what factors affect their performance in a set of realistic scenarios. The goal is to provide a scientifically solid study on this subject where many presentations are seriously flawed by basic mistakes, misunderstandings or biased views. The detailed analysis presented here shows that EtherCAT has a performance advantage over PROFINET IRT and the reasons for this are discussed.</t>
  </si>
  <si>
    <t>Church, Philip; Mueller, Harald; Ryan, Caspar; Gogouvitis, Spyridon V.; Goscinski, Andrzej; Haitof, Houssam; Tari, Zahir</t>
  </si>
  <si>
    <t>Handbook of Big Data Technologies - SCADA Systems in the Cloud</t>
  </si>
  <si>
    <t>https://doi.org/10.1007/978-3-319-49340-4_20</t>
  </si>
  <si>
    <t>10.1007/978-3-319-49340-4_20</t>
  </si>
  <si>
    <t>SCADA (Supervisory Control And Data Acquisition) systems allow users to monitor (using sensors) and control (using actuators) an industrial system remotely. Larger SCADA systems can support several 100,000 sensors, sending and storing hundreds of thousands of messages per second, generating large amounts of data. As these systems are critical to industrial processes, they are often run on highly reliable and dedicated hardware. This is in contrast to the current state of computing, which is moving from running applications on internally hosted servers to cheaper, internal or external cloud environments. Clouds can benefit SCADA users by providing the storage and processing power to analyse the collected data. The goal of this chapter is twofold; provide an introduction to techniques for migrating SCADA to clouds, and devise a conceptual system which supports the process of migrating a SCADA application to a cloud resource while fulfilling key SCADA requirements (such as; support for big data storage).</t>
  </si>
  <si>
    <t>Rezabek, Filip; Bosk, Marcin; Paul, Thomas; Holzinger, Kilian; Gallenmuller, Sebastian; Gonzalez, Angela; Kane, Abdoul; Fons, Francesc; Haigang, Zhang; Carle, Georg; Ott, Jorg</t>
  </si>
  <si>
    <t>EnGINE: Developing a Flexible Research Infrastructure for Reliable and Scalable Intra-Vehicular TSN Networks</t>
  </si>
  <si>
    <t>https://doi.org/10.23919/cnsm52442.2021.9615529</t>
  </si>
  <si>
    <t>10.23919/cnsm52442.2021.9615529</t>
  </si>
  <si>
    <t>Driver assistance, self-driving, and multimedia systems have two common implications: increasing demand on network bandwidth and the need for more powerful computation nodes. As a result, intra-vehicular networks (IVNs) change their layout. They are built around central nodes connected to the rest of the vehicle via Ethernet. The usage of Ethernet presents a challenge, as it lacks support for deterministic behavior by design. The solution is found within the IEEE Time-Sensitive Networking (TSN) standards, introducing real-time, low-latency, and deterministic communication into the Ethernet ecosystem. These new networked systems need to be thoroughly evaluated with IVN requirements in mind. To assess numerous configurations of IVN setups, in this work, we introduce a novel Environment for Generic In-vehicular Networking Experiments — EnGINE. It allows, among many others, repeatable, reproducible, and replicable TSN experiments with high precision and flexibility, which is not possible to run using proprietary solutions. EnGINE is based exclusively on commercial off-the-shelf components and is orchestrated by a flexible Ansible framework. This approach allows us to configure various topologies emulating realistic IVNs behavior, which is challenging using simulations. Based on available related work, we further address the challenges found in the IVNs. We derive additional requirements for experiments in the TSN domain and present our approach to fulfill them in an experimental setting. We believe that EnGINE provides the ideal environment for TSN network experiments.</t>
  </si>
  <si>
    <t>Catuogno, Luigi; Galdi, Clemente; Pasquino, Nicola</t>
  </si>
  <si>
    <t>An Effective Methodology for Measuring Software Resource Usage</t>
  </si>
  <si>
    <t>https://doi.org/10.1109/tim.2018.2815431</t>
  </si>
  <si>
    <t>10.1109/tim.2018.2815431</t>
  </si>
  <si>
    <t>In the last several years, an increasing number of attacks targeting services running on computing systems have been designed and deployed. Such attacks typically tend to overuse some of the system resources, e.g., CPU, memory, or storage. Current solutions are attack specific, i.e., they are designed for a specific malware or a specific set of malware that share the same resource usage profile and are mainly based on the underlying hypothesis that it is possible to measure the amount of resources used by each service under control. Such possibility is clearly available within modern operating systems, but using such measuring tools is nontrivial and limits their applicability. The advent of user-level virtualization systems may change this attitude. In this paper, we propose and validate a methodology for simplifying the measurements of resources used by a software service. Our approach uses the isolation properties of a containerized virtualization system in order to properly measure all the resources used by a specific service, even if it splits itself into different workers. At the same time, using the resource limitation functionalities provided by the virtualization system, we propose a methodology that can be used to limit the effects of malware by limiting the amount of resources that can be accessed on a system. In order to demonstrate the effectiveness of our approach, we consider the specific case of attacks targeting the overuse of power consumption.</t>
  </si>
  <si>
    <t>Carvalho, Nubia Gabriela Pereira; Chaim, Omar; Cazarini, Edson Walmir; Gerolamo, Mateus Cecílio</t>
  </si>
  <si>
    <t>Manufacturing in the fourth industrial revolution: A positive prospect in Sustainable Manufacturing</t>
  </si>
  <si>
    <t>https://doi.org/10.1016/j.promfg.2018.02.170</t>
  </si>
  <si>
    <t>10.1016/j.promfg.2018.02.170</t>
  </si>
  <si>
    <t>Abstract Industrialization throughout history has been one of the main contributors to pollution, disregard for environmental issues, resulting in an unsustainable production model. A change from this context, the imminent new industry model called the Fourth Industrial Revolution or Industry 4.0, aims for a manufacturing system that is both viable and sustainable. This paper seeks to describe the main forms of collaboration of Industry 4.0 in relation to sustainability. Scientific works point out the advantages provided by the new industry model such as improved product life cycles, manufacturing works in an integrated way with the use of cyber-physical systems allied to the principles of this industry, such as decentralization, virtualization, interoperability, among others which lead to more adaptability to natural resources availability and environmental costs. Smaller batches can lead to a more accurate response to the demand curves and consequently lessen the waste for production.</t>
  </si>
  <si>
    <t>Kim, Jaeho; Lee, Jang-Won</t>
  </si>
  <si>
    <t>WF-IoT - OpenIoT: An open service framework for the Internet of Things</t>
  </si>
  <si>
    <t>https://doi.org/10.1109/wf-iot.2014.6803126</t>
  </si>
  <si>
    <t>10.1109/wf-iot.2014.6803126</t>
  </si>
  <si>
    <t>The Internet of Things (IoT) has been a hot topic for the future of computing and communication. It will not only have a broad impact on our everyday life in the near future, but also create a new ecosystem involving a wide array of players such as device developers, service providers, software developers, network operators, and service users. In this paper, we present an open service framework for the Internet of Things, facilitating entrance into the IoT-related mass market, and establishing a global IoT ecosystem with the worldwide use of IoT devices and softwares. We expect that the open IoT service framework we proposed will play an important role in the widespread adoption of the Internet of Things in our everyday life, enhancing our quality of life with a large number of innovative applications and services, but also offering endless opportunities to all of the stakeholders in the world of information and communication technologies.</t>
  </si>
  <si>
    <t>Gao, Wei; Morris, Thomas</t>
  </si>
  <si>
    <t>On Cyber Attacks and Signature Based Intrusion Detection for Modbus Based Industrial Control Systems</t>
  </si>
  <si>
    <t>https://doi.org/10.15394/jdfsl.2014.1162</t>
  </si>
  <si>
    <t>10.15394/jdfsl.2014.1162</t>
  </si>
  <si>
    <t>Industrial control system communication networks are vulnerable to reconnaissance, response injection, command injection, and denial of service attacks. Such attacks can lead to an inability to monitor and control industrial control systems and can ultimately lead to system failure. This can result in financial loss for control system operators and economic and safety issues for the citizens who use these services. This paper describes a set of 28 cyber attacks against industrial control systems which use the MODBUS application layer network protocol. The paper also describes a set of standalone and state based intrusion detection system rules which can be used to detect cyber attacks and to store evidence of attacks for post incident analysis. All attacks described in this paper were validated in a laboratory environment. The detection rate of the intrusion detection system rules presented by attack class is also presented.</t>
  </si>
  <si>
    <t>Sarkar, Santonu; Vashi, Gloria; Pp, Abdulla</t>
  </si>
  <si>
    <t>ETFA - Towards Transforming an Industrial Automation System from Monolithic to Microservices</t>
  </si>
  <si>
    <t>https://doi.org/10.1109/etfa.2018.8502567</t>
  </si>
  <si>
    <t>10.1109/etfa.2018.8502567</t>
  </si>
  <si>
    <t>Container technology enables designers to build (micro)service-oriented systems with on-demand scalability and availability easily, provided the original system has been well-modularized to begin with. Industry automation applications, built a long time ago, aim to adopt this technology to become more flexible and ready to be a part of the internet of thing based next-generation industrial system. In this paper, we share our work-in-progress experience of transforming a complex, distributed industrial automation system to a microservice based containerized architecture. We propose a containerized architecture of the “to-be” system and observe that despite being distributed, the “as-is” system tend to follow a monolithic architecture with strong coupling among the participating components. Consequently it becomes difficult to achieve the proposed microservice based architecture without a significant change. We also discuss the workload handling, resource utilization and reliability aspects of the “to-be” architecture using a prototype implementation.</t>
  </si>
  <si>
    <t>Maxwell, James Clerk</t>
  </si>
  <si>
    <t>A Treatise on Electricity and Magnetism: Contents</t>
  </si>
  <si>
    <t>https://doi.org/10.1017/cbo9780511709333</t>
  </si>
  <si>
    <t>10.1017/cbo9780511709333</t>
  </si>
  <si>
    <t>&lt;jats:p&gt;Arguably the most influential nineteenth-century scientist for twentieth-century physics, James Clerk Maxwell (1831–1879) demonstrated that electricity, magnetism and light are all manifestations of the same phenomenon: the electromagnetic field. A fellow of Trinity College Cambridge, Maxwell became, in 1871, the first Cavendish Professor of Physics at Cambridge. His famous equations - a set of four partial differential equations that relate the electric and magnetic fields to their sources, charge density and current density - first appeared in fully developed form in his 1873 Treatise on Electricity and Magnetism. This two-volume textbook brought together all the experimental and theoretical advances in the field of electricity and magnetism known at the time, and provided a methodical and graduated introduction to electromagnetism. Volume 1 covers the first elements of Maxwell's electromagnetic theory: electrostatics, and electrokinematics, including detailed analyses of electrolysis, conduction in three dimensions, and conduction through heterogeneous media.&lt;/jats:p&gt;</t>
  </si>
  <si>
    <t>Hussain, Sajid; Ustun, Taha Selim; Kalam, Akhtar</t>
  </si>
  <si>
    <t>A Review of IEC 62351 Security Mechanisms for IEC 61850 Message Exchanges</t>
  </si>
  <si>
    <t>https://doi.org/10.1109/tii.2019.2956734</t>
  </si>
  <si>
    <t>10.1109/tii.2019.2956734</t>
  </si>
  <si>
    <t>Smart grid is the nexus of advanced information and communication technologies and legacy power systems. With increasing awareness on the vulnerabilities of smart grids to cyberattacks, cybersecurity is becoming a prime concern. Earlier, it was assumed that the power system communication protocols are very specialized and different, so the “security by obscurity” approach would be sufficient. However, with the standardization of communication protocols for power utilities and the emergence of the power market, this approach is no longer valid. IEC 62351 Standard has been published to provide security recommendations for different power system communication protocols including IEC 61850. IEC 61850 is emerging as the most promising and popular power system communication standard. Therefore, in this article, a detailed analysis of security threats, possible attacks, and security requirements for IEC 61850 communication is presented. Building on this, the security considerations presented in IEC 62351 for securing different IEC 61850 messages, such as generic object-oriented substation events (GOOSE), sampled values (SV), routable-GOOSE, routable-SV, and manufacturing message specification messages have been presented in great detail.</t>
  </si>
  <si>
    <t>Elbez, Ghada; Keller, Hubert B.; Hagenmeyer, Veit</t>
  </si>
  <si>
    <t>SmartGridComm - A Cost-efficient Software Testbed for Cyber-Physical Security in IEC 61850-based Substations</t>
  </si>
  <si>
    <t>https://doi.org/10.1109/smartgridcomm.2018.8587456</t>
  </si>
  <si>
    <t>10.1109/smartgridcomm.2018.8587456</t>
  </si>
  <si>
    <t>With the integration of Information and Communication Technology (ICT) in Smart Grids (SGs), the number and types of attacks targeting the Cyber-Physical Security (CPS) of modern energy systems have been increasing drastically in recent times. Hence, in the present paper, a software testbed is designed and implemented in order to study the CPS of IEC 61850-based electrical substations. It is entirely based on (mostly open-source) software simulation, which makes it cost-effective and easy to reproduce. Furthermore, the proposed testbed offers an acceptable level of details/abstraction for both the network and the physical parts as well as the communication between them. First attack scenarios against the communication network of the electrical substations are implemented in this framework with a detailed description of the different steps. Respective results are reported which underpin the potential of the proposed simulation testbed, also for designing respective countermeasures for the CPS of SGs.</t>
  </si>
  <si>
    <t>10.1016/j.infsof.2016.11.004</t>
  </si>
  <si>
    <t>Yorozu, T.; Hirano, M.; Oka, K.; Tagawa, Y.</t>
  </si>
  <si>
    <t>Electron Spectroscopy Studies on Magneto-Optical Media and Plastic Substrate Interface</t>
  </si>
  <si>
    <t>https://doi.org/10.1109/tjmj.1987.4549593</t>
  </si>
  <si>
    <t>10.1109/tjmj.1987.4549593</t>
  </si>
  <si>
    <t>The depth-profiles of amorphous TbFeCo films sputtered onto polycarbonate substrate were studied by X-ray photoelectron spectroscopy. Oxidized metals, oxides and hydroxides for example, and adsorbed impurities were found to exist mainly in the vicinity of the film surface and film/ substrate interface.</t>
  </si>
  <si>
    <t>Aichernig, Bernhard K.; Schumi, Richard</t>
  </si>
  <si>
    <t>QEST - How Fast Is MQTT</t>
  </si>
  <si>
    <t>https://doi.org/10.1007/978-3-319-99154-2_3</t>
  </si>
  <si>
    <t>10.1007/978-3-319-99154-2_3</t>
  </si>
  <si>
    <t>MQTT is one of the major messaging protocols in the Internet of things (IoT). In this work, we investigate the expected performance of MQTT implementations in various settings. We present a model-based performance testing approach that allows a fast simulation of specific usage scenarios in order to perform a quantitative analysis of the latency. Out of automatically generated log-data, we learn the distributions of latencies and apply statistical model checking to analyse the functional and timing behaviour. The result is a novel testing and verification technique for analysing the performance of IoT protocols. Two well-known open source MQTT implementations are evaluated and compared.</t>
  </si>
  <si>
    <t>Wright, James G.; Wolthusen, Stephen D.</t>
  </si>
  <si>
    <t>ISGT Europe - Stealthy Injection Attacks Against IEC61850's GOOSE Messaging Service</t>
  </si>
  <si>
    <t>https://doi.org/10.1109/isgteurope.2018.8571518</t>
  </si>
  <si>
    <t>10.1109/isgteurope.2018.8571518</t>
  </si>
  <si>
    <t>IEC61850 and IEC62351 combined provide a set of security promises for the communications channels that are used to run a substation automation system (SAS), that use IEC61850 based technologies. However, one area that is largely untouched by these security promises is the generic object oriented substation events (GOOSE) messaging service. GOOSE is designed to multicast commands and data across a substation within hard real time quality of service (QoS) requirements. This means that GOOSE is unable to implement the required security technologies as the added latency to any message would violate the QoS.</t>
  </si>
  <si>
    <t>Chernyshev, Maxim; Baig, Zubair A.; Bello, Oladayo; Zeadally, Sherali</t>
  </si>
  <si>
    <t>Internet of Things (IoT): Research, Simulators, and Testbeds</t>
  </si>
  <si>
    <t>https://doi.org/10.1109/jiot.2017.2786639</t>
  </si>
  <si>
    <t>10.1109/jiot.2017.2786639</t>
  </si>
  <si>
    <t>The Internet of Things (IoT) vision is increasingly being realized to facilitate convenient and efficient human living. To conduct effective IoT research using the most appropriate tools and techniques, we discuss recent research trends in the IoT area along with current challenges faced by the IoT research community. Several existing and emerging IoT research areas such as lightweight energy-efficient protocol development, object cognition and intelligence, as well as the critical need for robust security and privacy mechanisms will continue to be significant fields of research for IoT. IoT research can be a challenging process spanning both virtual and physical domains through the use of simulators and testbeds to develop and validate the initial proof-of-concepts and subsequent prototypes. To support researchers in planning IoT research activities, we present a comparative analysis of existing simulation tools categorized based on the scope of coverage of the IoT architecture layers. We compare existing large-scale IoT testbeds that have been adopted by researchers for examining the physical IoT prototypes. Finally, we discuss several open challenges of current IoT simulators and testbeds that need to be addressed by the IoT research community to conduct large-scale, robust and effective IoT simulation, and prototype evaluations.</t>
  </si>
  <si>
    <t>Rodriguez, Juan David Parra; Boakye-Boateng, Kwasi; Kaur, Ratinder; Zhou, Allyson; Lu, Rongxing; Ghorbani, Ali A.</t>
  </si>
  <si>
    <t>SoK: A Reality Check for DNP3 Attacks 15 Years Later</t>
  </si>
  <si>
    <t>https://doi.org/10.3390/smartcities7060154</t>
  </si>
  <si>
    <t>10.3390/smartcities7060154</t>
  </si>
  <si>
    <t>&lt;jats:p&gt;OT (operational technology) protocols such as DNP3/TCP, commonly used in the electrical utility sector, have become a focal point for security researchers. We assess the applicability of attacks previously published from theoretical and practical points of view. From the theoretical point of view, previous work strongly focuses on transcribing protocol details (e.g., list fields at the link, transport, and application layer) without providing the rationale behind protocol features or how the features are used. This has led to confusion about the impact of many theoretical DNP3 attacks. After a detailed analysis around which protocol features are used and how, a review of the configuration capabilities for several IEDs (Intelligent Electrical Devices), and some testing with real devices, we conclude that similar results to several complex theoretical attacks can be achieved with considerably less effort. From a more practical point of view, there is existing work on DNP3 man-in-the-middle attacks; however, research still needs to discuss how to overcome a primary hardening effect: IEDs can be configured to allow for communication with specific IP addresses (allow list). For purely scientific purposes, we implemented a DNP3 man-in-the-middle attack capable of overcoming the IP allow-list restriction. We tested the attack using real IEDs and network equipment ruggedized for electrical environments. Even though the man-in-the-middle attack can be successful in a lab environment, we also explain the defense-in-depth mechanisms provided by industry in real life that mitigate the attack. These mechanisms are based on standard specifications, capabilities of the OT hardware, and regulations applicable to some electrical utilities.&lt;/jats:p&gt;</t>
  </si>
  <si>
    <t>Urquhart, Lachlan; McAuley, Derek</t>
  </si>
  <si>
    <t>Avoiding the internet of insecure industrial things</t>
  </si>
  <si>
    <t>https://doi.org/10.1016/j.clsr.2017.12.004</t>
  </si>
  <si>
    <t>10.1016/j.clsr.2017.12.004</t>
  </si>
  <si>
    <t>Security incidents such as targeted distributed denial of service (DDoS) attacks on power grids and hacking of factory industrial control systems (ICS) are on the increase. This paper unpacks where emerging security risks lie for the industrial internet of things, drawing on both technical and regulatory perspectives. Legal changes are being ushered by the European Union (EU) Network and Information Security (NIS) Directive 2016 and the General Data Protection Regulation 2016 (GDPR) (both to be enforced from May 2018). We use the case study of the emergent smart energy supply chain to frame, scope out and consolidate the breadth of security concerns at play, and the regulatory responses. We argue the industrial IoT brings four security concerns to the fore, namely: appreciating the shift from offline to online infrastructure; managing temporal dimensions of security; addressing the implementation gap for best practice; and engaging with infrastructural complexity. Our goal is to surface risks and foster dialogue to avoid the emergence of an Internet of Insecure Industrial Things.</t>
  </si>
  <si>
    <t>Pohl, Matthias; Kubela, Janick; Bosse, Sascha; Turowski, Klaus</t>
  </si>
  <si>
    <t>ES - Performance Evaluation of Application Layer Protocols for the Internet-of-Things</t>
  </si>
  <si>
    <t>https://doi.org/10.1109/es.2018.00035</t>
  </si>
  <si>
    <t>10.1109/es.2018.00035</t>
  </si>
  <si>
    <t>Over the last years, the number of Internet of Things (IoT) applications has been increased. To provide a suitable machine-to-machine communication across the applications, specific application layer protocols are used. In contrast to traditional protocols like HTTP, IoT protocols are designed to transfer information through unreliable, low bandwidth networks. This paper compares the performance of the protocols Advanced Message Queuing Protocol (AMQP), Message Queue Telemetry Transport (MQTT) and Extensible Messaging and Presence Protocol (XMPP) in the context of a monitoring business application. For that purpose, a three-layered test-bed is designed with a variable latency and Packet-Loss-Rate (PLR). MQTT performs best regarding the characteristics bandwidth usage, reliability, latency and throughput. AMQP performs worse than MQTT comparing the bandwidth usage and throughput. In contrast, XMPP has the worst values in all categories.</t>
  </si>
  <si>
    <t>Vogel-Heuser, Birgit; Feldmann, Stefan; Werner, T.; Diedrich, Christian</t>
  </si>
  <si>
    <t>Modeling network architecture and time behavior of Distributed Control Systems in industrial plant automation</t>
  </si>
  <si>
    <t>https://doi.org/10.1109/iecon.2011.6119656</t>
  </si>
  <si>
    <t>10.1109/iecon.2011.6119656</t>
  </si>
  <si>
    <t>In terms of fulfilling the customers' needs, Distributed Control Systems (DCS) have gained increasing significance for automation engineering over the past years. The advantages of DCS, e.g. enhanced dependability, flexibility and configurability, overcome various shortcomings of centralized control systems. However, engineering of heterogeneous networks lacks a modeling notation for automation and engineers and a tool support to calculate the time behavior. A notation for an intuitive and supplier independent specification of distributed automation systems is described, providing the opportunity to model real-time requirements and properties and to allow the comparison of different architectures regarding time behavior.</t>
  </si>
  <si>
    <t>10.1016/j.cirpj.2020.02.002</t>
  </si>
  <si>
    <t>Tsuchida, Kazuo; Koga, Masashi; Ueda, Tetsuya; Yokoyama, Tomoki</t>
  </si>
  <si>
    <t>Verification of parallel operation of flywheel energy storage with high speed network operation</t>
  </si>
  <si>
    <t>https://doi.org/10.1109/ecce-asia.2013.6579142</t>
  </si>
  <si>
    <t>10.1109/ecce-asia.2013.6579142</t>
  </si>
  <si>
    <t>Parallel connected operation of flywheel energy storage system (FWES-SYS) with high speed network communication system was proposed. 4,000 of 2kVA flywheel energy storage (FWES) are connected with the network operation based on the high speed network system and the power demand operation will be derived within 50[msec] to the all FWES from the main control unit system. Experiments for network communication using EtherCAT based on FPGA controller is carried out. Communication delay time is measured using Packet Capture instruments. As the result, communication time for 4000 of flywheel energy storage cells (FWES-CELLs) will be estimated as 9.22[msec]. Fundamental characteristics of real time network operation for parallel operation of FWES-CELLs was verified.</t>
  </si>
  <si>
    <t>Burger, Andreas; Koziolek, Heiko; Ruckert, Julius; Platenius-Mohr, Marie; Stomberg, Gosta</t>
  </si>
  <si>
    <t>ICPE - Bottleneck Identification and Performance Modeling of OPC UA Communication Models</t>
  </si>
  <si>
    <t>https://doi.org/10.1145/3297663.3309670</t>
  </si>
  <si>
    <t>10.1145/3297663.3309670</t>
  </si>
  <si>
    <t>The OPC UA communication architecture is currently becoming an integral part of industrial automation systems, which control complex production processes, such as electric power generation or paper production. With a recently released extension for pub/sub communication, OPC UA can now also support fast cyclic control applications, but the bottlenecks of OPC UA implementations and their scalability on resource-constrained industrial devices are not yet well understood. Former OPC UA performance evaluations mainly concerned client/server round-trip times or focused on jitter, but did not explore resource bottlenecks or create predictive performance models. We have carried out extensive performance measurements with OPC UA client/server and pub/sub communication and created a CPU utilization prediction model based on linear regression that can be used to size hardware environments. We found that the server CPU is the main bottleneck for OPC UA pub/sub communication, but allows a throughput of up to 40,000 signals per second on a Raspberry Pi Zero. We also found that the client/server session management overhead can severely impact performance, if more than 20 clients access a single server.</t>
  </si>
  <si>
    <t>Baccelli, Emmanuel; Mehlis, Christian; Hahm, Oliver; Schmidt, Thomas C.; Wählisch, Matthias</t>
  </si>
  <si>
    <t>Information Centric Networking in the IoT: Experiments with NDN in the Wild</t>
  </si>
  <si>
    <t>https://doi.org/10.1145/2660129.2660144</t>
  </si>
  <si>
    <t>10.1145/2660129.2660144</t>
  </si>
  <si>
    <t>This paper explores the feasibility, advantages, and challenges of an ICN-based approach in the Internet of Things. We report on the first NDN experiments in a life-size IoT deployment, spread over tens of rooms on several floors of a building. Based on the insights gained with these experiments, the paper analyses the shortcomings of CCN applied to IoT. Several interoperable CCN enhancements are then proposed and evaluated. We significantly decreased control traffic (i.e., interest messages) and leverage data path and caching to match IoT requirements in terms of energy and bandwidth constraints. Our optimizations increase content availability in case of IoT nodes with intermittent activity. This paper also provides the first experimental comparison of CCN with the common IoT standards 6LoWPAN/RPL/UDP.</t>
  </si>
  <si>
    <t>Hossain, Mahmud; Al Noor, Shahid; Karim, Yasser; Hasan, Ragib</t>
  </si>
  <si>
    <t>ICIOT - IoTbed: A Generic Architecture for Testbed as a Service for Internet of Things-Based Systems</t>
  </si>
  <si>
    <t>https://doi.org/10.1109/ieee.iciot.2017.14</t>
  </si>
  <si>
    <t>10.1109/ieee.iciot.2017.14</t>
  </si>
  <si>
    <t>In recent years, the concept of the Internet of Things (IoT) has already been implemented in numerous application domains, such as smart city, intelligent healthcare assistant, and smart transportation management. Researchers or developers associated with these domains frequently require diverse types of IoT devices to implement or test their IoT related innovations. However, building an IoT-testbed by purchasing these IoT devices in every few months is infeasible considering that most of them will be used only for a small amount of time and will become obsolete with the arrival of an upgraded version of those devices. Instead, a better approach would be rented out the IoT devices in on-demand, just-in-time, and pay for only the time the devices are used basis. Therefore, in this paper, we propose IoTbed – an architecture to deliver a large scale Testbed as a service using the IoT devices located in the users' proximal networks. IoTbed enables testbed providers to build their testbeds in the edge of the network and allows easy and secure access for IoT service providers to run experiments on those testbeds. IoTbed presents an economic model that offers monetary incentives to the device owners for using their devices in the testbed experiments. We posit that such an incentive model will encourage more testbed providers to rent out their smart devices through IoTbed. To demonstrate the feasibility of IoTbed, we implemented a prototype of IoTbed to run on Contiki powered IoT devices and evaluated the performance.</t>
  </si>
  <si>
    <t>Modeling and Analysis of Attacks and Counter Defense Mechanisms for Cyber Physical Systems</t>
  </si>
  <si>
    <t>https://doi.org/10.1109/tr.2015.2406860</t>
  </si>
  <si>
    <t>10.1109/tr.2015.2406860</t>
  </si>
  <si>
    <t>In this paper, we develop an analytical model based on stochastic Petri nets to capture the dynamics between adversary behavior and defense for cyber physical systems. We consider several types of failures including attrition failure, pervasion failure, and exfiltration failure which can happen to a cyber physical system. Using a modernized electrical grid as an example, we illustrate the parameterization process. Our results reveal optimal design conditions, including the intrusion detection interval, and the redundancy level, under which the modernized electrical grid's mean time to failure is maximized. Further, there exists a design tradeoff between exfiltration failure, attrition failure, and pervasion failure when using redundancy to improve the overall system reliability.</t>
  </si>
  <si>
    <t>10.1109/case49439.2021.9551656</t>
  </si>
  <si>
    <t>10.1109/cmi48017.2019.8962138</t>
  </si>
  <si>
    <t>Hermann, Mario; Pentek, Tobias; Otto, Boris</t>
  </si>
  <si>
    <t>HICSS - Design Principles for Industrie 4.0 Scenarios</t>
  </si>
  <si>
    <t>https://doi.org/10.1109/hicss.2016.488</t>
  </si>
  <si>
    <t>10.1109/hicss.2016.488</t>
  </si>
  <si>
    <t>The increasing integration of the Internet of Everything into the industrial value chain has built the foundation for the next industrial revolution called Industrie 4.0. Although Industrie 4.0 is currently a top priority for many companies, research centers, and universities, a generally accepted understanding of the term does not exist. As a result, discussing the topic on an academic level is difficult, and so is implementing Industrie 4.0 scenarios. Based on a quantitative text analysis and a qualitative literature review, the paper identifies design principles of Industrie 4.0. Taking into account these principles, academics may be enabled to further investigate on the topic, while practitioners may find assistance in identifying appropriate scenarios. A case study illustrates how the identified design principles support practitioners in identifying Industrie 4.0 scenarios.</t>
  </si>
  <si>
    <t>Amaran, Muhammad Harith; Noh, Nazmin Arif Mohd; Rohmad, Mohd Saufy; Hashim, Habibah</t>
  </si>
  <si>
    <t>A Comparison of Lightweight Communication Protocols in Robotic Applications</t>
  </si>
  <si>
    <t>https://doi.org/10.1016/j.procs.2015.12.318</t>
  </si>
  <si>
    <t>10.1016/j.procs.2015.12.318</t>
  </si>
  <si>
    <t>Abstract Robot communication is an essential element in robot operation. There are several protocols that serve robot communication applications, but the protocols used are not optimized for mobile and battery-operated robots. To operate in such condition, an optimized protocol for such environment must be used. This paper will evaluate Constrained Application Protocol (CoAP) and MQ Telemetry Transport for Sensor Nodes (MQTT-SN) which are designed for such devices. Result from experiment shows that MQTT-SN performs 30% faster than CoAP when transmitting the same payload.</t>
  </si>
  <si>
    <t>Choosri, Noppon</t>
  </si>
  <si>
    <t>IoT-RFID Testbed for Supporting Traffic Light Control</t>
  </si>
  <si>
    <t>https://doi.org/10.7763/ijiee.2015.v5.511</t>
  </si>
  <si>
    <t>10.7763/ijiee.2015.v5.511</t>
  </si>
  <si>
    <t>Reda, Haftu Tasew; Ray, Biplob; Peidaee, Pejman; Anwar, Adnan; Mahmood, Abdun Naser; Kalam, Akhtar; Islam, Nahina</t>
  </si>
  <si>
    <t>Vulnerability and Impact Analysis of the IEC 61850 GOOSE Protocol in the Smart Grid.</t>
  </si>
  <si>
    <t>https://doi.org/10.3390/s21041554</t>
  </si>
  <si>
    <t>10.3390/s21041554</t>
  </si>
  <si>
    <t>IEC 61850 is one of the most prominent communication standards adopted by the smart grid community due to its high scalability, multi-vendor interoperability, and support for several input/output devices. Generic Object-Oriented Substation Events (GOOSE), which is a widely used communication protocol defined in IEC 61850, provides reliable and fast transmission of events for the electrical substation system. This paper investigates the security vulnerabilities of this protocol and analyzes the potential impact on the smart grid by rigorously analyzing the security of the GOOSE protocol using an automated process and identifying vulnerabilities in the context of smart grid communication. The vulnerabilities are tested using a real-time simulation and industry standard hardware-in-the-loop emulation. An in-depth experimental analysis is performed to demonstrate and verify the security weakness of the GOOSE publish-subscribe protocol towards the substation protection within the smart grid setup. It is observed that an adversary who might have familiarity with the substation network architecture can create falsified attack scenarios that can affect the physical operation of the power system. Extensive experiments using the real-time testbed validate the theoretical analysis, and the obtained experimental results prove that the GOOSE-based IEC 61850 compliant substation system is vulnerable to attacks from malicious intruders.</t>
  </si>
  <si>
    <t>Porcu, Daniele; Castro, Sonia; Otura, Borja; Encinar, Paula; Chochliouros, Ioannis; Ciornei, Irina; Hadjidemetriou, Lenos; Ellinas, Georgios; Santiago, Rita; Grigoriou, Elisavet; Antonopoulos, Angelos; Cadenelli, Nicola; di Pietro, Nicola; Betzler, August; Prieto, Inmaculada; Battista, Fabrizio; Brodimas, Dimitrios; Rumenova, Ralitsa; Bachoumis, Athanasios</t>
  </si>
  <si>
    <t>Demonstration of 5G Solutions for Smart Energy Grids of the Future: A Perspective of the Smart5Grid Project</t>
  </si>
  <si>
    <t>https://doi.org/10.3390/en15030839</t>
  </si>
  <si>
    <t>10.3390/en15030839</t>
  </si>
  <si>
    <t>&lt;jats:p&gt;As the complexity of electric systems increases, so does the required effort for the monitoring and management of grid operations. To solve grid performance issues, smart grids require the exchange of higher volumes of data, high availability of the telecommunication infrastructure, and very low latency. The fifth generation (5G) mobile network seems to be the most promising technology to support such requirements, allowing utilities to have dedicated virtual slices of network resources to maximize the service availability in case of network congestions. Regarding this evolving scenario, this work presents the Smart5Grid project vision on how 5G can support the energy vertical industry for the fast deployment of innovative digital services. Specifically, this work introduces the concept of network applications (NetApps), a new paradigm of virtualization that are envisioned to facilitate the creation of a new market for information technology (IT), small and medium enterprises (SMEs), and startups. This concept, and the open architecture that facilitates its implementation, is showcased by four real-life 5G-enabled demonstrators: (1) automatic fault detection in a medium voltage (MV) grid in Italy, (2) real-time safety monitoring for operators in high voltage (HV) substations in Spain, (3) remote distributed energy resources (DER) monitoring in Bulgaria, and (4) wide area monitoring in a cross-border scenario between Greece and Bulgaria.&lt;/jats:p&gt;</t>
  </si>
  <si>
    <t>10.1016/j.cose.2018.01.001</t>
  </si>
  <si>
    <t>Veichtlbauer, Armin; Ortmayer, Martin; Heistracher, Thomas</t>
  </si>
  <si>
    <t>INDIN - OPC UA integration for field devices</t>
  </si>
  <si>
    <t>https://doi.org/10.1109/indin.2017.8104808</t>
  </si>
  <si>
    <t>10.1109/indin.2017.8104808</t>
  </si>
  <si>
    <t>In industrial automation systems, deploying the well-established automation pyramid model is best practice. However, the trend to massively distributed systems, which are foreseen to co-operate using standardized protocols and common semantics, shows the limits of these traditional approaches. In order to enable for Industry 4.0 compliant solutions, appropriate means for scalable internetworking have to be developed and utilized. New modelling technologies have been developed to represent such distributed automation systems, incorporating a multidimensional layered approach. At higher hierarchy levels of these automation models, standardization approaches are quite common. However, at the field layer there are still many different field busses, which in most cases do not allow common semantics, but come along with their own object models. In contrast, the use of OPC UA at the field level, with its standardized protocol stack and semantic annotations, would allow for enabling field devives to fully participate in large scaled systems as Industry 4.0 components. This paper evaluates the potentials and limits of integrating OPC UA into legacy field devices with limited communication and calculation resources and provides quantitative measurement results of selected test scenarios.</t>
  </si>
  <si>
    <t>Abela, Kyle; Refalo, Paul; Francalanza, Emmanuel</t>
  </si>
  <si>
    <t>Analysis of pneumatic parameters to identify leakages and faults on the demand side of a compressed air system</t>
  </si>
  <si>
    <t>https://doi.org/10.1016/j.clet.2021.100355</t>
  </si>
  <si>
    <t>10.1016/j.clet.2021.100355</t>
  </si>
  <si>
    <t>Despite their significant use in industrial automation, compressed air systems have a typical efficiency of around 10–20%. Literature shows that data monitoring systems are being introduced to detect losses, however, demand side monitoring techniques make use of highly dedicated proprietary equipment which has a number of limitations. This study sought to setup an experimental methodology that identifies the effective parametric data which can be monitored on the demand side to identify inefficiencies in compressed air systems. A compressed air test bed was used to quantifiably compare and contrast leakage inefficiencies in varying system complexities and at different system pressures. The test results confirmed that benchmarking is essential when monitoring data on the demand side. Furthermore, it was also concluded that a single pressure sensor, installed at the supply point of an automation system, could be used to detect the pressure difference which is caused by a leak further downstream along the system. This research establishes that this data can be used to estimate the volume of compressed air that is wasted due to a leak. Analysis of the data collected has shown how a 1.6 mm leak results in a pressure drop of around 10%, downstream to the leak. As expected, a leakage increases the air flowrate, however it is concluded that the percentage increase is relative to the complexity and size of the pneumatic system and may not be significantly conclusive when comparing diagnostic data. It is demonstrated that the measurable effects on pressure and flow rate become less profound in more complex systems.</t>
  </si>
  <si>
    <t>Cavalieri, Salvatore; Chiacchio, Ferdinando</t>
  </si>
  <si>
    <t>Analysis of OPC UA performances</t>
  </si>
  <si>
    <t>https://doi.org/10.1016/j.csi.2013.06.004</t>
  </si>
  <si>
    <t>10.1016/j.csi.2013.06.004</t>
  </si>
  <si>
    <t>Shelby, Zach; Hartke, Klaus; Bormann, Carsten</t>
  </si>
  <si>
    <t>The Constrained Application Protocol (CoAP)</t>
  </si>
  <si>
    <t>https://doi.org/10.17487/rfc7252</t>
  </si>
  <si>
    <t>10.17487/rfc7252</t>
  </si>
  <si>
    <t>The Constrained Application Protocol (CoAP) is a specialized web transfer protocol for use with constrained nodes and constrained (e.g., low-power, lossy) networks. The nodes often have 8-bit microcontrollers with small amounts of ROM and RAM, while constrained networks such as IPv6 over Low-Power Wireless Personal Area Networks (6LoWPANs) often have high packet error rates and a typical throughput of 10s of kbit/s. The protocol is designed for machine- to-machine (M2M) applications such as smart energy and building automation. CoAP provides a request/response interaction model between application endpoints, supports built-in discovery of services and resources, and includes key concepts of the Web such as URIs and Internet media types. CoAP is designed to easily interface with HTTP for integration with the Web while meeting specialized requirements such as multicast support, very low overhead, and simplicity for constrained environments.</t>
  </si>
  <si>
    <t>Javaid, Mohd; Haleem, Abid; Singh, Ravi Pratap; Suman, Rajiv</t>
  </si>
  <si>
    <t>An integrated outlook of Cyber–Physical Systems for Industry 4.0: Topical practices, architecture, and applications</t>
  </si>
  <si>
    <t>https://doi.org/10.1016/j.grets.2022.100001</t>
  </si>
  <si>
    <t>10.1016/j.grets.2022.100001</t>
  </si>
  <si>
    <t>Industry 4.0 requires a strong understanding of Cyber–Physical Systems (CPS). An Industry 4.0-enabled manufacturing environment that offers real-time data gathering, transparency and analysis across all parts of a manufacturing process is known as cyber–physical systems, also known as cyber manufacturing. Data analytics enables executives to make data-driven choices and boost productivity, while automation speeds up manufacturing and decreases machine downtime. The main objective of deploying Industry 4.0 solutions is to enable manufacturing organisations to increase collaboration by making the correct information accessible to the right people in real time. The aim of encouraging optimal decision-making at the appropriate moment is to improve efficiency and production further. The critical terms in Industry 4.0, such as the CPS, Internet of Things (IoT), and Digital Twin, are widely used interchangeably in conversations about smart manufacturing. These are essential to Industry 4.0 and smart manufacturing because they give users access to real-time operating data of the equipment they represent. Cyber components and physical components make up the two elements of CPS. The main aim of this paper is to brief CPS and its need for Industry 4.0. Embedded Processes and Smart 5C diagrammatically elaborate architecture of CPS for Industry 4.0. Finally, the paper identifies and discusses significant applications of CPS in Industry 4.0. For this paper, we identified and then studied relevant literature on CPS for establishing an Industry 4.0 environment. CPS is integrated into several items, including vehicles and other equipment, to carry out particular functions. CPS can be utilised in any industry, including engineering, manufacturing, transportation, and even health care, because they are all easy to use. CPS network collaborative systems are built for communication. Furthermore, cutting-edge network technologies like cloud solutions are used by CPS.</t>
  </si>
  <si>
    <t>10.1007/978-3-319-26502-5_2</t>
  </si>
  <si>
    <t>Martin-Liras, Luis F.; Prada, Miguel A.; Fuertes, Juan J.; Morán, Antonio; Alonso, Serafín; Domínguez, Manuel</t>
  </si>
  <si>
    <t>Comparative analysis of the security of configuration protocols for industrial control devices</t>
  </si>
  <si>
    <t>https://doi.org/10.1016/j.ijcip.2017.10.001</t>
  </si>
  <si>
    <t>10.1016/j.ijcip.2017.10.001</t>
  </si>
  <si>
    <t>Zunino, Claudio; Cena, Gianluca; Scanzio, Stefano; Valenzano, Adriano</t>
  </si>
  <si>
    <t>Experimental Characterization of Asynchronous Notification Latency for Subscriptions in OPC UA</t>
  </si>
  <si>
    <t>https://doi.org/10.1109/etfa45728.2021.9613502</t>
  </si>
  <si>
    <t>10.1109/etfa45728.2021.9613502</t>
  </si>
  <si>
    <t>Morato, Alberto; Vitturi, Stefano; Tramarin, Federico; Cenedese, Angelo</t>
  </si>
  <si>
    <t>Assessment of Different OPC UA Implementations for Industrial IoT-Based Measurement Applications</t>
  </si>
  <si>
    <t>https://doi.org/10.1109/tim.2020.3043116</t>
  </si>
  <si>
    <t>10.1109/tim.2020.3043116</t>
  </si>
  <si>
    <t>The industrial Internet of Things (IIoT) paradigm represents an attractive opportunity for new generation measurement applications, which are increasingly based on efficient and reliable communication systems to allow the extensive availability of continuous data from instruments and/or sensors, thus enabling real-time measurement analysis. Nevertheless, different communication systems and heterogeneous sensors and acquisition systems may be found in an IIoT-enabled measurement application, so that solutions need to be defined to tackle the issue of seamless, effective, and low-latency interoperability. A significant and appropriate solution is the open platform communications (OPCs) unified architecture (UA) protocol, thanks to its object-oriented structure that allows a complete contextualization of the information. The intrinsic complexity of OPC UA, however, imposes meaningful performance assessment to evaluate its suitability in the aforementioned context. To this aim, this article presents the design of a general yet accurate and reproducible measurement setup that will be exploited to assess the performance of the main open-source implementations of OPC UA. The final goal of this work is to provide a characterization of the impact of this protocol stack in an IIoT-enabled measurement system, in particular, in terms of both the latency introduced in the measurement process and the power consumption.</t>
  </si>
  <si>
    <t>Profanter, Stefan; Tekat, Ayhun; Dorofeev, Kirill; Rickert, Markus; Knoll, Alois</t>
  </si>
  <si>
    <t>ICIT - OPC UA versus ROS, DDS, and MQTT: Performance Evaluation of Industry 4.0 Protocols</t>
  </si>
  <si>
    <t>https://doi.org/10.1109/icit.2019.8755050</t>
  </si>
  <si>
    <t>10.1109/icit.2019.8755050</t>
  </si>
  <si>
    <t>Ethernet-based protocols are getting more and more important for Industry 4.0 and the Internet of Things. In this paper, we compare the features, package overhead, and performance of some of the most important protocols in this area. First, we present a general feature comparison of OPC UA, ROS, DDS, and MQTT, followed by a more detailed wire protocol evaluation, which gives an overview over the protocol overhead for establishing a connection and sending data. In the performance tests we evaluate open-source implementations of these protocols by measuring the round trip time of messages in different system states: idle, high CPU load, and high network load. The performance analysis concludes with a test measuring the round trip time for 500 nodes on the same host.</t>
  </si>
  <si>
    <t>Pivoto, Diego G.S.; de Almeida, Luiz Felipe Fernandes; da Rosa Righi, Rodrigo; Rodrigues, Joel J. P. C.; Lugli, Alexandre Baratella; Alberti, Antonio Marcos</t>
  </si>
  <si>
    <t>Cyber-physical systems architectures for industrial internet of things applications in Industry 4.0: A literature review</t>
  </si>
  <si>
    <t>https://doi.org/10.1016/j.jmsy.2020.11.017</t>
  </si>
  <si>
    <t>10.1016/j.jmsy.2020.11.017</t>
  </si>
  <si>
    <t>Lu, Qiang; Sun, Yuanzhang; Lee, G.K.F.</t>
  </si>
  <si>
    <t>NONLINEAR OPTIMAL EXCITATION CONTROL FOR MULTIMACHINE SYSTEMS</t>
  </si>
  <si>
    <t>https://doi.org/10.1016/b978-0-08-036135-2.50014-4</t>
  </si>
  <si>
    <t>10.1016/b978-0-08-036135-2.50014-4</t>
  </si>
  <si>
    <t>Boyes, Hugh; Hallaq, Bilal; Cunningham, Joe; Watson, Tim</t>
  </si>
  <si>
    <t>The industrial internet of things (IIoT): An analysis framework</t>
  </si>
  <si>
    <t>https://doi.org/10.1016/j.compind.2018.04.015</t>
  </si>
  <si>
    <t>10.1016/j.compind.2018.04.015</t>
  </si>
  <si>
    <t>Abstract Historically, Industrial Automation and Control Systems (IACS) were largely isolated from conventional digital networks such as enterprise ICT environments. Where connectivity was required, a zoned architecture was adopted, with firewalls and/or demilitarized zones used to protect the core control system components. The adoption and deployment of ‘Internet of Things’ (IoT) technologies is leading to architectural changes to IACS, including greater connectivity to industrial systems. This paper reviews what is meant by Industrial IoT (IIoT) and relationships to concepts such as cyber-physical systems and Industry 4.0. The paper develops a definition of IIoT and analyses related partial IoT taxonomies. It develops an analysis framework for IIoT that can be used to enumerate and characterise IIoT devices when studying system architectures and analysing security threats and vulnerabilities. The paper concludes by identifying some gaps in the literature.</t>
  </si>
  <si>
    <t>Hijazi, Sherin; Obaidat, Mohammad S.</t>
  </si>
  <si>
    <t>Address resolution protocol spoofing attacks and security approaches: A survey</t>
  </si>
  <si>
    <t>https://doi.org/10.1002/spy2.49</t>
  </si>
  <si>
    <t>10.1002/spy2.49</t>
  </si>
  <si>
    <t>&lt;jats:p&gt;Address resolution protocol (ARP) is a very popular communication protocol in the local area network (LAN), working under the network layer, as per the open systems interconnection (OSI) model. It is used to associate Internet protocol (IP) address to medium access control (MAC) address; hence, the IP‐MAC addresses are stored in ARP cache of any network host. ARP has weakness in authentication that an attacker can exploit to gain unauthorized access to one's sensitive data. There are some approaches that can be used against ARP spoofing attacks. These provide an efficient and secure way to mitigate ARP attacks and detect ARP poisoning that can reduce the attack. This paper will discuss: various effective approaches, security issues in ARP spoofing, and poisoning attacks.&lt;/jats:p&gt;</t>
  </si>
  <si>
    <t>Uy, Nguyen Quoc; Nam, Vu Hoai</t>
  </si>
  <si>
    <t>A comparison of AMQP and MQTT protocols for Internet of Things</t>
  </si>
  <si>
    <t>https://doi.org/10.1109/nics48868.2019.9023812</t>
  </si>
  <si>
    <t>10.1109/nics48868.2019.9023812</t>
  </si>
  <si>
    <t>In the industrial revolution 4.0, the Internet of Things (IoT) system is being seen everywhere. The data is constantly exchanged between divices in the IoT system and Edge or Cloud server with different protocols. Data, that is exchanged between IoT gateway and IoT server, usually uses 2 protocols: MQTT and AMQP. The selection of a good protocol is foundation for the entire IoT system works effectively. In this paper, we present the results of research and evaluation of the effectiveness in using the above two protocols based on experiments, simulating data transmission environment with different latency and packet loss rate. The condition is simulated with the real condition in IoT system, which is using in the Internet Radio system. Finally, a protocol is recommended for different environment’s conditions.</t>
  </si>
  <si>
    <t>Boeding, Matthew; Hempel, Michael; Sharif, Hamid</t>
  </si>
  <si>
    <t>End-to-End Framework for Identifying Vulnerabilities of Operational Technology Protocols and Their Implementations in Industrial IoT</t>
  </si>
  <si>
    <t>https://doi.org/10.3390/fi17010034</t>
  </si>
  <si>
    <t>10.3390/fi17010034</t>
  </si>
  <si>
    <t>&lt;jats:p&gt;The convergence of IT and OT networks has gained significant attention in recent years, facilitated by the increase in distributed computing capabilities, the widespread deployment of Internet of Things devices, and the adoption of Industrial Internet of Things. This convergence has led to a drastic increase in external access capabilities to previously air-gapped industrial systems for process control and monitoring. To meet the need for remote access to system information, protocols designed for the OT space were extended to allow IT networked communications. However, OT protocols often lack the rigor of cybersecurity capabilities that have become a critical characteristic of IT protocols. Furthermore, OT protocol implementations on individual devices can vary in performance, requiring the comprehensive evaluation of a device’s reliability and capabilities before installation into a critical infrastructure production network. In this paper, the authors define a framework for identifying vulnerabilities within these protocols and their on-device implementations, utilizing formal modeling, hardware in the loop-driven network emulation, and fully virtual network scenario simulation. Initially, protocol specifications are modeled to identify any vulnerable states within the protocol, leveraging the Construction and Analysis of Distributed Processes (CADP) software (version 2022-d “Kista”, which was created by Inria, the French Institute for Research in Computer Science and Automation, in France). Device characteristics are then extracted through automated real-time network emulation tests built on the OMNET++ framework, and all measured device characteristics are then used as a virtual device representation for network simulation tests within the OMNET++ software (version 6.0.1., a public-soucre, open-architecture software, initially developed by OpenSim Limited in Budapest, Hungary), to verify the presence of any potential vulnerabilities identified in the formal modeling stage. With this framework, the authors have thus defined an end-to-end process to identify and verify the presence and impact of potential vulnerabilities within a protocol, as shown by the presented results. Furthermore, this framework can test protocol compliance, performance, and security in a controlled environment before deploying devices in live production networks and addressing cybersecurity concerns.&lt;/jats:p&gt;</t>
  </si>
  <si>
    <t>Wurm, Jacob; Hoang, Khoa; Arias, Orlando; Sadeghi, Ahmad-Reza; Jin, Yier</t>
  </si>
  <si>
    <t>ASP-DAC - Security analysis on consumer and industrial IoT devices</t>
  </si>
  <si>
    <t>https://doi.org/10.1109/aspdac.2016.7428064</t>
  </si>
  <si>
    <t>10.1109/aspdac.2016.7428064</t>
  </si>
  <si>
    <t>The fast development of Internet of Things (IoT) and cyber-physical systems (CPS) has triggered a large demand of smart devices which are loaded with sensors collecting information from their surroundings, processing it and relaying it to remote locations for further analysis. The wide deployment of IoT devices and the pressure of time to market of device development have raised security and privacy concerns. In order to help better understand the security vulnerabilities of existing IoT devices and promote the development of low-cost IoT security methods, in this paper, we use both commercial and industrial IoT devices as examples from which the security of hardware, software, and networks are analyzed and backdoors are identified. A detailed security analysis procedure will be elaborated on a home automation system and a smart meter proving that security vulnerabilities are a common problem for most devices. Security solutions and mitigation methods will also be discussed to help IoT manufacturers secure their products.</t>
  </si>
  <si>
    <t>Hoyos, Juan; Dehus, Mark; Brown, Timthy X</t>
  </si>
  <si>
    <t>GLOBECOM Workshops - Exploiting the GOOSE protocol: A practical attack on cyber-infrastructure</t>
  </si>
  <si>
    <t>https://doi.org/10.1109/glocomw.2012.6477809</t>
  </si>
  <si>
    <t>10.1109/glocomw.2012.6477809</t>
  </si>
  <si>
    <t>Security issues for the power industry have become increasingly relevant during the past decade as the industry has relied more and more on communication protocols. The Generic Object Oriented Substation Events (GOOSE) protocol is defined in IEC 61850 for the purpose of distributing event data across entire substation networks. In this paper we demonstrate a practical attack by exploiting weaknesses in GOOSE. We also show that this attack can have devastating consequences on the reliability of the grid and is capable of creating a widespread interruption in power generation and distribution.</t>
  </si>
  <si>
    <t>10.1007/978-3-319-49580-4_11</t>
  </si>
  <si>
    <t>HazraAbhishek, NA; AdhikariMainak, NA; AmgothTarachand, NA; Narayana, SriramaSatish</t>
  </si>
  <si>
    <t>https://doi.org/10.1145/3485130</t>
  </si>
  <si>
    <t>In the era of Industry 4.0, the Internet-of-Things (IoT) performs the driving position analogous to the initial industrial metamorphosis. IoT affords the potential to couple machine-to-machine inte...</t>
  </si>
  <si>
    <t>Ji, Zhikang; Zhang, Tengfei; Chen, Kuihan; Chen, Jiahong; Wang, Yi; Zhang, Yirui</t>
  </si>
  <si>
    <t>Ubiquitous Sensing Intelligent Gateway for Power IoT based on IEC61850 Standard</t>
  </si>
  <si>
    <t>https://doi.org/10.1109/ccdc52312.2021.9602324</t>
  </si>
  <si>
    <t>10.1109/ccdc52312.2021.9602324</t>
  </si>
  <si>
    <t>Seno, L.; Vitturi, S.; Zunino, C.</t>
  </si>
  <si>
    <t>Real Time Ethernet networks evaluation using performance indicators</t>
  </si>
  <si>
    <t>https://doi.org/10.1109/etfa.2009.5347135</t>
  </si>
  <si>
    <t>10.1109/etfa.2009.5347135</t>
  </si>
  <si>
    <t>Sisinni, Emiliano; Saifullah, Abusayeed; Han, Song; Jennehag, Ulf; Gidlund, Mikael</t>
  </si>
  <si>
    <t>Industrial Internet of Things: Challenges, Opportunities, and Directions</t>
  </si>
  <si>
    <t>https://doi.org/10.1109/tii.2018.2852491</t>
  </si>
  <si>
    <t>10.1109/tii.2018.2852491</t>
  </si>
  <si>
    <t>Internet of Things (IoT) is an emerging domain that promises ubiquitous connection to the Internet, turning common objects into connected devices. The IoT paradigm is changing the way people interact with things around them. It paves the way for creating pervasively connected infrastructures to support innovative services and promises better flexibility and efficiency. Such advantages are attractive not only for consumer applications, but also for the industrial domain. Over the last few years, we have been witnessing the IoT paradigm making its way into the industry marketplace with purposely designed solutions. In this paper, we clarify the concepts of IoT, Industrial IoT, and Industry 4.0. We highlight the opportunities brought in by this paradigm shift as well as the challenges for its realization. In particular, we focus on the challenges associated with the need of energy efficiency, real-time performance, coexistence, interoperability, and security and privacy. We also provide a systematic overview of the state-of-the-art research efforts and potential research directions to solve Industrial IoT challenges.</t>
  </si>
  <si>
    <t>Delgado, Raimarius; Kim, Shin-Young; You, Bum-Jae; Choi, Byoung Wook</t>
  </si>
  <si>
    <t>URAI - An EtherCAT-based real-time motion control system in mobile robot application</t>
  </si>
  <si>
    <t>https://doi.org/10.1109/urai.2016.7734098</t>
  </si>
  <si>
    <t>10.1109/urai.2016.7734098</t>
  </si>
  <si>
    <t>This paper presents a real-time motion control system using EtherCAT protocol and its application on a differential drive mobile robot. The motion controller is designed from open-source components consisting of dual kernel approach using standard Linux and real-time extension of Xenomai, and the EtherCAT Master stack, IgH. In order to validate feasibility of the real-time system, timing analysis between the master and the slaves is performed in terms of periodicity of the cyclic task, jitter, and in-control execution time as test metrics. Furthermore, we conducted a convolution based trajectory planning algorithm that considers the physical limits of the mobile robot to generate periodic velocity commands following a curved path. Encoder data from each wheels is evaluated to guarantee the accuracy of the motion control system in Cartesian space.</t>
  </si>
  <si>
    <t>Jasperneite, Jurgen; Schumacher, M.; Weber, Karl</t>
  </si>
  <si>
    <t>ETFA - Limits of increasing the performance of Industrial Ethernet protocols</t>
  </si>
  <si>
    <t>https://doi.org/10.1109/efta.2007.4416748</t>
  </si>
  <si>
    <t>10.1109/efta.2007.4416748</t>
  </si>
  <si>
    <t>The evolution of industrial communication inexorably moves to Industrial Ethernet networks. One important reason for using Ethernet at the shop floor is to participate on the continuous advancements of standard Ethernet. Thus it seems to be the logical next step to change the bit rate from Fast Ethernet to Gigabit Ethernet to achieve better performance. The question is, how the cycle time as a relevant performance metrics of industrial automation systems can profit from increasing the bit rate to 1 Gbps. Because of its importance for the industrial automation domain this paper focuses on line topology. The analysis is based on EtherCAT and PROFINET, which are two popular representatives of different architectures for high performance Industrial Ethernet networks.</t>
  </si>
  <si>
    <t>Sisinni, Emiliano; Bellagente, Paolo; Depari, Alessandro; Flammini, Alessandra; Gaffurini, Massimiliano; Pasetti, Marco; Rinaldi, Stefano; Ferrari, Paolo</t>
  </si>
  <si>
    <t>Assessment of Time Performance of Lightweight Virtualization for Edge Computing Applications</t>
  </si>
  <si>
    <t>https://doi.org/10.1109/wfcs57264.2023.10144238</t>
  </si>
  <si>
    <t>10.1109/wfcs57264.2023.10144238</t>
  </si>
  <si>
    <t>The demand for enhanced flexibility in automation systems, dictated by initiatives as the Industry 4.0 in Europe or the Industrial Internet Consortium in the United States, can be satisfied inheriting solutions of the information technology (the so called IT-OT convergence). Other than communication and cloud technologies, virtualization will play a relevant role in the next future. The use of lightweight virtualization, e.g., in the form of containers for implementing the edge computing paradigm, is a promising tool to dynamically provide services depending on the actual production needs. However, requirements of industrial automation applications are different from those of office-like counterparts. For this reason, methodologies for evaluating obtainable performance are needed. In this work, an industrial-grade framework, the Siemens Industrial Edge, is considered. A reference testbed is setup to evaluate latencies when information is exchanged between two user applications. Experiments demonstrate that round trip time in the order of 10 ms is feasible, compatible with the requirements of both process control systems and supervision applications.</t>
  </si>
  <si>
    <t>Lv, Zhihan; Han, Yang; Singh, Amit; Manogaran, Gunasekaran; Lv, Haibin</t>
  </si>
  <si>
    <t>Trustworthiness in Industrial IoT Systems Based on Artificial Intelligence</t>
  </si>
  <si>
    <t>https://doi.org/10.1109/tii.2020.2994747</t>
  </si>
  <si>
    <t>10.1109/tii.2020.2994747</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</si>
  <si>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</si>
  <si>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Taibi, Davide; Lenarduzzi, Valentina; Pahl, Claus</t>
  </si>
  <si>
    <t>Processes, Motivations, and Issues for Migrating to Microservices Architectures: An Empirical Investigation</t>
  </si>
  <si>
    <t>https://doi.org/10.1109/mcc.2017.4250931</t>
  </si>
  <si>
    <t>10.1109/mcc.2017.4250931</t>
  </si>
  <si>
    <t>Microservices have been getting more and more popular in recent years, and several companies are migrating monolithic applications to microservices. Microservices allow developers to independently develop and deploy services, and ease the adoption of agile processes. However, many companies are still hesitant to migrate because they consider microservice as a hype or because they are not aware of the migration process and the benefits and issues related to migration. For this purpose, we conducted a survey among experienced practitioners who already migrated their monoliths to microservices. In this paper, we identify a process framework based on the comparison of three different migration processes adopted by the interviewed practitioners, together with the common motivations and issues that commonly take place during migrations. In this work, we describe the results and provide an analysis of our survey, which includes a comparison of the migration processes, a ranking of motivations, and issues and some insights into the benefits achieved after the adoption. Maintainability and scalability were consistently ranked as the most important motivations, along with a few other technical and nontechnical motivations. Although return on investment was expected to take longer, the reduced maintenance effort in the long run was considered to highly compensate for this.</t>
  </si>
  <si>
    <t>Zeid, Abe; Sundaram, Sarvesh; Moghaddam, Mohsen Ebrahimi; Kamarthi, Sagar; Marion, Tucker J.</t>
  </si>
  <si>
    <t>Interoperability in Smart Manufacturing: Research Challenges</t>
  </si>
  <si>
    <t>https://doi.org/10.3390/machines7020021</t>
  </si>
  <si>
    <t>10.3390/machines7020021</t>
  </si>
  <si>
    <t>Recent advances in manufacturing technology, such as cyber–physical systems, industrial Internet, AI (Artificial Intelligence), and machine learning have driven the evolution of manufacturing architectures into integrated networks of automation devices, services, and enterprises. One of the resulting challenges of this evolution is the increased need for interoperability at different levels of the manufacturing ecosystem. The scope ranges from shop–floor software, devices, and control systems to Internet-based cloud-platforms, providing various services on-demand. Successful implementation of interoperability in smart manufacturing would, thus, result in effective communication and error-prone data-exchange between machines, sensors, actuators, users, systems, and platforms. A significant challenge to this is the architecture and the platforms that are used by machines and software packages. A better understanding of the subject can be achieved by studying industry-specific communication protocols and their respective logical semantics. A review of research conducted in this area is provided in this article to gain perspective on the various dimensions and types of interoperability. This article provides a multi-faceted approach to the research area of interoperability by reviewing key concepts and existing research efforts in the domain, as well as by discussing challenges and solutions.</t>
  </si>
  <si>
    <t>Langley, Adam; Riddoch, Alistair; Wilk, Alyssa; Vicente, Antonio; Krasic, Charles; Zhang, Dan; Yang, Fan; Kouranov, Fedor; Swett, Ian; Iyengar, Janardhan; Bailey, Jeffrey; Dorfman, Jeremy; Roskind, Jim; Kulik, Joanna; Westin, Patrik; Tenneti, Raman; Shade, Robbie; Hamilton, Ryan; Vasiliev, Victor; Chang, Wan-Teh; Shi, Zhongyi</t>
  </si>
  <si>
    <t>SIGCOMM - The QUIC Transport Protocol: Design and Internet-Scale Deployment</t>
  </si>
  <si>
    <t>https://doi.org/10.1145/3098822.3098842</t>
  </si>
  <si>
    <t>10.1145/3098822.3098842</t>
  </si>
  <si>
    <t>We present our experience with QUIC, an encrypted, multiplexed, and low-latency transport protocol designed from the ground up to improve transport performance for HTTPS traffic and to enable rapid deployment and continued evolution of transport mechanisms. QUIC has been globally deployed at Google on thousands of servers and is used to serve traffic to a range of clients including a widely-used web browser (Chrome) and a popular mobile video streaming app (YouTube). We estimate that 7% of Internet traffic is now QUIC. We describe our motivations for developing a new transport, the principles that guided our design, the Internet-scale process that we used to perform iterative experiments on QUIC, performance improvements seen by our various services, and our experience deploying QUIC globally. We also share lessons about transport design and the Internet ecosystem that we learned from our deployment.</t>
  </si>
  <si>
    <t>Gogolev, Alexander; Braun, Roland; Bauer, Philipp</t>
  </si>
  <si>
    <t>INDIN - TSN Traffic Shaping for OPC UA Field Devices</t>
  </si>
  <si>
    <t>https://doi.org/10.1109/indin41052.2019.8972252</t>
  </si>
  <si>
    <t>10.1109/indin41052.2019.8972252</t>
  </si>
  <si>
    <t>This paper extends research on TSN enablement for OPC UA field devices, comparing the impact of credit-based and time-aware traffic shapers. Despite conceptual difference, these traffic shaping methods can provide similar bandwidth reservation for high priority traffic. The two shapers are superposed with varying traffic limitations to assess the timing characteristics of the OPC UA data exchange using a resource-constrained field device.</t>
  </si>
  <si>
    <t>Cena, Gianluca; Bertolotti, Ivan Cibrario; Scanzio, Stefano; Valenzano, A.; Zunino, Claudio</t>
  </si>
  <si>
    <t>Synchronize Your Watches: Part II: Special-Purpose Solutions for Distributed Real-Time Control</t>
  </si>
  <si>
    <t>https://doi.org/10.1109/mie.2013.2248431</t>
  </si>
  <si>
    <t>10.1109/mie.2013.2248431</t>
  </si>
  <si>
    <t>In many distributed systems that involve interactions between physical objects, human beings and environment, the precise time of an event is very important. This is particularly true for automated control applications, wherein the knowledge of the exact time of occurrence of a certain event, or the ability to enforce a given action at a precise instant, is crucial for the correct operation of the entire system (or, at least, for its accuracy and performance). Typical examples are the execution of transactions in enterprise resource planning (ERP) systems or the coordination of movements in multi-axis, numerically controlled machines. The required degree of accuracy depends on the specific application considered. For the two cases mentioned above, for instance, it is in the order of several seconds and fractions of microseconds, respectively. It is worth noting that even in the case of distributed applications that have planning horizons of days or even weeks, such as ERP, the time resolution on different machines (as provided by the underlying operating systems) related to, e.g., the last-access/modification time for files, is typically 1 s or less.</t>
  </si>
  <si>
    <t>Meddeb, Maroua</t>
  </si>
  <si>
    <t>Information-Centric Networking, A natural design for IoT applications?</t>
  </si>
  <si>
    <t>https://doi.org/NA</t>
  </si>
  <si>
    <t>The Internet of Things (IoT) is commonly perceived as the extension of the current Internet to our physical world. It interconnects an unprecedented number of sensors/actuators, referred as things, to the Internet. Facing the important challenges imposed by devices heterogeneity and the tremendous generated traffic, the current Internet protocol suite has reached its limits. The Information-Centric Networking (ICN) has recently received a lot of attention as a potential Internet architecture to be adopted in an IoT ecosystem. The ICN paradigm is shaping the foreseen future Internet architecture by focusing on the data itself rather than its hosting location. It is a shift from a host-centric! communication model to a content-centric one supporting among! others unique and location-independent content names, in-network caching and name-based routing. By leveraging the easy data access, and reducing both the retrieval delay and the load on the data producer, the ICN can be a viable framework to support the IoT, interconnecting billions of heterogeneous constrained objects. Among several ICN architectures, the Named Data Networking (NDN) is considered as a suitable ICN architecture for IoT systems. Nevertheless, new issues have emerged slowing down the ambitions besides using the ICN paradigm in IoT environments. In fact, we have identified three major challenges. Since IoT devices are usually resource-constrained with harsh limitations on energy, memory and processing power, the adopted in-network caching techniques should be optimized. Furthermore, IoT data are transient and frequently updated by the producer which imposes stringent requirements to maintain cached data freshness. Finally, in IoT scenario, devices are ! frequently mobile and IoT applications require keeping data continuity. In this thesis, we propose a caching strategy that considers devices constraints. Then, we introduce a novel cache freshness mechanism to monitor the validity of cached contents in an IoT environment. Furthermore, to improve caching efficiency, we also propose a cache replacement policy that targets to raise the system performances and maintain data freshness. Finally, we introduce a novel name-based routing for NDN/IoT networks to support the producer mobility. We simulate and compare our proposals to several relevant schemes under a real traffic IoT network. Our schemes exhibit good system performances in terms of hop reduction ratio, server hit reduction ratio, response latency and packet loss, yet it provides a low cache cost and significantly improves the content validity.</t>
  </si>
  <si>
    <t>Manias, Dimitris M.; Saber, Ahmad Mohammad; Radaideh, Mohammed I.; Gaber, Abdelrahman Tarek; Maniatakos, Michail; Zeineldin, Hatem; Svetinovic, Davor; El-Saadany, Ehab F.</t>
  </si>
  <si>
    <t>Trends in Smart Grid Cyber-Physical Security: Components, Threats, and Solutions</t>
  </si>
  <si>
    <t>https://doi.org/10.1109/access.2024.3477714</t>
  </si>
  <si>
    <t>10.1109/access.2024.3477714</t>
  </si>
  <si>
    <t>Cruz, Tiago; Simões, Paulo; Monteiro, Edmundo</t>
  </si>
  <si>
    <t>Virtualizing Programmable Logic Controllers: Toward a Convergent Approach</t>
  </si>
  <si>
    <t>https://doi.org/10.1109/les.2016.2608418</t>
  </si>
  <si>
    <t>10.1109/les.2016.2608418</t>
  </si>
  <si>
    <t>Modern programmable logic controllers (PLCs) are pervasive components in industrial control systems (ICSs) such as supervisory control and data acquisition, designed to control industrial processes autonomously or as part of a distributed system topology. Its success may be explained by its robustness and reliability, being one of the most enduring legacies on modern ICS, despite having evolved very little over the last years. This letter proposes an x86-based virtual PLC (vPLC) architecture that decouples the logic and control capabilities from the I/O components, while virtualizing the PLC logic within a real-time hypervisor. To demonstrate the feasibility of this concept, the topic of real-time virtualization for x86 platforms is analyzed, together with an evaluation study of the properties of real-time workloads in partitioned hypervisor environments.</t>
  </si>
  <si>
    <t>Imtiaz, Jahanzaib; Jasperneite, Jurgen</t>
  </si>
  <si>
    <t>INDIN - Scalability of OPC-UA down to the chip level enables “Internet of Things”</t>
  </si>
  <si>
    <t>https://doi.org/10.1109/indin.2013.6622935</t>
  </si>
  <si>
    <t>10.1109/indin.2013.6622935</t>
  </si>
  <si>
    <t>Many implementations of the OPC-UA are increasingly available. Until now, use of technologies like the OPC-UA was limited to embedded systems with a sufficient amount of memory resources. OPC-UA offers a scalable feature set that could be tailored according to application demands. We believe that a key to successfully enable Internet of Things for the industrial automation applications lies in bringing down the OPC-UA into low end resource-limited devices, such as sensors. Because the OPC-UA provides a powerful information representation that is exchangeable through interoperable services. This paper has investigated the OPC-UA as a middleware solution for such resource-limited devices. For a proof of concept we have implemented an OPC-UA server based on the “Nano Embedded Device Server profiles” of the OPC Foundation.</t>
  </si>
  <si>
    <t>Hou, Mingxin; Jiang, Li; Jin, Minghe; Liu, Hong; Chen, Zhaopeng</t>
  </si>
  <si>
    <t>ICNC - Analysis of the multi-finger dynamics for robot hand system based on EtherCAT</t>
  </si>
  <si>
    <t>https://doi.org/10.1109/icnc.2014.6975987</t>
  </si>
  <si>
    <t>10.1109/icnc.2014.6975987</t>
  </si>
  <si>
    <t>SmartCity - Moving SCADA Systems to IaaS Clouds</t>
  </si>
  <si>
    <t>https://doi.org/10.1109/smartcity.2015.186</t>
  </si>
  <si>
    <t>10.1109/smartcity.2015.186</t>
  </si>
  <si>
    <t>SCADA systems allow users to monitor and/or control physical devices, processes and events remotely. As these systems are critical to industrial processes, they are often run on highly reliable and dedicated hardware. Moving these SCADA systems to an Infrastructure as a Service (IaaS) cloud, allows for: cheaper deployments, system redundancy support, and increased uptime, however it is not clear to what degree clouds can support the real-time requirements. Experiments were carried out to examine the effects of using cloud resources and public networks have on SCADA systems. Using the "Life-and-Shift" approach, eclipseSCADA was deployed to the NeCTAR research cloud. Performance metrics were collected from the deployed eclipseSCADA system under different loads. From these collected metrics, a series of recommendations are provided for deploying and modifying a SCADA system on IaaS cloud resources.</t>
  </si>
  <si>
    <t>Home, Stephan; Palis, Stefan; Diedrich, Christian</t>
  </si>
  <si>
    <t>WFCS - Design of communication systems for networked control system running on PROFINET</t>
  </si>
  <si>
    <t>https://doi.org/10.1109/wfcs.2014.6837578</t>
  </si>
  <si>
    <t>10.1109/wfcs.2014.6837578</t>
  </si>
  <si>
    <t>This paper shows a way of modelling the timing of an Ethernet-based communication system and examines the influence of a specific configuration on a closed-loop control. The communication system is modelled as asynchronous processes and a distribution of the delay times is derived. Using these delays, the stability criterion is checked and a Monte Carlo simulation of the step response is performed to examine the behaviour of a real application. Besides stability, performance criteria are evaluated as alternative for the specified control scenarios.</t>
  </si>
  <si>
    <t>Cao, Yue; Wang, Zhongjie; Qian, Zhiyun; Song, Chengyu; Krishnamurthy, Srikanth V.; Yu, Paul</t>
  </si>
  <si>
    <t>CCS - Principled Unearthing of TCP Side Channel Vulnerabilities</t>
  </si>
  <si>
    <t>https://doi.org/10.1145/3319535.3354250</t>
  </si>
  <si>
    <t>10.1145/3319535.3354250</t>
  </si>
  <si>
    <t>Recent work has showcased the presence of subtle TCP side channels in modern operating systems, that can be exploited by off-path adversaries to launch pernicious attacks such as hijacking a connection. Unfortunately, most work to date is on the manual discovery of such side-channels, and patching them subsequently. In this work we ask "Can we develop a principled approach that can lead to the automated discovery of such hard-to-find TCP side-channels?" We identify that the crux of why such side-channels exist is the violation of the non-interference property between simultaneous TCP connections i.e., there exist cases wherein a change in state of one connection implicitly leaks some information to a different connection (controlled possibly by an attacker). To find such non-interference property violations, we argue that model-checking is a natural fit. However, because of limitations with regards to its scalability, there exist many challenges in using model checking. Specifically, these challenges relate to (a) making the TCP code base self-contained and amenable to model checking and (b) limiting the search space of model checking and yet achieving reasonable levels of code coverage. We develop a tool that we call SCENT (for Side Channel Excavation Tool) that addresses these challenges in a mostly automated way. At the heart of SCENT is an automated downscaling component that transforms the TCP code base in a consistent way to achieve both a reduction in the state space complexity encountered by the model checker and the number and types of inputs needed for verification. Our extensive evaluations show that SCENT leads to the discovery of 12 new side channel vulnerabilities in the Linux and FreeBSD kernels. In particular, a real world validation with one class of vulnerabilities shows that an off-path attacker is able to infer whether two arbitrary hosts are communicating with each other, within slightly more than 1 minute, on average.</t>
  </si>
  <si>
    <t>Zezulka, Frantisek; Marcon, Petr; Bradac, Zdenek; Arm, J.; Benesl, Tomas; Vesely, I.</t>
  </si>
  <si>
    <t>Communication Systems for Industry 4.0 and the IIoT</t>
  </si>
  <si>
    <t>https://doi.org/10.1016/j.ifacol.2018.07.145</t>
  </si>
  <si>
    <t>10.1016/j.ifacol.2018.07.145</t>
  </si>
  <si>
    <t>Abstract The paper discusses the basics of communication systems for open, safe, secure, near realtime, standardized communication interfaces and examines the problem of a unified architecture to comply with the principles of Industry 4.0 as applied to enterprises of the future. The first part of the analysis presents Open Platform Communication - Unified Architecture (OPC UA), a common SW basis to interconnect communication interfaces and control plus information protocols for the purposes of Industry 4.0. The platform enables readers from different branches of engineering to understand the fundamentals of state-of-the-art open communication, a necessity for further development of the Industrial Internet of Things (IIoT) and Industry 4.0 concepts. The following portion of the text then presents the most topical activities within enhancing the real - time properties of Internet of Things and Industry 4.0. The basics of Time Sensitive Networks (TSN) are explained and compared with the features and possibilities of standard public networks (the Internet) in relation to the onset of the 4th industrial revolution as outlined in the article.</t>
  </si>
  <si>
    <t>Ladegourdie, Marc; Kua, Jonathan</t>
  </si>
  <si>
    <t>Performance Analysis of OPC UA for Industrial Interoperability towards Industry 4.0</t>
  </si>
  <si>
    <t>https://doi.org/10.3390/iot3040027</t>
  </si>
  <si>
    <t>10.3390/iot3040027</t>
  </si>
  <si>
    <t>&lt;jats:p&gt;Open Platform Communications Unified Architecture (OPC UA) incorporates a wide range of features and covers most of the requirements for a platform-independent interoperability standard which can be used to transmit data and information from the factory production floor to the enterprise and management level. Due to its highly scalable and interoperable architecture, it is well-positioned for future deployment in smart embedded devices towards Industry 4.0, especially in environments where there are heterogeneous communication nodes. In this paper, we aim to evaluate the performance of OPC UA for communication in Industrial Internet of Things (IIoT) environments to better understand the technical implementation of OPC UA and the feasibility of incorporating OPC UA directly to resource-constrained edge devices. We propose an architectural system framework for OPC UA performance evaluation across a wide range of experiments. Our experimental results demonstrated the efficacy of the proposed system and evaluation framework. The OPC UA-based IIoT system architecture and budget-friendly/cost-effective testbed setup can be flexibly adopted for protocol testing, prototyping and educational purposes.&lt;/jats:p&gt;</t>
  </si>
  <si>
    <t>Gündoğan, Cenk; Kietzmann, Peter; Lenders, Martine; Petersen, Hauke; Schmidt, Thomas C.; Wählisch, Matthias</t>
  </si>
  <si>
    <t>ICN - NDN, CoAP, and MQTT: a comparative measurement study in the IoT</t>
  </si>
  <si>
    <t>https://doi.org/10.1145/3267955.3267967</t>
  </si>
  <si>
    <t>10.1145/3267955.3267967</t>
  </si>
  <si>
    <t>This paper takes a comprehensive view on the protocol stacks that are under debate for a future Internet of Things (IoT). It addresses the holistic question of which solution is beneficial for common IoT use cases. We deploy NDN and the two popular IP-based application protocols, CoAP and MQTT, in its different variants on a large-scale IoT testbed in single- and multi-hop scenarios. We analyze the use cases of scheduled periodic and unscheduled traffic under varying loads. Our findings indicate that (a) NDN admits the most resource-friendly deployment on nodes, and (b) shows superior robustness and resilience in multi-hop scenarios, while (c) the IP protocols operate at less overhead and higher speed in single-hop deployments. Most strikingly we find that NDN-based protocols are in significantly better flow balance than the UDP-based IP protocols and require fewer corrective actions.</t>
  </si>
  <si>
    <t>Handschin, Edmund; Petroianu, Alexander</t>
  </si>
  <si>
    <t>Energy Management Systems</t>
  </si>
  <si>
    <t>https://doi.org/10.1007/978-3-642-84041-8</t>
  </si>
  <si>
    <t>10.1007/978-3-642-84041-8</t>
  </si>
  <si>
    <t>Tanyakom, Apisit; Pongswatd, Sawai; Julsereewong, Amphawan; Rerkratn, Apinai</t>
  </si>
  <si>
    <t>Integration of WirelessHART and ISA100.11a field devices into condition monitoring system for starting IIoT implementation</t>
  </si>
  <si>
    <t>https://doi.org/10.23919/sice.2017.8105764</t>
  </si>
  <si>
    <t>10.23919/sice.2017.8105764</t>
  </si>
  <si>
    <t>This paper presents a technique to integrate wireless field devices using WirelessHART and ISA100.11a technologies into a condition monitoring system based on Wonderware InTouch software. The proposed integration brings the data from a field site with digital multi-device networking for automatic data collection to support the condition monitoring of instruments or smart connected equipment in preparation of the Industrial Internet of Things (IIoT) implementation. Data including process variables and diagnostics from WirelessHART and ISA100.11a devices are buffered and mapped into Modbus/TCP registers for real-time monitoring at the operator workstation. Experimental results confirm that the proposed integration functions correctly.</t>
  </si>
  <si>
    <t>Teranishi, Yuuichi; Saito, Yuki; Murono, Sakae; Nishinaga, Nozomu; 寺西, 裕一; 齋藤, 祐貴; 室野, 栄; 西永, 望</t>
  </si>
  <si>
    <t>JOSE: An Open Testbed for Field Trials of Large-scale IoT Services</t>
  </si>
  <si>
    <t>10.1109/tpwrd.2010.2061872</t>
  </si>
  <si>
    <t>Pfrommer, Julius; Usländer, Thomas</t>
  </si>
  <si>
    <t>Open-Source Implementierung von OPC UA PubSub für echtzeitfähige Kommunikation mit Time-Sensitive Networking</t>
  </si>
  <si>
    <t>https://doi.org/10.1007/978-3-662-59895-5_6</t>
  </si>
  <si>
    <t>10.1007/978-3-662-59895-5_6</t>
  </si>
  <si>
    <t>OPC UA hat sich in den letzten Jahren als Protokoll fur industrielle nicht-echtzeitkritische Kommunikation durchgesetzt. Mit OPC UA PubSub wird nun OPC UA um das Publish / Subscribe Kommunikationsmuster erweitert. Es wird gezeigt, wie OPC UA PubSub in Kombination mit Time-Sensitive Networking (TSN) auch fur echtzeitkritische Kommunikation genutzt werden kann. Der Ausgangspunkt ist die Erkenntnis, dass zur Einhaltung der Zeitschranken fur Echtzeitkommunikation der Publisher in einem (von der Netwerkhardware getriggerten) Interrupt ausgefuhrt werden muss. Daraus folgern Anforderungen an die Synchronisation des PubSub Publishers mit dem nichtechtzeitkritischen OPC UA Server, dessen Informationsmodell auch die Grundlage fur die im Publisher erzeugten Nachrichten ist.</t>
  </si>
  <si>
    <t>Yoo, Byong-Kwan; Yang, Seung-Ho; Yang, Hyo-Sik; Kim, Won Yong; Jeong, Yu-Seok; Han, Byung-Moon; Jang, Kwang-Soo</t>
  </si>
  <si>
    <t>Communication Architecture of the IEC 61850-based Micro Grid System</t>
  </si>
  <si>
    <t>https://doi.org/10.5370/jeet.2011.6.5.605</t>
  </si>
  <si>
    <t>10.5370/jeet.2011.6.5.605</t>
  </si>
  <si>
    <t>As the power grids are integrated into one big umbrella called a "smart grid," communication protocol plays a key role in successful operations. The successful deployment of smart grid interoperability is a major hurdle that must be overcome. The micro grid, a small power system that distributes energy resource, is operated in diverse regions. Different vendors use different communication protocols in the operation of the micro grid. Recently, the IEC 61850 has been legislated to solve the interoperability problems in power utility automation. The present paper presents a micro grid system based on the IEC 61850 protocol. It consists of a micro grid monitoring system, a protocol converter that transforms serial data to IEC 61850 data, and distributed energy resource controllers for diverse DER nodes. A developed communication gateway can be deployed for DER controllers with serial links to exchange data with IEC 61850-based devices. The gateway can be extended to IEC 61850-based distribution automation systems, substation automation systems, or SCADA.</t>
  </si>
  <si>
    <t>Toh, C. L.; Norum, Lars</t>
  </si>
  <si>
    <t>A performance analysis of three potential control network for monitoring and control in Power Electronics converter</t>
  </si>
  <si>
    <t>https://doi.org/10.1109/icit.2012.6209942</t>
  </si>
  <si>
    <t>10.1109/icit.2012.6209942</t>
  </si>
  <si>
    <t>A simple and fast internal communication system is highly demanded for future complex Power Electronics (PE) converters such as multilevel converters. To increase the reliability, more data/information will be required for local/internal monitoring and control. Therefore, a high speed control network is essential for the future PE converter system. This paper will first present the basic communication requirements for future advanced control in PE converters. Three potential high speed (100 Mbps) control networks (MACRO, PROFINET IRT, and EtherCAT) are being reviewed and analyzed. Finally, a case study is presented on a 3 phase Modular Multilevel Converter.</t>
  </si>
  <si>
    <t>Wu, Xuepei; Xie, Lihua; Lim, Freddy</t>
  </si>
  <si>
    <t>IECON - Network delay analysis of EtherCAT and PROFINET IRT protocols</t>
  </si>
  <si>
    <t>https://doi.org/10.1109/iecon.2014.7048872</t>
  </si>
  <si>
    <t>10.1109/iecon.2014.7048872</t>
  </si>
  <si>
    <t>Real-time protocols originated from standard Ethernet technology have been gradually developed over the last decade. Candidates of real-time Ethernet protocols are EtherCAT and PROFINET IRT from Beckhoff and Siemens, respectively. In contrast to standard Ethernet, data-link layers of both Ethernet-like networks are modified from IEEE 802.3 in order to improve real-time capabilities for critical communications. Network delay refers to data transfer time on a network. It is of great importance to assess this parameter for industrial networks as it can possibly make significant impact to the control system performance. This paper gives network delay analysis on EtherCAT and PROFINET IRT in the context of industrial applications. Delays are formulated and then evaluated under both synchronous and asynchronous system configurations. Simulation results demonstrate that both protocols are of realtime guarantees in data transfer. However, each protocol has its own characteristics and strong points due to different MAC layer design.</t>
  </si>
  <si>
    <t>Wu, Xuan; Goepp, Virginie; Siadat, Ali</t>
  </si>
  <si>
    <t>Concept and engineering development of cyber physical production systems: a systematic literature review</t>
  </si>
  <si>
    <t>https://doi.org/10.1007/s00170-020-06110-2</t>
  </si>
  <si>
    <t>10.1007/s00170-020-06110-2</t>
  </si>
  <si>
    <t>Cyber Physical Systems (CPSs) play a crucial role in the Industry 4.0 paradigm. The application of CPSs in production and manufacturing environments gave rise to the term Cyber Physical Production Systems (CPPSs). There is a growing interest in CPPSs, yet research in this area is scattered and needs to be reviewed for understanding their development status and maturity. The aim of this study is to carry out a systematic literature review (SLR) to analyze the current research activities on CPPSs according to their contributions to the engineering life cycle of such production system. Firstly, a method for SLR is presented. Then, literature analysis of CPPSs is conducted to present research activities in the light of the concept development and engineering development stages. Finally, based on the results of the literature analysis, a concept map of CPPSs research is proposed, which depicts the existing research topics in the engineering life cycle of CPPSs. And we exploit it to propose a research agenda of the CPPSs integration process required to ensure their efficient industrial use. Findings of this review can help researchers to examine the maturity of the development status of CPPSs, to discover which phases require improvement, and to know the future research directions for their industrial practices.</t>
  </si>
  <si>
    <t>10.23919/sice.2017.8105726</t>
  </si>
  <si>
    <t>Memon, Aushiq Ali; Kauhaniemi, Kimmo</t>
  </si>
  <si>
    <t>Real-Time Hardware-in-the-Loop Testing of IEC 61850 GOOSE-Based Logically Selective Adaptive Protection of AC Microgrid</t>
  </si>
  <si>
    <t>https://doi.org/10.1109/access.2021.3128370</t>
  </si>
  <si>
    <t>10.1109/access.2021.3128370</t>
  </si>
  <si>
    <t>The real-time (RT) hardware-in-the-loop (HIL) simulation-based testing is getting popular for power systems and power electronics applications. The HIL testing provides the interactive environment between the actual power system components like control and protection devices and simulated power system networks including different communication protocols. Therefore, the results of the RT simulation and HIL testing before the actual implementation in the field are generally more acceptable than offline simulations. This paper reviews the HIL testing methods and applications in the recent literature and presents a step-by-step documentation of a new HIL testing setup for a specific case study. The case study evaluates real-time implementation of previously proposed communication-dependent logically selective adaptive protection algorithm of AC microgrids using HIL testing of IEC 61850 generic object-oriented substation event (GOOSE) protocol. The RT model of AC microgrid including the converter-based distributed energy resources and battery storage along with IEC 61850 GOOSE protocol implementation is created in MATLAB/Simulink and RT-LAB software using OPAL-RT simulator platform. Local area network (LAN) at the laboratory acts as IEC 61850 station bus for exchanging GOOSE Boolean signals between the RT target and the actual digital relay. The evaluation of the round-trip delay using the RT simulation has been performed. It is found that the whole process of fault detection, isolation and adaptive setting using Ethernet communication is possible within the standard low voltage ride through curve maintaining the seamless transition to the islanded mode. The signal monitoring inside the relay is suggested to avoid false tripping of the relay.</t>
  </si>
  <si>
    <t>Queiroz, Rui; Cruz, Tiago; Mendes, Jérôme; Sousa, Pedro; Simões, Paulo</t>
  </si>
  <si>
    <t>Container-based Virtualization for Real-time Industrial Systems—A Systematic Review</t>
  </si>
  <si>
    <t>https://doi.org/10.1145/3617591</t>
  </si>
  <si>
    <t>10.1145/3617591</t>
  </si>
  <si>
    <t>&lt;jats:p&gt;Industrial Automation and Control systems have matured into a stable infrastructure model that has been kept fundamentally unchanged, using discrete embedded systems (such as Programmable Logic Controllers) to implement the first line of sensorization, actuation, and process control and stations and servers providing monitoring, supervision, logging/database and data-sharing capabilities, among others. More recently, with the emergence of the Industry 4.0 paradigm and the need for more flexibility, there has been a steady trend towards virtualizing some of the automation station/server components, first by using virtual machines and, more recently, by using container technology. This trend is pushing for better support for real-time requirements on enabling virtualization technologies such as virtual machines and containers.&lt;/jats:p&gt; &lt;jats:p&gt;This article provides a systematic review on the use of container virtualization in real-time environments such as cyber-physical systems, assessing how existing and emerging technologies can fulfill the associated requirements. Starting by reviewing fundamental concepts related to container technology and real-time requirements, it goes on to present the methodology and results of a systematic study of 37 selected papers covering aspects related to the enforcement of real-time constrains within container hosts and the expected task latency on such environments, as well as an overview of container platforms and orchestration mechanisms for RT systems.&lt;/jats:p&gt;</t>
  </si>
  <si>
    <t>,</t>
  </si>
  <si>
    <t>Industry 4.0 for SMEs</t>
  </si>
  <si>
    <t>https://doi.org/10.1007/978-3-030-25425-4</t>
  </si>
  <si>
    <t>10.1007/978-3-030-25425-4</t>
  </si>
  <si>
    <t>Dang, Quoc Viet; Allouche, Benyamine; Dequidt, Antoine; Vermeiren, Laurent; Dubreucq, V.</t>
  </si>
  <si>
    <t>ICIT - Real-time control of a force feedback haptic interface via EtherCAT fieldbus</t>
  </si>
  <si>
    <t>https://doi.org/10.1109/icit.2015.7125138</t>
  </si>
  <si>
    <t>10.1109/icit.2015.7125138</t>
  </si>
  <si>
    <t>This paper is to present a technological solution for implementing a force feedback haptic interface in the context of virtual reality interaction applications. The real-time haptic algorithms are implemented in TwinCAT runtime environment to control drivers via EtherCAT fieldbus. A 3-dimensional visualization model for the virtual reality interaction is developed through Virtual Reality Toolbox in Matlab/Simulink and interconnected with TwinCAT software through the Automation Device Specification communication protocol. The using of Matlab/Simulink with model-based programming method instead of the C++ programming language allows researchers in haptic domain to focus more on the control engineering issues than programming skills. Some experimental tests and verification of the haptic algorithms with visualization model are presented.</t>
  </si>
  <si>
    <t>Rawashdeh, Adnan; Alkasassbeh, Mouhammd; Al-Hawawreh, Muna</t>
  </si>
  <si>
    <t>An anomaly-based approach for DDoS attack detection in cloud environment</t>
  </si>
  <si>
    <t>https://doi.org/10.1504/ijcat.2018.10014729</t>
  </si>
  <si>
    <t>10.1504/ijcat.2018.10014729</t>
  </si>
  <si>
    <t>Cloud computing is currently a major focal point for researchers owing to its widespread application and benefits. Cloud computing's complete reliance on the internet for service provision and its distributed nature pose challenges to security, the most serious being insider Distributed Denial of Service (DDoS) which causes a total deactivation of service. Traditional defence mechanisms, such as firewalls, are unable to detect insider attacks. This work proposes an anomaly intrusion detection approach in the hypervisor layer to discourage DDoS activities between virtual machines. The proposed approach is implemented by the evolutionary neural network which integrates the particle swarm optimisation with neural network for detection and classification of the traffic that is exchanged between virtual machines. The performance analysis and results of our proposed approach detect and classify the DDoS attacks in the cloud environment with minimum false alarms and high detection accuracy.</t>
  </si>
  <si>
    <t>Tsalis, Nikolaos; Stergiopoulos, George; Bitsikas, Evangelos; Gritzalis, Dimitris; Apostolopoulos, Theodore K.</t>
  </si>
  <si>
    <t>ICETE (2) - Side Channel Attacks over Encrypted TCP/IP Modbus Reveal Functionality Leaks.</t>
  </si>
  <si>
    <t>https://doi.org/10.5220/0006832700530063</t>
  </si>
  <si>
    <t>10.5220/0006832700530063</t>
  </si>
  <si>
    <t>Ionescu, Dan; Filipescu, Adrian; Simion, Georgian; Mincă, Eugenia; Cernega, Daniela; Șolea, Răzvan; Filipescu, Adriana</t>
  </si>
  <si>
    <t>Communication and Control of an Assembly, Disassembly and Repair Flexible Manufacturing Technology on a Mechatronics Line Assisted by an Autonomous Robotic System</t>
  </si>
  <si>
    <t>https://doi.org/10.3390/inventions7020043</t>
  </si>
  <si>
    <t>10.3390/inventions7020043</t>
  </si>
  <si>
    <t>&lt;jats:p&gt;This paper aims to describe modeling and control in what concerns advanced manufacturing technology running on a flexible assembly, disassembly and repair on a mechatronic line (A/D/RML) assisted by an Autonomous Robotic System (ARS), two robotic manipulators (RM) and visual servoing system (VSS). The A/D/RML consists of a six workstations (WS) mechatronics line (ML) connected to a flexible cell (FC) equipped with a 6-DOF ABB industrial robotic manipulator (IRM) and an ARS used for manipulation and transport. A hybrid communication and control based on programmable logic controller (PLC) architecture is used, which consists of two interconnected systems that feature both distributed and centralized topology, with specific tasks for all the manufacturing stages. Profinet communication link is used to interconnect and control FC and A/D/RML. The paper also discusses how to synchronize data between different field equipment used in the industry and the control systems. Synchronization signals between the master PLC and ARS is performed by means of Modbus TCP protocol and OPC UA. The structure of the ARS consists of a wheeled mobile robot (WMR) with two driving wheels and one free wheel (2DW/1FW) equipped with a 7-DOF RM. Trajectory tracking sliding-mode control (TTSMC) is used to control WMR. The end effector of the ARS RM is equipped with a mobile eye-in-hand VSS technology for the precise positioning of RM to pick and place the workparts in the desired location. Technology operates synchronously with signals from sensors and from the VSS HD camera. If the workpiece does not pass the quality test, the process handles it by transporting back from the end storage unit to the flexible cell where it will be considered for reprocessing, repair or disassembling with the recovery of the dismantled parts. The recovered or replaced components are taken over by the ARS from disassembling location and transported back to the dedicated storage warehouses to be reused in the further assembly processes.&lt;/jats:p&gt;</t>
  </si>
  <si>
    <t>Kerrouche, Abdelali; Senouci, Mustapha Reda; Mellouk, Abdelhamid</t>
  </si>
  <si>
    <t>ICC - QoS-FS: A new forwarding strategy with QoS for routing in Named Data Networking</t>
  </si>
  <si>
    <t>https://doi.org/10.1109/icc.2016.7511378</t>
  </si>
  <si>
    <t>10.1109/icc.2016.7511378</t>
  </si>
  <si>
    <t>Information-Centric Networking (ICN) is a novel paradigm for future Internet architectures. The aim of ICN is to accommodate content distribution within the Internet infrastructure. Named Data Networking (NDN) is one of the most popular ICN proposal. This paper presents a design of QoS-FS, a new NDN's adaptive forwarding strategy with quality of service (QoS). At each node of the network, QoS-FS monitors, in real-time, ingoing and outgoing networks' link to estimate the QoS parameters and integrate them into the different decisions taken to determine when and which interface to use to forward an Interest. Therefore, making forwarding decision adaptive to network conditions and user's preferences. We provide simulation experiments to demonstrate the efficiency of the proposed solution.</t>
  </si>
  <si>
    <t>Butts, Jonathan; Shenoi, Sujeet</t>
  </si>
  <si>
    <t>Critical Infrastructure Protection VIII - Critical Infrastructure Protection VIII</t>
  </si>
  <si>
    <t>https://doi.org/10.1007/978-3-662-45355-1</t>
  </si>
  <si>
    <t>10.1007/978-3-662-45355-1</t>
  </si>
  <si>
    <t>The use of general descriptive names, registered names, trademarks, service marks, etc. in this publication does not imply, even in the absence of a specific statement, that such names are exempt from the relevant protective laws and regulations and therefore free for general use. While the advice and information in this book are believed to be true and accurate at the date of publication, neither the authors nor the editors nor the publisher can accept any legal responsibility for any errors or omissions that may be made. The publisher makes no warranty, express or implied, with respect to the material contained herein.</t>
  </si>
  <si>
    <t>Pfrommer, Julius; Ebner, Andreas; Ravikumar, Siddharth; Karunakaran, Bhagath</t>
  </si>
  <si>
    <t>ETFA - Open Source OPC UA PubSub Over TSN for Realtime Industrial Communication</t>
  </si>
  <si>
    <t>https://doi.org/10.1109/etfa.2018.8502479</t>
  </si>
  <si>
    <t>10.1109/etfa.2018.8502479</t>
  </si>
  <si>
    <t>OPC UA is a client-server communication protocol for industrial use cases without hard realtime requirements. The new PubSub extension of OPC UA adds the possibility of many-to-many communication based on the Publish / Subscribe paradigm. In conjunction with the upcoming Time-Sensitive Networking (TSN) extensions of Ethernet, OPC UA Pub Sub aims to also cover time-deterministic connectivity. This poses requirements to OPC UA implementations that have traditionally not been regarded. We propose an approach to combine non-realtime OPCUA servers with realtime OPC UA Pub Sub where both can access a shared information model without the loss of realtime guarantees for the publisher. As a result, the publisher can be run inside a (hardware-triggered) interrupt to ensure short delays and small jitter. An open source implementation of OPC UA Pub Sub is provided based on the open62541 SDK. This is also the basis for measurements used to evaluate the potential of the technology.</t>
  </si>
  <si>
    <t>10.1016/j.cose.2004.06.011</t>
  </si>
  <si>
    <t>10.1109/cspis.2018.8642758</t>
  </si>
  <si>
    <t>Ding, Yuemin; Hong, Seung Ho; Lu, Renzhi; Kim, Jongbeom; Lee, Yong Hee; Xu, Aidong; Xiaobing, Liang</t>
  </si>
  <si>
    <t>ICIA - Experimental investigation of the packet loss rate of wireless industrial networks in real industrial environments</t>
  </si>
  <si>
    <t>https://doi.org/10.1109/icinfa.2015.7279441</t>
  </si>
  <si>
    <t>10.1109/icinfa.2015.7279441</t>
  </si>
  <si>
    <t>In the field of wireless industrial automation networks (WIANs), the WirelessHART and ISA100.11a protocols are promoted, which support time division and carriersensing multiple access schemes, channel hopping schemes, and mesh network topology to improve reliability and scalability. However, they work on the 2.4-GHz non-licensed industrial, scientific, and medical (ISM) frequency band. This band has become crowded in industrial applications, i.e., ZigBee, Bluetooth and wireless local area networks (WLAN), which has led to coexistence issues. Here, we investigated experimentally the data link layer packet loss rate ofWirelessHART and ISA100.11a protocols coexisting with IEEE 802.15.4 and IEEE 802.11n-based WLAN interference systems. The experimental testbed comprised WirelessHART, ISA100.11a, ZigBee, and IEEE 802.11n-based WLAN systems. During the test, either the WirelessHART or the ISA100.11a served as the system under test and the other systems were used for wireless interferences. WirelessHART and ISA100.11a field devices were developed to set up WirelessHART and ISA100.11a networks systems. All the systems were distributed in a wide and real industrial environment with metal structures and industrial equipment generating interference. Finally, a series of experiments was performed. The experimental results and analysis provide useful information on coexistence issues for system designers and standard developers of WIANs.</t>
  </si>
  <si>
    <t>I2MTC - Assessment of Different OPC UA Industrial IoT solutions for Distributed Measurement Applications</t>
  </si>
  <si>
    <t>https://doi.org/10.1109/i2mtc43012.2020.9129474</t>
  </si>
  <si>
    <t>10.1109/i2mtc43012.2020.9129474</t>
  </si>
  <si>
    <t>The Industrial IoT scenario represents an interesting opportunity for distributed measurements systems, that are typically based on efficient and reliable communication systems, as well as the widespread availability of data from measurement instruments and/or sensors. The Open Platform Communications (OPC) Unified Architecture (UA) protocol is designed to ensure interoperability between heterogeneous sensors and acquisition systems, given its object–oriented structure allowing a complete contextualization of the information. Stemming from the intrinsic complexity of OPC UA, we designed an experimental measurement setup to carry out a meaningful performance assessment of its main open source implementations. The aim is to characterize the impact of the adoption of this protocol stack in a DMS in terms of both latency and power consumption, and to provide a general yet accurate and reproducible measurement setup.</t>
  </si>
  <si>
    <t>Sung, Minyoung; Kim, Ikhwan; Kim, Taehyoun</t>
  </si>
  <si>
    <t>Toward a Holistic Delay Analysis of EtherCAT Synchronized Control Processes</t>
  </si>
  <si>
    <t>https://doi.org/10.15837/ijccc.2013.4.384</t>
  </si>
  <si>
    <t>10.15837/ijccc.2013.4.384</t>
  </si>
  <si>
    <t>This paper analyzes the end-to-end delay of EtherCAT-based control processes that use the events of message frames and global clock for synchronized operation. With the end-to-end delay defined as the time interval between the start of a process cycle and the actual input or output, we develop a holistic delay model for control processes in EtherCAT, by taking into account the time for in-controller processing, message delivery, and slave-local handling. Based on the measurements from a real EtherCAT control system, we discuss the average and deviation of the process delay as we vary the number of slaves and process cycle time. The experiment results show that the output delays are mainly increased by the average controller delay, whereas the input delays are more affected by the deviation rather than the average of the controller delay. Our in-depth analysis on the controller reveals that DMA time chiefly enlarges the controller delay for increasing number of slaves, while task release jitter is the main cause of the increased delay for longer cycle time. The presented delay model and evaluation results can be essentially used for the design of EtherCAT-based automation that requires highly synchronized operations, such as for coordinated motion and high-precision data sensing.</t>
  </si>
  <si>
    <t>Liu, Zhaoming; Liu, Nailong; Tao, Zhang; Cui, Long; Li, Hongyi</t>
  </si>
  <si>
    <t>ICIA - EtherCAT based robot modular joint controller</t>
  </si>
  <si>
    <t>https://doi.org/10.1109/icinfa.2015.7279562</t>
  </si>
  <si>
    <t>10.1109/icinfa.2015.7279562</t>
  </si>
  <si>
    <t>EtherCAT technology is originally developed by Beckhoff. EtherCAT is by and large the fastest industrial Ethernet technology, and it also synchronizes with nanosecond accuracy. EtherCAT sets new standards for real-time performance and topology flexibility. In this paper, the development of EtherCAT based robot modular joint controller is introduced. This paper describes the hardware and software design, such as PDI design, Slave Stack Code, CiA402 Driver Profile, device description file design and so on. At last, experiments are implemented to test the controller.</t>
  </si>
  <si>
    <t>Vinoski, Steve</t>
  </si>
  <si>
    <t>Advanced Message Queuing Protocol</t>
  </si>
  <si>
    <t>https://doi.org/10.1109/mic.2006.116</t>
  </si>
  <si>
    <t>10.1109/mic.2006.116</t>
  </si>
  <si>
    <t>The advanced message queuing protocol (AMQP) working group's goal is to create an open standard for an interoperable enterprise-scale asynchronous messaging protocol. AMQP is finally addressing the lack of enterprise messaging interoperability standards. This relatively simple yet compellingly powerful enterprise messaging protocol is thus poised to open up a bright new era for enterprise messaging</t>
  </si>
  <si>
    <t>Wang, Shaoqiang; Xu, DongSheng; Yan, ShiLiang</t>
  </si>
  <si>
    <t>Analysis and application of Wireshark in TCP/IP protocol teaching</t>
  </si>
  <si>
    <t>https://doi.org/10.1109/edt.2010.5496372</t>
  </si>
  <si>
    <t>10.1109/edt.2010.5496372</t>
  </si>
  <si>
    <t>TCP/IP is widely employed to interconnect computing facilities in today's network environments, and it is the most important content of networking elements study. This paper introduces the functions and characteristics of Wireshark, and expounds its analysis and application in TCP/IP protocol teaching by some specific examples. The practice shows that good teaching result will be received with the aid of Wireshark and it is worth popularization and application.</t>
  </si>
  <si>
    <t>Merchant, H. K.; Ahire, D. D.</t>
  </si>
  <si>
    <t>Industrial Automation using IoT with Raspberry Pi</t>
  </si>
  <si>
    <t>Noce, Julia; Lopes, Yona; de Azevedo Fernandes, Natália Coelho Couto; Albuquerque, Célio; Muchaluat-Saade, Débora C.</t>
  </si>
  <si>
    <t>ISIE - Identifying vulnerabilities in smart gric communication networks of electrical substations using GEESE 2.0</t>
  </si>
  <si>
    <t>https://doi.org/10.1109/isie.2017.8001232</t>
  </si>
  <si>
    <t>10.1109/isie.2017.8001232</t>
  </si>
  <si>
    <t>The use of Intelligent Electronic Devices (IEDs) in electrical substations has brought a great improvement in terms of speed, costs, maintenance, and reliability. In this context, the use of IEC 61850 standard appears as one of the main recommendations for substation automation in smart grids that digitally perform the electrical network control and protection. Nevertheless, this improvement may be prone to a number of security issues. Therefore, security threats in substation networks must be detected in order to improve cyber security solutions. GEESE is a command-line packet generator software following the IEC 61850 standard. In this work, we propose GEESE 2.0, an extension to GEESE that provides a graphical user interface that easily allows substation cyber security threat evaluation. Moreover, GEESE 2.0 can sniff, capture, modify and send GOOSE packets on the network, so that it can create different attacks in order to evaluate the substation security. We have locally deployed a substation network emulation and used GEESE 2.0 to perform network attacks in order to analyze the impact of an attack in a substation protection scheme.</t>
  </si>
  <si>
    <t>Gemirter, Cavide Balki; Senturca, Cagatay; Baydere, Sebnem</t>
  </si>
  <si>
    <t>A Comparative Evaluation of AMQP, MQTT and HTTP Protocols Using Real-Time Public Smart City Data</t>
  </si>
  <si>
    <t>https://doi.org/10.1109/ubmk52708.2021.9559032</t>
  </si>
  <si>
    <t>10.1109/ubmk52708.2021.9559032</t>
  </si>
  <si>
    <t>MQTT, AMQP and HTTP are messaging protocols that are commonly used for communicating with resource-constrained IoT devices. HTTP is the standard reference protocol for the REST transportation based on the request/response model, whereas both AMQP and MQTT are message-oriented protocols that use the publish/subscribe model. Message-oriented protocols enhance some of the shortcomings of the complex HTTP protocol by using asynchronous communication, changing the design from a document-centric to a data-centric approach and decreasing the header and message sizes. Although significant technical detail is present on these protocols, their real-time performance is insufficiently elaborated. In this paper, we present an experimental evaluation of these protocols conducted in a homogeneous IoT testbed using a real-time Smart City public data set. We provide the behavioral differences between messaging-based protocols and the REST-based HTTP protocol in terms of message latency and CPU usage for varying traffic loads and message sizes. The results showed that MQTT and AMQP are four times faster than HTTP protocol when comparing the message sent latencies. HTTP uses four times more CPU than the AMQP and MQTT protocols. In summary, message-oriented protocols give more stable and improved results as compared to the REST model-based HTTP protocol for all evaluation scenarios.</t>
  </si>
  <si>
    <t>Sofia, Rute C.; Mendes, Paulo</t>
  </si>
  <si>
    <t>An Overview on Push-Based Communication Models for Information-Centric Networking</t>
  </si>
  <si>
    <t>https://doi.org/10.3390/fi11030074</t>
  </si>
  <si>
    <t>10.3390/fi11030074</t>
  </si>
  <si>
    <t>Information-centric networking integrates by design a pull-based model which brings in advantages in terms of control as well as of in-network caching strategies. Currently, ICN main areas of action concern content distribution and IoT, both of which are environments that often require support for periodic and even-triggered data transmission. Such environments can benefit from push-based communication to achieve faster data forwarding. This paper provides an overview on the current push-based mechanisms that can be applied to information-centric paradigms, explaining the trade-off associated with the different approaches. Moreover, the paper provides design guidelines for integrating push communications in information-centric networking, having as example the application of this networking architecture in IoT environments.</t>
  </si>
  <si>
    <t>Vulnerability Identification of Operational Technology Protocol Specifications Through Formal Modeling</t>
  </si>
  <si>
    <t>https://doi.org/10.1109/icspcs58109.2023.10261127</t>
  </si>
  <si>
    <t>10.1109/icspcs58109.2023.10261127</t>
  </si>
  <si>
    <t>Operational Technology systems are implementing more networking capabilities as increased data visibility, remote management, and automation have become priorities for many system stakeholders. As these previously air-gapped systems become more connected, increased cybersecurity risks are associated with the utilized communication protocols. The energy sector, in particular, relies heavily on a Defense-in-Depth approach to mitigate protocol vulnerabilities that may be exploited by a malicious actor. However, a protocol's specification and any deviations from it for on-device implementations may greatly impact the efficacy of an attack on a device's operation, reliability, or performance. A device with a robust protocol implementation may have lower latency and a higher successful response rate than other devices when under attack. In this paper, we propose the identification of critical transitions in a device's protocol implementation of the Modbus protocol through model-based formal verification utilizing the Construction and Analysis of Distributed Processes toolbox. Following the protocol specification, the models written in the Language Of Temporal Ordering Specification (LOTOS) New Technology (LNT) language were first validated for a single type of packet transaction and subsequently expanded to the full Modbus protocol implementation. The identified critical transitions, in this case, outline any point at which the protocol defines handling unexpected data outside of normal packet processing. We use packet traces captured from real-world infrastructure to validate the correctness of our model in representing an on-device Modbus implementation. Utilizing the identified critical transitions can improve a device's protocol implementation and lessen the impact of a cyberattack on the device or the network.</t>
  </si>
  <si>
    <t>10.1016/s0164-1212(00)00089-3</t>
  </si>
  <si>
    <t>Jafary, Peyman; Supponen, Antti; Repo, Sami</t>
  </si>
  <si>
    <t>Network Architecture for IEC61850-90-5 Communication: Case Study of Evaluating R-GOOSE over 5G for Communication-Based Protection</t>
  </si>
  <si>
    <t>https://doi.org/10.3390/en15113915</t>
  </si>
  <si>
    <t>10.3390/en15113915</t>
  </si>
  <si>
    <t>&lt;jats:p&gt;The smart grid includes wide-area applications in which inter-substation communication is required to realize innovative monitoring, protection, and control solutions. Internet-based data exchange, i.e., communication over Internet Protocol (IP), is regarded as the latest trend for inter-substation communication. Interoperability can be achieved via the use of standardized IEC 61850-90-5 messages communicating over IP. Wide-area applications can obtain benefits from IP-multicast technologies and use a one-to-many communication model among substations communicating across a communication network. Cellular Internet is being considered as a potential cost-efficient solution which can be used for the IP-multicast communication. However, it requires knowledge of communicating uncommon IP-multicast traffic over the Internet. Moreover, it presents challenges in terms of cybersecurity and real-time requirements. These challenges must be overcome to realize authentic and correct operation of the wide-area applications. There is thus a need to examine communication security and to evaluate if the communication network characteristics satisfy the application real-time requirement. This paper investigates the secure communication of IEC61850-90-5 multicast messages over the public communication network and proposes two network architectures using the Generic Routing Encapsulation (GRE) tunnel and multipoint GRE (mGRE) within Dynamic Multipoint VPN (DMVPN). Additionally, this paper evaluates the feasibility of cellular (5G and 4G) Internet for the communication of multicast Routable Generic Object Oriented Substation Events (R-GOOSE) messages in wide-area protection applications. For this purpose, we introduce a lab setup to experiment the transmission of R-GOOSE messages within the proposed network architectures. The lab setup contains both software and hardware components. A software application is developed to publish multicast R-GOOSE with a fresh timestamp acquired from time synchronization equipment. These messages are transmitted over the Internet by computer networking devices that support cellular communication. The communication latency of the transmitted messages is measured and analyzed statistically. The statistical analysis results are discussed to evaluate performance of R-GOOSE over cellular Internet for two communication-based protection applications: Logic Selectivity and Loss-of-Main protection schemes.&lt;/jats:p&gt;</t>
  </si>
  <si>
    <t>ETFA - EtherCAT-enabled next generation Baggage Handling Systems</t>
  </si>
  <si>
    <t>https://doi.org/10.1109/etfa.2013.6648067</t>
  </si>
  <si>
    <t>10.1109/etfa.2013.6648067</t>
  </si>
  <si>
    <t>Communication networks are essentially the backbone of industrial automation systems such as Baggage Handling Systems (BHS) and are experiencing technological transition from traditional fieldbus to Real-time Ethernet (RTE). EtherCAT is evolving into one of the fastest RTE protocols due to its unique “processing on-the-fly” characteristic. This paper presents how EtherCAT can be the key technology for the innovative next generation BHS. Network performance indices such as communication delay and cycle time are analyzed and discussed in comparison with fieldbus to illustrate the applicability of EtherCAT in BHS. A case study of baggage handling application is given to demonstrate the advantages of EtherCAT-based architecture.</t>
  </si>
  <si>
    <t>Liu, Jianjun; Chen, Songlin; Zhang, Guojiang; Shi, Lei</t>
  </si>
  <si>
    <t>The development of a novel servo motor controller based on EtherCAT and FPGA</t>
  </si>
  <si>
    <t>https://doi.org/10.1109/ccdc.2016.7531529</t>
  </si>
  <si>
    <t>10.1109/ccdc.2016.7531529</t>
  </si>
  <si>
    <t>This paper focuses on the design of a novel SMC (servo motor controller) based on EtherCAT in order to realize flexible networked multi-axis motion control with low cost and high performance. FPGA is chosen as only kernel component of the SMC to improve the integration level of the system. Combined with some necessary peripheral chips, those functions such as EtherCAT communication, encoder signal acquisition and processing, D/A conversion and logic I/O control can be executed independently and parallelly at high speed. Simple control algorithm is implemented to achieve the closed-loop control of a single motor by embedding Nios II soft core in FPGA. For the application of multi-axis control, multiple SMCs as the EtherCAT slaves can be connected to an IPC (Industrial PC) as the EtherCAT master to establish a flexible networked multi-axis motion control system. Based on SOEM (Simple Open EtherCAT Master), the EtherCAT master program is developed in the form of dynamic link library, which can realize more advanced control algorithm to meet the needs of complex applications with the help of powerful computing ability of an IPC. In general, the novel SMC is with the advantages of low cost, compact size, simple connection, high flexibility and good real-time performance, and expects a promising application prospect in the field of motion control.</t>
  </si>
  <si>
    <t>Ferrari, Paolo; Sisinni, Emiliano; Bellagente, Paolo; Carvalho, Dhiego Fernandes; Depari, Alessandro; Flammini, Alessandra; Pasetti, Marco; Rinaldi, Stefano; Silva, Ivanovitch</t>
  </si>
  <si>
    <t>On the Use of LoRaWAN and Cloud Platforms for Diversification of Mobility-as-a-Service Infrastructure in Smart City Scenarios</t>
  </si>
  <si>
    <t>https://doi.org/10.1109/tim.2022.3144736</t>
  </si>
  <si>
    <t>10.1109/tim.2022.3144736</t>
  </si>
  <si>
    <t>Many different application domains are taking advantage from the adoption of the Internet of Things (IoT) paradigm. Among them, intelligent transportation systems can improve efficiency and sustainability by exploiting increased awareness about the actual mobility resource availability. For this reason, the idea of mobility as a service is gaining consensus. However, satisfying the requirements of very heterogeneous scenarios can be really challenging. In this work, we propose adding redundancy and diversity to the IoT platforms to improve overall resilience and flexibility, other than mitigating unstable behaviors. A proof-of-concept prototype is realized around a commercial IoT platform natively intended for the automotive domain. New “paths” from the vehicles to the end users, different from the original one, are added for retrieving the information: one additional LoRaWAN trunk and the other two via IBM Cloud service. A methodology for performance evaluation is suggested, computing purposely defined metrics. When applied to a sample use case, experimental results show that the redundancy and diversity strategies, compared to the (best) single-path approach, halve the overall average transfer delay (from about 1.2 s down to about 0.5 s) and the standard deviation (from about 0.5 to about 0.3 s).</t>
  </si>
  <si>
    <t>Cavalieri, Salvatore; Regalbuto, Alessio</t>
  </si>
  <si>
    <t>Integration of IEC 61850 SCL and OPC UA to improve interoperability in Smart Grid environment</t>
  </si>
  <si>
    <t>https://doi.org/10.1016/j.csi.2015.10.005</t>
  </si>
  <si>
    <t>10.1016/j.csi.2015.10.005</t>
  </si>
  <si>
    <t>Berardi, Davide; Callegati, Franco; Giovine, Andrea; Melis, Andrea; Prandini, Marco; Rinieri, Lorenzo</t>
  </si>
  <si>
    <t>When Operation Technology Meets Information Technology: Challenges and Opportunities</t>
  </si>
  <si>
    <t>https://doi.org/10.3390/fi15030095</t>
  </si>
  <si>
    <t>10.3390/fi15030095</t>
  </si>
  <si>
    <t>&lt;jats:p&gt;Industry 4.0 has revolutionized process innovation while facilitating and encouraging many new possibilities. The objective of Industry 4.0 is the radical enhancement of productivity, a goal that presupposes the integration of Operational Technology (OT) networks with Information Technology (IT) networks, which were hitherto isolated. This disruptive approach is enabled by adopting several emerging technologies in Enterprise processes. In this manuscript, we discuss what we believe to be one of the main challenges preventing the full employment of Industry 4.0, namely, the integration of Operation Technology networking and Information Technology networking. We discuss the technical challenges alongside the potential tools while providing a state-of-the-art use case scenario. We showcase a possible solution based on the Asset Administration Shell approach, referring to the use case of camera synchronization for collaborative tasks.&lt;/jats:p&gt;</t>
  </si>
  <si>
    <t>Gogolev, Alexander; Braun, Roland</t>
  </si>
  <si>
    <t>End System TSN Enablement Using OPC UA</t>
  </si>
  <si>
    <t>https://doi.org/10.1109/etfa45728.2021.9613458</t>
  </si>
  <si>
    <t>10.1109/etfa45728.2021.9613458</t>
  </si>
  <si>
    <t>Monges, Yessica; Cabanas, Jaqueline; Lopez, Mario; Morel, Sergio; Chaparro, Enrique</t>
  </si>
  <si>
    <t>An integrated testbed IEC61850-IIoT for Gas Insulated SF6 Monitoring in SCADA systems</t>
  </si>
  <si>
    <t>https://doi.org/10.1109/andescon56260.2022.9989721</t>
  </si>
  <si>
    <t>10.1109/andescon56260.2022.9989721</t>
  </si>
  <si>
    <t>This paper presents a solution in the field of Smart Grid integration by defining an IEC 61850 – IIoT (Industrial Internet of things) testbed platform applied to conventional SF6 gas monitoring. The platform allows the mapping of information through IEC 61850 services with MQTT – IIoT messages. The testbed platform provides interoperability of isolated systems that are due to non-interoperable communication protocols in the substation and therefore integrates control and monitoring in the SCADA system. This platform provides interoperability between isolated non-interoperable communication systems in the substation and, in turn, integrates SCADA (Supervisory Control and Data Acquisition) control and monitoring. Future lines of research are also proposed to quickly adapt IoT and Web of Things standards in Smart Grid scenarios.</t>
  </si>
  <si>
    <t>Gaggero, Giovanni Battista; Armellin, Alessandro; Portomauro, Giancarlo; Marchese, Mario</t>
  </si>
  <si>
    <t>Industrial Control System-Anomaly Detection Dataset (ICS-ADD) for Cyber-Physical Security Monitoring in Smart Industry Environments</t>
  </si>
  <si>
    <t>https://doi.org/10.1109/access.2024.3395991</t>
  </si>
  <si>
    <t>10.1109/access.2024.3395991</t>
  </si>
  <si>
    <t>Boeding, Matthew; Boswell, Kelly; Hempel, Michael; Sharif, Hamid; Lopez, Juan; Perumalla, Kalyan</t>
  </si>
  <si>
    <t>Survey of Cybersecurity Governance, Threats, and Countermeasures for the Power Grid</t>
  </si>
  <si>
    <t>https://doi.org/10.3390/en15228692</t>
  </si>
  <si>
    <t>10.3390/en15228692</t>
  </si>
  <si>
    <t>&lt;jats:p&gt;The convergence of Information Technologies and Operational Technology systems in industrial networks presents many challenges related to availability, integrity, and confidentiality. In this paper, we evaluate the various cybersecurity risks in industrial control systems and how they may affect these areas of concern, with a particular focus on energy-sector Operational Technology systems. There are multiple threats and countermeasures that Operational Technology and Information Technology systems share. Since Information Technology cybersecurity is a relatively mature field, this paper emphasizes on threats with particular applicability to Operational Technology and their respective countermeasures. We identify regulations, standards, frameworks and typical system architectures associated with this domain. We review relevant challenges, threats, and countermeasures, as well as critical differences in priorities between Information and Operational Technology cybersecurity efforts and implications. These results are then examined against the recommended National Institute of Standards and Technology framework for gap analysis to provide a complete approach to energy sector cybersecurity. We provide analysis of countermeasure implementation to align with the continuous functions recommended for a sound cybersecurity framework.&lt;/jats:p&gt;</t>
  </si>
  <si>
    <t>Mijovic, Stefan; Shehu, Erion; Buratti, Chiara</t>
  </si>
  <si>
    <t>RTSI - Comparing application layer protocols for the Internet of Things via experimentation</t>
  </si>
  <si>
    <t>https://doi.org/10.1109/rtsi.2016.7740559</t>
  </si>
  <si>
    <t>10.1109/rtsi.2016.7740559</t>
  </si>
  <si>
    <t>In this paper we compare the performance of three application layer protocols, that are Constrained Application Protocol (CoAP), WebSocket and Message Queuing Telemetry Transport (MQTT), in an Internet of Things (IoT) scenario. The three protocols have been implemented on the same low cost and low complexity hardware platform, suitable for IoT applications. The performance, in terms of protocol efficiency, strictly related to the overhead, and average Round Trip Time (RTT), were experimentally evaluated. In the considered scenario an IoT device was transmitting data to a server and waiting for replies. IEEE 802.11.b/g/n air interface was used for the communication between the IoT device and an Access Point (AP), connected to the final server. Two different settings have been considered: a local area network (LAN) configuration, where the AP and the server were in the same LAN; and a more realistic IoT configuration, where the AP was connected to a remote server via the Internet. Furthermore, in the IoT configuration, two types of Internet connection are considered: a connection established through a home router and another via cellular network. Results show that CoAP achieves the highest protocol efficiency and the lowest average RTT, closely followed by WebSocket. The performance of MQTT protocol strongly depend on the Quality of Service (QoS) profile. Changing the environment, from a LAN network to a realistic IoT scenario, does not significantly impact the protocol efficiency, but has a considerable influence on the average RTT, which increases by a factor of 2 or 3, depending on the protocol. Finally, we give some insights on the impact of routing through a cellular network on the system performance.</t>
  </si>
  <si>
    <t>Cena, Gianluca; Bertolotti, Ivan Cibrario; Scanzio, Stefano; Valenzano, Adriano; Zunino, Claudio</t>
  </si>
  <si>
    <t>Evaluation of EtherCAT Distributed Clock Performance</t>
  </si>
  <si>
    <t>https://doi.org/10.1109/tii.2011.2172434</t>
  </si>
  <si>
    <t>10.1109/tii.2011.2172434</t>
  </si>
  <si>
    <t>EtherCAT is a real-time Ethernet protocol conceived explicitly for industrial applications. It is characterized by high communication efficiency, which permits control loops to be closed with short cycle times, and is provided with a suitable mechanism, known as distributed clock (DC), that enables synchronized operations to take place across the controlled system. These features can be profitably adopted, for instance, to support motion control applications. In this paper, the performance of the DC mechanism is evaluated by means of a thorough campaign of experimental measurements carried out on a real network setup. A number of factors have been taken into account that can affect accuracy and precision, and their effects studied in depth.</t>
  </si>
  <si>
    <t>Proos, Daniel Persson; Carlsson, Niklas</t>
  </si>
  <si>
    <t>Networking - Performance Comparison of Messaging Protocols and Serialization Formats for Digital Twins in IoV</t>
  </si>
  <si>
    <t>This paper compares the performance tradeoffs of popular application-layer messaging protocols and binary serialization formats in the context of vehicle-to-cloud communication for maintaining digital twins. Of particular interest are solutions that enables emerging delay-sensitive Intelligent Transport System (ITS) features, while reducing data usage in mobile networks. The evaluated protocols are Constrained Application Protocol (CoAP), Advanced Message Queuing Protocol (AMQP), and Message Queuing Telemetry Transport (MQTT), and the serialization formats studied are Protobuf and Flatbuffers. The results show that CoAP – the only User Datagram Protocol (UDP) based protocol evaluated – has the lowest latency and overhead, but is not able to guarantee reliable transfer, even when using its confirmable message feature. For our context, the best performer that guarantees reliable transfer is MQTT. For the serialization formats, Protobuf is shown to have faster serialization speed and three times smaller serialized message size than Flatbuffers. In contrast, Flatbuffers uses less memory and has shorter deserialization time, making it an interesting alternative for applications where the vehicle is the receiver of time sensitive information. Finally, insights and implications on ITS communication are discussed.</t>
  </si>
  <si>
    <t>Kumar, Shantanu; Das, Narottam; Islam, Syed</t>
  </si>
  <si>
    <t>Performance analysis of substation automation systems architecture based on IEC 61850</t>
  </si>
  <si>
    <t>https://doi.org/10.1109/aupec.2014.6966532</t>
  </si>
  <si>
    <t>10.1109/aupec.2014.6966532</t>
  </si>
  <si>
    <t>Nazarenko, Artem A.; Sarraipa, Joao; Camarinha-Matos, Luis M.; Grünewald, Christiane; Dorchain, Marc; Jardim-Goncalves, Ricardo</t>
  </si>
  <si>
    <t>Analysis of relevant standards for industrial systems to support zero defects manufacturing process</t>
  </si>
  <si>
    <t>https://doi.org/10.1016/j.jii.2021.100214</t>
  </si>
  <si>
    <t>10.1016/j.jii.2021.100214</t>
  </si>
  <si>
    <t>Pourmirza, Zoya; Srivastava, Aditya</t>
  </si>
  <si>
    <t>Cybersecurity Analysis for the Communication Protocol in Smart Grids</t>
  </si>
  <si>
    <t>https://doi.org/10.1109/sege49949.2020.9182015</t>
  </si>
  <si>
    <t>10.1109/sege49949.2020.9182015</t>
  </si>
  <si>
    <t>Smart Grids are smart electrical networks that use communication technologies to service the power grid. They are an interconnected, self-detecting-adjusting-correcting network of distributed loads and generators. The Substation Automation lies at the heart of Smart Grids, and IEC 61850 is an innovative communication and automation standard within Smart Grids substations. This study aims to explore a cybersecurity analysis of the communication protocols recommended under the IEC 61850 standard, namely GOOSE messaging protocol. GOOSE messaging has been chosen as the candidate protocol for testing due to its increasing prevalence in the standard and adoption by industry. Relevant attack vectors have then been investigated. Finally, this study demonstrated that GOOSE messages are vulnerable to a variety of attack vectors, such as Confidentiality, Integrity and Availability, which leave the systems prone to spurious operations or faulty tripping.</t>
  </si>
  <si>
    <t>Pliatsios, Dimitrios; Sarigiannidis, Panagiotis; Lagkas, Thomas; Sarigiannidis, Antonios</t>
  </si>
  <si>
    <t>A Survey on SCADA Systems: Secure Protocols, Incidents, Threats and Tactics</t>
  </si>
  <si>
    <t>https://doi.org/10.1109/comst.2020.2987688</t>
  </si>
  <si>
    <t>10.1109/comst.2020.2987688</t>
  </si>
  <si>
    <t>Supervisory Control and Data Acquisition (SCADA) systems are the underlying monitoring and control components of critical infrastructures, such as power, telecommunication, transportation, pipelines, chemicals and manufacturing plants. Legacy SCADA systems operated on isolated networks, that made them less exposed to Internet threats. However, the increasing connection of SCADA systems to the Internet, as well as corporate networks, introduces severe security issues. Security considerations for SCADA systems are gaining higher attention, as the number of security incidents against these critical infrastructures is increasing. In this survey, we provide an overview of the general SCADA architecture, along with a detailed description of the SCADA communication protocols. Additionally, we discuss certain high-impact security incidents, objectives, and threats. Furthermore, we carry out an extensive review of the security proposals and tactics that aim to secure SCADA systems. We also discuss the state of SCADA system security. Finally, we present the current research trends and future advancements of SCADA security.</t>
  </si>
  <si>
    <t>Pallasch, Christoph; Wein, Stephan; Hoffmann, Nicolai; Obdenbusch, Markus; Buchner, Tilman; Waltl, Josef; Brecher, Christian</t>
  </si>
  <si>
    <t>EDGE - Edge Powered Industrial Control: Concept for Combining Cloud and Automation Technologies</t>
  </si>
  <si>
    <t>https://doi.org/10.1109/edge.2018.00026</t>
  </si>
  <si>
    <t>10.1109/edge.2018.00026</t>
  </si>
  <si>
    <t>In the past, industrial control of field devices was comprised of self-contained systems in a dedicated network for exchanging control information between field devices and control hardware to accomplish process tasks. Nowadays, cloud computing enables a massive amount of computing resources and high availability, which opens up new potentials in the industrial sector. Until now, the integration of cloud solutions in industrial control was limited due to missing technologies connecting the Internet of Things with industrial requirements. Furthermore, based on existing paradigms there is a lack of appropriate architecture concepts for industrial control. This paper depicts a platform concept, which combines cloud computing and industrial control using edge devices realized for an automation cell.</t>
  </si>
  <si>
    <t>10.1145/3369412.3395068</t>
  </si>
  <si>
    <t>Sidna, Jeddou; Amine, Baina; Abdallah, Najid; Alami, Hassan El</t>
  </si>
  <si>
    <t>SITA - Analysis and evaluation of communication Protocols for IoT Applications</t>
  </si>
  <si>
    <t>https://doi.org/10.1145/3419604.3419754</t>
  </si>
  <si>
    <t>10.1145/3419604.3419754</t>
  </si>
  <si>
    <t>The communication protocols are an essential part for the data communication of Internet of Things (IoT) applications. However, the selection of a communication protocol is challenging because it depends on the nature of the IoT system and its data transmission system. Copious communications protocols have been developed and employed by researchers based on their requirements in the last decade. Though, none of them is able to support all criteria requirements, like energy efficiency, security, quality of service, etc. Of all types of IoT systems, communication protocols are an ongoing dilemma for the IoT industry; consequently, it is important to analyze the comportments and mechanisms of this latter to determine their best-fit scenarios. Therefore, this paper presents an evaluation of established communication protocols HTTP, MQTT, DDS, XMPP, AMQP and CoAP for IoT applications. Firstly, it presents the broad comparison among these communication protocols to introduce their characteristics comparatively. Subsequently, it performs a detailed and in-depth analysis of the related process of gaining an understanding of their strengths and limitations. Therefore, based on this detailed evaluation, the user can determine their appropriate use for various IoT applications depending on their needs, efficiency, and suitability.</t>
  </si>
  <si>
    <t>10.1145/3192975.3192984</t>
  </si>
  <si>
    <t>10.1109/ghtc.2014.6970342</t>
  </si>
  <si>
    <t>Dangwal, Gagan; Mittal, Saksham; Wazid, Mohammad; Singh, Jaskaran; Das, Ashok Kumar; Giri, Debasis; Alenazi, Mohammed J.F.</t>
  </si>
  <si>
    <t>An effective intrusion detection scheme for Distributed Network Protocol 3 (DNP3) applied in SCADA-enabled IoT applications</t>
  </si>
  <si>
    <t>https://doi.org/10.1016/j.compeleceng.2024.109828</t>
  </si>
  <si>
    <t>10.1016/j.compeleceng.2024.109828</t>
  </si>
  <si>
    <t>Iglesias-Urkia, Markel; Casado-Mansilla, Diego; Mayer, Simon; Bilbao, Josu; Urbieta, Aitor</t>
  </si>
  <si>
    <t>Integrating Electrical Substations Within the IoT Using IEC 61850, CoAP, and CBOR</t>
  </si>
  <si>
    <t>https://doi.org/10.1109/jiot.2019.2903344</t>
  </si>
  <si>
    <t>10.1109/jiot.2019.2903344</t>
  </si>
  <si>
    <t>Electrical substations are crucial elements of Smart Grids (SGs), where they are mainly responsible for voltage transformations. However, due to the integration of distributed energy resources in the grid, substations now have to provide additional grid management capabilities which in turn require supervision and automation solutions for large low-voltage grids. A recurring challenge in such deployments are siloed systems that are due to noninteroperable communication protocols across substations: although most substations’ communication is based on the International Electrotechnical Commission (IEC) 61850 standard, deployed legacy protocols lag behind modern communication technologies in terms of performance, hindering the full transition to lightweight protocols. This paper demonstrates that IEC 61850 can be fully mapped to the Constrained Application Protocol (CoAP) in combination with the Concise Binary Object Representation (CBOR) format while improving system performance compared to existing alternatives [e.g., WS-SOAP and Hypertext Transfer Protocol (HTTP)]. On average, CoAP+CBOR needs 44% and 18% of the message size and 71% and 85% of the time compared to systems based on HTTP and WS-* Web services, respectively—this is especially relevant for resource-constrained devices and networks in electrical grids. In addition, CoAP is based on the REpresentational State Transfer (REST) architectural style, which supports system integration and interoperability through uniform identification and interaction. This approach fosters the standard-compliant integration of legacy platforms with modern substations as well as current IoT systems in neighboring domains, such as building management and infrastructure automation systems.</t>
  </si>
  <si>
    <t>10.1080/23742917.2020.1843822</t>
  </si>
  <si>
    <t>Abela, Kyle; Francalanza, Emmanuel; Refalo, Paul</t>
  </si>
  <si>
    <t>Utilisation of a compressed air test bed to assess the effects of pneumatic parameters on energy consumption</t>
  </si>
  <si>
    <t>https://doi.org/10.1016/j.procir.2020.01.119</t>
  </si>
  <si>
    <t>10.1016/j.procir.2020.01.119</t>
  </si>
  <si>
    <t>Abstract In the manufacturing industry, pneumatic powered components provide a safe and reliable opportunity to automate a production line. However, compressed air systems are notoriously expensive to operate as a result of system losses and inefficiencies. Typical systems have an output efficiency of 10–12%. This offers a significant improvement opportunity to meet sustainable targets concerning energy consumption in industry and lower life cycle energy impacts. Amongst various inefficiencies, leakages and excessive pressures are identified as some of the most common sources of waste. The scope of this study was to make use of a compressed air system which was designed in the form an experimental test bed in order to assess the sustainability impact of various compressed air shortcomings. Simulations were carried out under experimental conditions to measure the additional energy consumption and air volume required for different pneumatic scenarios. Some of the results showed that a noise level of 70 dB is attributable to a leakage of 1.5 mm at the industry standard of 6 bar. Such a single leak could incur more than €470 of additional electrical costs and would result in 1.8 tonnes of additional carbon dioxide emissions within one year of operation, highlighting a significant effect on the life cycle impacts of industrial production.</t>
  </si>
  <si>
    <t>Sutic, D.; Atlagic, B.</t>
  </si>
  <si>
    <t>Requirement bottlenecks in a cloud based SCADA system</t>
  </si>
  <si>
    <t>High expectations of the cloud hold great promises for computer scientists and engineers. However, its applications in realtime systems, especially in SCADA, are still in infancy stage. Besides, while there were a lot of researches working on integrating scientific systems on cloud systems, even the study on the mentioned topic was limited. Therefore, the authors seek to address some major issues in creating a cloud compatible realtime SCADA system. These are: data storage and database management, security of a system hosted on the cloud and system failure and recovery on the cloud.</t>
  </si>
  <si>
    <t>De, Niccolo; Colitti, W.; Steenhaut, Kris; Mangino, Giuseppe; Reali, Gianluca</t>
  </si>
  <si>
    <t>SCVT - Comparison of two lightweight protocols for smartphone-based sensing</t>
  </si>
  <si>
    <t>https://doi.org/10.1109/scvt.2013.6735994</t>
  </si>
  <si>
    <t>10.1109/scvt.2013.6735994</t>
  </si>
  <si>
    <t>Smartphones are equipped with numerous sensors and have become sophisticated sensing platforms. However, several sensing applications running on a smartphone can degrade the device performance. This can be overcome by using lightweight application protocols which improve the smartphone performance in terms of bandwidth consumption, battery lifetime and communication latency. This work focuses on two emerging application protocols: the Message Queuing Telemetry Transport (MQTT) and the Constrained Application Protocol (CoAP). Although both protocols have been designed for highly constrained environments such as sensors, they are also appropriate to be adopted in smartphone applications. We provide a qualitative and quantitative comparison between MQTT and CoAP when used as smartphone application protocols and we give preliminary indications on the application scenarios in which either protocol should be adopted. While MQTT has already been adopted in smartphone applications, CoAP is relatively new and has up to now mainly been considered for sensors and actuators. Our comparison shows that CoAP can be a valid alternative to MQTT for certain application scenarios.</t>
  </si>
  <si>
    <t>Siboni, Shachar; Sachidananda, Vinay; Meidan, Yair; Bohadana, Michael; Mathov, Yael; Bhairav, Suhas; Shabtai, Asaf; Elovici, Yuval</t>
  </si>
  <si>
    <t>Security Testbed for Internet-of-Things Devices</t>
  </si>
  <si>
    <t>https://doi.org/10.1109/tr.2018.2864536</t>
  </si>
  <si>
    <t>10.1109/tr.2018.2864536</t>
  </si>
  <si>
    <t>The Internet of Things (IoT) is a global ecosystem of information and communication technologies aimed at connecting any type of object (thing), at any time, and in any place, to each other and to the Internet. One of the major problems associated with the IoT is the heterogeneous nature of such deployments; this heterogeneity poses many challenges, particularly, in the areas of security and privacy. Specifically, security testing and analysis of IoT devices is considered a very complex task, as different security testing methodologies, including software and hardware security testing approaches, are needed. In this paper, we propose an innovative security testbed framework targeted at IoT devices. The security testbed is aimed at testing all types of IoT devices, with different software/hardware configurations, by performing standard and advanced security testing. Advanced analysis processes based on machine learning algorithms are employed in the testbed in order to monitor the overall operation of the IoT device under test. The architectural design of the proposed security testbed along with a detailed description of the testbed implementation is discussed. The testbed operation is demonstrated on different IoT devices using several specific IoT testing scenarios. The results obtained demonstrate that the testbed is effective at detecting vulnerabilities and compromised IoT devices.</t>
  </si>
  <si>
    <t>Berhanu, Yared; Abie, Habtamu; Hamdi, Mohamed</t>
  </si>
  <si>
    <t>ASPI@UbiComp - A testbed for adaptive security for IoT in eHealth</t>
  </si>
  <si>
    <t>https://doi.org/10.1145/2523501.2523506</t>
  </si>
  <si>
    <t>10.1145/2523501.2523506</t>
  </si>
  <si>
    <t>Wireless Body Area Sensor Networks (WBASNs) are networks of low-power sensing objects that collect and send vital signs of a patient using low-rate communication media. They have been originally created to improve the efficiency of e-health applications and they constitute now an important part of the Internet of Things (IoT) by bringing humans into the IoTs. The ASSET (Adaptive Security for Smart Internet of Things in eHealth) project [1] develops risk-based adaptive security methods and mechanisms for IoT in eHealth. The project requires a real-life testbed to evaluate accurately the adaptive security solutions in realistic simulation and use case scenarios. This paper describes the setup of a testbed for adaptive security for the IoT using current commercial off-the-shelf products and open source software. The particular features of the proposed testbed with regard to those published in the literature are underlined. The paper also discusses the validation of the setup through the study of the impact of antenna orientation on energy consumption. To this purpose, an estimation strategy of the energy consumption using the Holt-Winters prediction method has been developed. This will particularly be useful when studying the feasibility of the adaptive lightweight security solutions that will be part of the ASSET project.</t>
  </si>
  <si>
    <t>10.17485/ijst/2017/v10i26/116775</t>
  </si>
  <si>
    <t>Gil, Santiago; Zapata-Madrigal, Germán D.; García-Sierra, Rodolfo; Cruz Salazar, Luis Alberto</t>
  </si>
  <si>
    <t>Converging IoT protocols for the data integration of automation systems in the electrical industry</t>
  </si>
  <si>
    <t>https://doi.org/10.1186/s43067-022-00043-4</t>
  </si>
  <si>
    <t>10.1186/s43067-022-00043-4</t>
  </si>
  <si>
    <t>&lt;jats:title&gt;Abstract&lt;/jats:title&gt;&lt;jats:p&gt;The Internet of Things (IoT) plays an important role in the development of applications for the Electrical Industry. The data has become essential for the technological advances in this industry, changing abruptly due to the distributed energy resources and the smart grid concept. The data integration also represents a relevant matter to address when performing IoT projects for electrical industry applications. The electrical industry requires incorporating different IoT protocols to comply with the distinct scenarios and the interoperability. This work proposes integrating the HTTP REST, MQTT, LoRaWAN, and OPC UA open communications protocols into an IoT platform and interoperable architecture for smart grid applications. This approach intends to contribute to smart grid solutions and automation systems in the electrical industry, promotes further integration of communication protocols for this field, and enables additional data-based applications for their automation systems. A Multi-Agent System architecture based on the IoT integration is proposed as an application to show how implementable is this approach in current and technological electrical systems.&lt;/jats:p&gt;</t>
  </si>
  <si>
    <t>Mellado, Jacob; Núñez, Felipe</t>
  </si>
  <si>
    <t>Design of an IoT-PLC: A containerized programmable logical controller for the industry 4.0</t>
  </si>
  <si>
    <t>https://doi.org/10.1016/j.jii.2021.100250</t>
  </si>
  <si>
    <t>10.1016/j.jii.2021.100250</t>
  </si>
  <si>
    <t>Durkop, Lars; Czybik, Bjorn; Jasperneite, Jurgen</t>
  </si>
  <si>
    <t>ICIN - Performance evaluation of M2M protocols over cellular networks in a lab environment</t>
  </si>
  <si>
    <t>https://doi.org/10.1109/icin.2015.7073809</t>
  </si>
  <si>
    <t>10.1109/icin.2015.7073809</t>
  </si>
  <si>
    <t>According to the vision of the Internet of Things the seamless and flexible networking of everyday objects will become an important field of application for Internet-based communication. The simple integration of these devices into a communication system often requires wireless technologies, especially when there is no wired infrastructure available. Cellular networks of the third and fourth generation are promising enablers for embedding a variety of different devices into the Internet of Things. However, cellular networks use a completely different approach for data transmission and media access than wired networks like Ethernet. Therefore, it is necessary to investigate the transmission behavior of common protocols for machine-to-machine (M2M) communication with respect to the peculiarities of cellular networks. In this paper, three M2M protocols – CoAP, MQTT and OPC UA – are compared to each other with regard to their transport mechanisms to evaluate the transmission times and analyzing potentials for optimization. For the evaluation a laboratory test environment with cellular network emulators for EDGE, UMTS and LTE is used to analyze the protocols without interference of delays caused by the Internet or by other users allocating resources of the cellular network.</t>
  </si>
  <si>
    <t>Rodriguez-Perez, Nestor; Domingo, Javier Matanza; Lopez, Gregorio Lopez; Stojanovic, Vojislav</t>
  </si>
  <si>
    <t>Scalability Evaluation of a Modbus TCP Control and Monitoring System for Distributed Energy Resources</t>
  </si>
  <si>
    <t>https://doi.org/10.1109/isgt-europe54678.2022.9960319</t>
  </si>
  <si>
    <t>10.1109/isgt-europe54678.2022.9960319</t>
  </si>
  <si>
    <t>Modbus TCP is a communication protocol widely used in industrial applications and to communicate with energy assets such as inverters or data loggers. The communications technologies involved in the management of distributed energy resources (DER) should prove their ability to include new units in the operation while fulfilling functional requirements.This paper studies the scalability performance of Modbus TCP protocol over Ethernet to monitor and control DER in a positive energy district (PED) environment. This use case is part of an Innovative Element (IE) being demonstrated in the city of Dijon within the RESPONSE project. The analysis was carried out considering different bit error ratios (BER) and number of servers. As performance indicator, the time spent by the client to poll all the servers (i.e., polling time) was measured, as it is the most restrictive functional requirement in the use case analysed, requiring it to be one minute.Results from simulations show how increasing BER and the number of devices in the network impact the total polling time. Despite the average polling time complied with the required one in most cases, its standard deviation significantly increased with BER. If the transmission medium presents a low BER, Modbus TCP has a great scalability potential to control and monitor devices that require data exchanges every minute. In addition, the maximum number of devices to keep a good performance is considered appropriate for its application in a PED environment. Future works may assess the impact of distance or topology on use case's performance.</t>
  </si>
  <si>
    <t>Robert, Jérémy; Georges, Jean-Philippe; Rondeau, Eric; Divoux, Thierry</t>
  </si>
  <si>
    <t>Minimum Cycle Time Analysis of Ethernet-Based Real-Time Protocols</t>
  </si>
  <si>
    <t>https://doi.org/10.15837/ijccc.2012.4.1372</t>
  </si>
  <si>
    <t>10.15837/ijccc.2012.4.1372</t>
  </si>
  <si>
    <t>The Ethernet standard is a standard solution for interconnecting industrial devices despite its intrinsic drawbacks, particularly its nondeterministic medium access method. Many Ethernet-based commercial solutions available (COTS - Components Off the Shelves) on the market guarantee time performance. This means that user selection of one particular solution is a critical decision, but the choice often depends more on political strategizing with an industrial device manufacturer than on the intrinsic performance of Ethernet-based interfaces. The objective of this paper is to provide a formal behavioural analysis of each Ethernet-based solution, in order to facilitate comparison.</t>
  </si>
  <si>
    <t>Cenedese, Angelo; Frodella, Michele; Tramarin, Federico; Vitturi, Stefano</t>
  </si>
  <si>
    <t>ETFA - Comparative assessment of different OPC UA open–source stacks for embedded systems</t>
  </si>
  <si>
    <t>https://doi.org/10.1109/etfa.2019.8869187</t>
  </si>
  <si>
    <t>10.1109/etfa.2019.8869187</t>
  </si>
  <si>
    <t>With the rise of Industry 4.0 and of the Industrial Internet, the computing and communication infrastructures achieved an essential role within process and factory automation, and cyberphysical systems in general. In this scenario, the OPC UA standard is currently becoming a widespread opportunity to enable interoperability among heterogeneous industrial systems. Nonetheless, OPC UA is characterized by a complex protocol architecture, that may impair the scalability of applications and may represent a bottleneck for its effective implementation in resource–constrained devices, such as low–cost industrial embedded systems. Several different OPC UA implementations are available, which in some significant cases are released under an open source license. In this context, the aim of this paper is to provide an assessment of the performance provided by some of these different OPC UA implementations, focusing specifically on potential development and resource bottlenecks. The analysis is carried out through an extensive experimental campaign explicitly targeting general purpose low–cost embedded systems. The final goal is to provide a comprehensive performance comparisons to allow devising some useful practical guidelines.</t>
  </si>
  <si>
    <t>Rocha, Murilo Silveira; Sestito, Guilherme Serpa; Dias, Andre Luis; Turcato, Alfonso Celso; Brandão, Dennis; Ferrari, Paolo</t>
  </si>
  <si>
    <t>On the performance of OPC UA and MQTT for data exchange between industrial plants and cloud servers</t>
  </si>
  <si>
    <t>https://doi.org/10.21014/acta_imeko.v8i2.648</t>
  </si>
  <si>
    <t>10.21014/acta_imeko.v8i2.648</t>
  </si>
  <si>
    <t>&lt;jats:p&gt;The Internet of Things (IoT) is a key technology in the development of Industry 4.0. An increasing number of new industrial devices are expected to communicate with each other by means of local (edge) and cloud computing servers. In this article, two well-known protocols used for IoT and Industrial IoT (IIoT) are compared in terms of their performance when they are used to send/receive data to/from cloud servers. Due to their wide diffusion and suitability, the considered protocols are open platform communication-unified architecture publisher-subscriber (OPC UA PubSub) (purposely developed and maintained by industrial consortia) and message queuing telemetry transport (MQTT), the most well-known message protocol originally developed by IBM. The performance comparison is carried out considering the overall quantity of the data transferred (user payload plus overhead) and the roundtrip time required to send in data and receive a feedback message in return. The experimental results include the evaluation of several cloud computing server and application scenarios, highlighting how each protocol is particularly suitable for certain situations. Finally, conclusions about the best choice for data exchange between devices are given.&lt;/jats:p&gt;</t>
  </si>
  <si>
    <t>Zhang, Yichi; He, Jian; Tu, Jingzhe; An, Xuemin; Li, Lin; Zhou, Qinyong</t>
  </si>
  <si>
    <t>AN EQUIPMENT-ORIENTED VULNERABILITY THREAT ASSESSMENT METHOD FOR ELECTRIC POWER SUPERVISION AND CONTROL SYSTEMS</t>
  </si>
  <si>
    <t>https://doi.org/10.1049/icp.2021.2340</t>
  </si>
  <si>
    <t>10.1049/icp.2021.2340</t>
  </si>
  <si>
    <t>With increasing application of information technology in supervision and control of power systems, the risk of cyber-attacks in power grids continues to rise. Organized and premeditated cyber attacks have become prominent security threat to power systems. Vulnerability index is used to describe security degree of a computer controling system, so can be used in power systems, which can be regarded as distributed computer controling systems. This paper proposes a method to assess vulnerability threat of key equipments in electric power supervision and control systems. Considering system configuration and hackers' attack skills, an evaluation model of cyber attack behaviors based on analytic hierarchy process is built firstly. Then a probability model is established to evaluate the probability of each attack path consisting of multi behaviors. Finally, an equipment-oriented vulnerability threat assessment method is proposed, using cyber attack behavior evaluation results and probability of related attack path as iput. The method considers both system configuration conditions and hackers' attack skill evaluation, and realizes quantitative evaluation of vulnerability threat of key equipments. An IEC 61850 based substation system is analyzed as test case, to verify the effectiveness of this method.</t>
  </si>
  <si>
    <t>Huang, Hao; Davis, C. Matthew; Davis, Katherine</t>
  </si>
  <si>
    <t>Real-time Power System Simulation with Hardware Devices through DNP3 in Cyber-Physical Testbed</t>
  </si>
  <si>
    <t>https://doi.org/10.1109/tpec51183.2021.9384947</t>
  </si>
  <si>
    <t>10.1109/tpec51183.2021.9384947</t>
  </si>
  <si>
    <t>Modern power grids are dependent on communication systems for data collection, visualization, and control. Distributed Network Protocol 3 (DNP3) is commonly used in supervisory control and data acquisition (SCADA) systems in power systems to allow control system software and hardware to communicate. To study the dependencies between communication network security, power system data collection, and industrial hardware, it is important to enable communication capabilities with real-time power system simulation. In this paper, we present the integration of new functionality of a power systems dynamic simulation package into our cyber-physical power system testbed that supports real-time power system data transfer using DNP3, demonstrated with an industrial real-time automation controller (RTAC). The usage and configuration of DNP3 with real-world equipment in to achieve power system monitoring and control of a large-scale synthetic electric grid via this DNP3 communication is presented. Then, an exemplar of DNP3 data collection and control is achieved in software and hardware using the 2000-bus Texas synthetic grid.</t>
  </si>
  <si>
    <t>Ferrari, Paolo; Flammini, Alessandra; Sisinni, Emiliano; Rinaldi, Stefano; Brandão, Dennis; Rocha, Murilo Silveira</t>
  </si>
  <si>
    <t>Delay Estimation of Industrial IoT Applications Based on Messaging Protocols</t>
  </si>
  <si>
    <t>https://doi.org/10.1109/tim.2018.2813798</t>
  </si>
  <si>
    <t>10.1109/tim.2018.2813798</t>
  </si>
  <si>
    <t>Information and operational technologies merge into the so-called industrial Internet of Things, which is one of the basic pillars of the Industry 4.0 paradigm. Roughly speaking, yet-to-come services will be offered in the automation scenario by industrial devices having an internet connection for sharing data in the cloud. Currently, most efforts are in the development of protocols able to ensure horizontal interoperability among heterogeneous applications. Consequently, poor attention is devoted to time-related performance. In this paper, a new, full software, platform-independent approach is proposed for experimentally evaluating the delay in transferring information across local and intercontinental routes by applications leveraging on messaging middleware. The application is realized using the node-RED web-based framework, due to its availability on different platforms; the widely accepted message queue telemetry transport protocol has been chosen thanks to its low overhead and complexity. For sake of completeness, five different, private and public, brokers are used. The adopted industrial-grade hardware, complemented by global positioning system time reference, permits an overall synchronization and timestamping accuracy of a few milliseconds. The vast measurement campaign highlighted that, generally, quality of service (QoS) type 1 offers low end-to-end delay (average value less than 0.5 s) with reduced variability (0.1 s). However, the maximum end-to-end one-way delay ranges from 1 s for QoS 0 to less than 1.5 s for fully acknowledged QoS 2.</t>
  </si>
  <si>
    <t>Katulić, Filip; Sumina, Damir; Groš, Stjepan; Erceg, Igor</t>
  </si>
  <si>
    <t>Protecting Modbus/TCP-Based Industrial Automation and Control Systems Using Message Authentication Codes</t>
  </si>
  <si>
    <t>https://doi.org/10.1109/access.2023.3275443</t>
  </si>
  <si>
    <t>10.1109/access.2023.3275443</t>
  </si>
  <si>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</si>
  <si>
    <t>Eckhardt, Andreas; Muller, Sebastian</t>
  </si>
  <si>
    <t>ETFA - Analysis of the Round Trip Time of OPC UA and TSN based Peer-to-Peer Communication</t>
  </si>
  <si>
    <t>https://doi.org/10.1109/etfa.2019.8869060</t>
  </si>
  <si>
    <t>10.1109/etfa.2019.8869060</t>
  </si>
  <si>
    <t>At the SPS IPC Drives in Germany a joint working group between the leading automation manufacturers announced to work together on a set of vendor independent standards for the next generation of industrial communication products. This set of standards is based on OPC UA and Time Sensitive Networking (TSN) and shall be used throughout the automation pyramid. This work contributes to analyze the performance of OPC UA and TSN. Therefore, a test framework is implemented to measure the round trip time of a peer-to-peer communication. The round trip time is an important performance indicator for controller-to-controller and controller-to-field device use cases.</t>
  </si>
  <si>
    <t>Cervelión Bastidas, Alvaro José; Agredo Méndez, Guefry L.; Revelo-Fuelagán, Javier; Candelo-Becerra, John E.</t>
  </si>
  <si>
    <t>Performance evaluation of modbus and DNP3 protocols in the communication network of a university campus microgrid</t>
  </si>
  <si>
    <t>https://doi.org/10.1016/j.rineng.2024.103656</t>
  </si>
  <si>
    <t>10.1016/j.rineng.2024.103656</t>
  </si>
  <si>
    <t>Grüner, Sten; Pfrommer, Julius; Palm, Florian</t>
  </si>
  <si>
    <t>RESTful Industrial Communication With OPC UA</t>
  </si>
  <si>
    <t>https://doi.org/10.1109/tii.2016.2530404</t>
  </si>
  <si>
    <t>10.1109/tii.2016.2530404</t>
  </si>
  <si>
    <t>Representational state transfer (REST) is a wide-spread architecture style for decentralized applications. REST proposes the use of a fixed set of service interfaces to transfer heterogeneous resource representations instead of defining custom interfaces for individual applications. This paper explores the advantages of RESTful architectures, i.e., service-oriented software architectures comprised RESTful services, in industrial settings. These include communication advantages such as reduced communication overhead and the possibility to introduce caching layers, and system design advantages including stable service interfaces across applications and the use of resource-oriented information models in cyber–physical systems. Additionally, a RESTful extension to the open platform communications (OPC) unified architecture (OPC UA) binary protocol is proposed in order to leverage these advantages. It requires only minimal modifications to the existing OPC UA stacks and is fully backward compatible with the standard protocol. Performance benchmarks on industrial hardware show a throughput increase up to a factor of eight for short-lived interactions. This reduction of overhead is especially relevant for the use of OPC UA in the emerging Industrial Internet of Things.</t>
  </si>
  <si>
    <t>Rostan, Martin; Stubbs, Joseph E.; A, Dzilno Dmitry</t>
  </si>
  <si>
    <t>EtherCAT enabled advanced control architecture</t>
  </si>
  <si>
    <t>https://doi.org/10.1109/asmc.2010.5551414</t>
  </si>
  <si>
    <t>10.1109/asmc.2010.5551414</t>
  </si>
  <si>
    <t>EtherCAT is becoming quickly adopted globally by the semiconductor, solar and FPD manufacturing industries. This Industrial Ethernet technology is an acknowledged SEMI standard that provides extraordinary real-time performance and topology flexibility, while meeting or even undercutting traditional fieldbus cost levels. EtherCAT enables advanced control architectures: instead of closing the high performance control loops locally in the peripheral devices, EtherCAT gives one the option to control even high speed processes over the bus and thus overcome limitations of the legacy approaches. EtherCAT enabled controls have simplified interfaces and limit supplier dependencies while giving access to previously closed embedded control algorithms.</t>
  </si>
  <si>
    <t>de Brito, Israel Barbosa; de Sousa, Rafael T.</t>
  </si>
  <si>
    <t>Development of an Open-Source Testbed Based on the Modbus Protocol for Cybersecurity Analysis of Nuclear Power Plants</t>
  </si>
  <si>
    <t>https://doi.org/10.3390/app12157942</t>
  </si>
  <si>
    <t>10.3390/app12157942</t>
  </si>
  <si>
    <t>&lt;jats:p&gt;The possibility of cyber-attacks against critical infrastructure, and in particular nuclear power plants, has prompted several efforts by academia. Many of these works aim to capture the vulnerabilities of the industrial control systems used in these plants through computer simulations and hardware in the loop configurations. However, general results in this area are limited by the cost and diversity of existing commercial equipment and protocols, as well as by the inherent complexity of the nuclear plants. In this context, this work introduces a testbed for the study of cyber-attacks against a realistic simulation of a nuclear power plant. Our approach consists in surveying issues regarding realistic simulations of nuclear power plants and to design and experimentally validate a software testbed for the controlled analysis of cyberattacks against the simulated nuclear plant. The proposal integrates a simulated Modbus/TCP network environment containing basic industrial control elements implemented with open-source software components. We validate the proposed testbed architecture by performing and analyzing a representative cyberattack in the developed environment, thus showing the principles for the analysis of other possible cybernetic attacks.&lt;/jats:p&gt;</t>
  </si>
  <si>
    <t>Javier Perez, Diogenes; Waltl, Josef; Prenzel, Laurin; Steinhorst, Sebastian</t>
  </si>
  <si>
    <t>How Real (Time) Are Virtual PLCs?</t>
  </si>
  <si>
    <t>https://doi.org/10.1109/etfa52439.2022.9921545</t>
  </si>
  <si>
    <t>10.1109/etfa52439.2022.9921545</t>
  </si>
  <si>
    <t>Production systems continuously need to become more cost-efficient and flexible. Hardware-based programmable logic controllers, while widely used in the industry, do not offer the level of flexibility and scalability required for future applications. Each hardware-based PLC entails costs for maintenance and they cannot keep up with resource-intensive loads, such as artificial intelligence. The virtualization of PLCs promises to solve these issues. A Virtual PLC at the local edge level between cloud and industrial assets provides the flexibility and resource capacity needed for modern control applications. In this paper, the concept of virtual PLCs in a COTS server is outlined as a SoftPLC that is running within a virtual machine managed by a hypervisor. In addition, the virtual PLC is implemented and evaluated to determine whether virtual PLCs can satisfy the requirements for specific domains of industrial automation. We compare multiple virtual PLC configurations to a SoftPLC without a hypervisor. Our results indicate that the virtual PLC implementation is on par in terms of switching and response time for applications requiring response times below 10 ms and deterministic behavior is achievable. While further work is necessary, virtual PLCs may offer tremendous advantages for future industrial systems.</t>
  </si>
  <si>
    <t>Feng, Xuewei; Li, Qi; Sun, Kun; Fu, Chuanpu; Xu, Ke</t>
  </si>
  <si>
    <t>Off-Path TCP Hijacking Attacks via the Side Channel of Downgraded IPID</t>
  </si>
  <si>
    <t>https://doi.org/10.1109/tnet.2021.3115517</t>
  </si>
  <si>
    <t>10.1109/tnet.2021.3115517</t>
  </si>
  <si>
    <t>Al-Hawawreh, Muna; Sitnikova, Elena; Hartog, Frank den</t>
  </si>
  <si>
    <t>BDIOT - An Efficient Intrusion Detection Model for Edge System in Brownfield Industrial Internet of Things</t>
  </si>
  <si>
    <t>https://doi.org/10.1145/3361758.3361762</t>
  </si>
  <si>
    <t>10.1145/3361758.3361762</t>
  </si>
  <si>
    <t>The Industrial Internet of Things (IIoT) is bringing control systems online leading to significant innovation in industry and business. However, this development also comes with new cybersecurity threats. As much of the value of IIoT systems resides at the edge tier, this makes them potentially desired targets for attackers. Protecting edge physical systems by monitoring them and identifying malicious activities based on an efficient detection model is therefore of utmost importance. This paper proposes a detection model based on deep learning techniques that can learn and test using data collected from Remote Telemetry Unit (RTU) streams of gas pipeline system. It utilizes the sparse and denoising auto-encoder methods for unsupervised learning and deep neural networks for supervised learning to produce a high-level data representation from unlabeled and noisy data. Our results show that the proposed model achieves superior performance in identifying malicious activities.</t>
  </si>
  <si>
    <t>Shi, Weisong; Cao, Jie; Zhang, Quan; Li, Youhuizi; Xu, Lanyu</t>
  </si>
  <si>
    <t>Edge Computing: Vision and Challenges</t>
  </si>
  <si>
    <t>https://doi.org/10.1109/jiot.2016.2579198</t>
  </si>
  <si>
    <t>10.1109/jiot.2016.2579198</t>
  </si>
  <si>
    <t>The proliferation of Internet of Things (IoT) and the success of rich cloud services have pushed the horizon of a new computing paradigm, edge computing, which calls for processing the data at the edge of the network. Edge computing has the potential to address the concerns of response time requirement, battery life constraint, bandwidth cost saving, as well as data safety and privacy. In this paper, we introduce the definition of edge computing, followed by several case studies, ranging from cloud offloading to smart home and city, as well as collaborative edge to materialize the concept of edge computing. Finally, we present several challenges and opportunities in the field of edge computing, and hope this paper will gain attention from the community and inspire more research in this direction.</t>
  </si>
  <si>
    <t>Claveria, Joevis J.; Kalam, Akhtar</t>
  </si>
  <si>
    <t>GOOSE Protocol: IED's Smart Solution for Victoria University Zone Substation (VUZS) Simulator Based on IEC61850 Standard</t>
  </si>
  <si>
    <t>https://doi.org/10.1109/appeec.2018.8566413</t>
  </si>
  <si>
    <t>10.1109/appeec.2018.8566413</t>
  </si>
  <si>
    <t>The IEC 61850 standard platform is so influential in the world of Substation Automation Systems (SAS). The power industry is seeking a universal communication standard to enable interoperability and integration of Intelligent Electronic Devices (IEDs) in substation automation. IEC 61850 has a comprehensive structure and systems used for communication in the form of Generic Object-Oriented Substation Event (GOOSE) protocol. The GOOSE can group a data set, and transmit substation events like, signals, alarms and commands in the form of a message. This paper explains the system configuration of the Victoria University Zone Substation (VUZS) simulator model, which is composed of a typical terminal zone substation voltage of 66kV 122kV: two - bay of separate 66kV sub transmission line, two - 30MVA, 66kV/22kV step-down transformer, three - 22kV feeders per bay, 66kV and 22kV Bus Coupled with bus tie circuit breaker. The design of VUZS is based from a real arrangement of a distribution substation in Australia. The twenty-five IEDs, from ABB and GE, will be employed for the design, operation, protection and control of VUZS simulator. The three-software involved to interface the IEDs in the system are the PCM600 and EnerVista proprietary software, which are from ABB and GE respectively, and IET 600 software from ABB which acts as a system integrator. This paper aims to demonstrate the use of GOOSE messaging as a communication standard at VUZS simulator based on IEC 61850 for multi-vendor IEDs.</t>
  </si>
  <si>
    <t>Ayiad, Motaz; Maggioli, Emily; Leite, Helder; Martins, Hugo</t>
  </si>
  <si>
    <t>Communication Requirements for a Hybrid VSC Based HVDC/AC Transmission Networks State Estimation</t>
  </si>
  <si>
    <t>https://doi.org/10.3390/en14041087</t>
  </si>
  <si>
    <t>10.3390/en14041087</t>
  </si>
  <si>
    <t>The communication infrastructure of the modern Supervisory, Control and Data Acquisition (SCADA) system continues to enlarge, as hybrid High Voltage Direct Current (HVDC)/Alternating Current (AC) networks emerge. A centralized SCADA faces challenges to meet the time requirements of the two different power networks topologies, such as employing the SCADA toolboxes for both grids. This paper presents the modern communication infrastructure and the time requirements of a centralized SCADA for hybrid HVDC/AC network. In addition, a case study of a complete cycle for a unified Weighted Least Squares (WLS) state estimation is tested on a hybrid HVDC/AC transmission network, based on Voltage Source Converter (VSC). The cycle estimates the elapsed times from the sensors up to the SCADA side, including the data acquisition and the WLS processing times. The case study is carried out on the Cigre B4 DC test case network with 43 virtual Remote Terminal Unit (RTU)s installed and 10 data concentrators, all connected through a fiber-based communication network. It is concluded that the time requirements can be fulfilled for a hybrid HVDC/AC network.</t>
  </si>
  <si>
    <t>Andy, Syaiful; Rahardjo, Budi; Hanindhito, Bagus</t>
  </si>
  <si>
    <t>Attack scenarios and security analysis of MQTT communication protocol in IoT system</t>
  </si>
  <si>
    <t>Moldovan, Dan; Ayyanar, Raja</t>
  </si>
  <si>
    <t>DNP3 Implementation in a High DER Penetration Distribution System</t>
  </si>
  <si>
    <t>https://doi.org/10.1109/kpec61529.2024.10676137</t>
  </si>
  <si>
    <t>10.1109/kpec61529.2024.10676137</t>
  </si>
  <si>
    <t>Yang, Jinsong; Sandström, Kristian; Nolte, Thomas; Behnam, Moris</t>
  </si>
  <si>
    <t>ETFA - Data Distribution Service for industrial automation</t>
  </si>
  <si>
    <t>https://doi.org/10.1109/etfa.2012.6489544</t>
  </si>
  <si>
    <t>10.1109/etfa.2012.6489544</t>
  </si>
  <si>
    <t>The IEC 61499 is an open standard for the next generation of distributed control and automation. Data Distribution Service for Real-Time Systems (DDS) is a specification of a publish/subscribe middleware for distributed systems, created by the Object Management Group (OMG) to standardize a data-centric publish-subscribe programming model for distributed systems. This paper evaluates the DDS communication performance based on a model built within the IEC 61499 standard and compares it with the traditional socket based solution for communication. According to the test results, the DDS communication has the potential to reduce the complexity and is suggested as a suitable solution for some classes of industrial control systems.</t>
  </si>
  <si>
    <t>Mendki, Pankaj</t>
  </si>
  <si>
    <t>Docker container based analytics at IoT edge Video analytics usecase</t>
  </si>
  <si>
    <t>https://doi.org/10.1109/iot-siu.2018.8519852</t>
  </si>
  <si>
    <t>10.1109/iot-siu.2018.8519852</t>
  </si>
  <si>
    <t>The number of internet connected devices is growing rapidly. It is getting difficult to gather and process the huge volume of the data generated from these devices. Edge computing paradigm is evolving that helps to process the data locally close to the source. This paper highlights using docker container based analytics services at the edge for data processing. Feasibility is studied for setting up deep learning framework on Raspberry Pi for real-time analysis of video feed from the surveillance camera. Performance benchmarking is also done to figure out overhead of containerization.</t>
  </si>
  <si>
    <t>Patel, Parthkumar; Dave, Jayraj; Dalal, Shreedhar; Patel, Pankesh; Chaudhary, Sanjay</t>
  </si>
  <si>
    <t>A Testbed for Experimenting Internet of Things Applications.</t>
  </si>
  <si>
    <t>The idea of IoT world has grown to multiple dimensions enclosing different technologies and standards which can provide solutions and goal oriented intelligence to the widespread things via network or internet. In spite of different advancement in technology, challenges related to assessment of IoT solutions under real scenarios and empirical deployments still hinder their evolvement and significant expansion. To design a system that can adequately bolster substantial range of applications and be compliant with superfluity of divergent requirements and also integrating heterogeneous technologies is a difficult task. Thus, simulations and testing to design robust applications becomes paramount elements of a development process. For this, there rises a need of a tool or a methodology to test and manage the applications. This paper presents a novel approach by proposing a testbed for experimenting Internet of Things (IoT) applications. An idea of an open source test bed helps in developing an exploited and sustainable smart system. In order to validate the idea of such testbed we have also implemented two use cases.</t>
  </si>
  <si>
    <t>Al-Hawawreh, Muna; Hartog, Frank den; Sitnikova, Elena</t>
  </si>
  <si>
    <t>Targeted Ransomware: A New Cyber Threat to Edge System of Brownfield Industrial Internet of Things</t>
  </si>
  <si>
    <t>https://doi.org/10.1109/jiot.2019.2914390</t>
  </si>
  <si>
    <t>10.1109/jiot.2019.2914390</t>
  </si>
  <si>
    <t>Much value in a brownfield Industrial Internet of Things (IIoT) implementation resides at its edge tier, where new types of devices and technologies are deployed to interoperate the legacy industrial control systems with servers and systems in the cloud, and leverage the benefits of the Internet of Things technologies. One of these novel devices is the IIoT edge gateway, which is used to connect critical physical systems with the cyber world, and to provide consistent storage, processing, and analytical and controlling capabilities. However, these devices also come with new and advanced threats such as targeted ransomware. In this paper, we investigate this threat in detail. We studied the threat actors’ motivations, the anatomy of ransomware for edge gateways, and the likelihood of such ransomware attack to happen in the future. We found that threat actors find IIoT edge gateways attractive ransomware targets due to their vital roles and functionalities in working with critical infrastructure and that the likelihood of such attack to occur is high. We built the first version of a ransomware security testbed for IIoT, and for test purposes, we developed a first version of ransomware target at IIoT edge gateway in a brownfield system. From our measurements we conclude that kernel-related activity parameters are significant indicators of the abnormal behavior caused by crypto-ransomware attacks in IIoT edge gateways, much more so even than for similar attacks in information technology server workstation. Thereby, some potential countermeasures for addressing targeted ransomware in IIoT systems are recommended as proactive strategies for dealing with attackers’ new techniques and tactics.</t>
  </si>
  <si>
    <t>Mallia, Jasmine; Francalanza, Emmanuel; Xuereb, Peter; Borg, Massimo; Refalo, Paul</t>
  </si>
  <si>
    <t>Implementation of an intelligence-based framework for anomaly detection on the demand-side of sustainable compressed air systems</t>
  </si>
  <si>
    <t>https://doi.org/10.1016/j.procs.2024.01.153</t>
  </si>
  <si>
    <t>10.1016/j.procs.2024.01.153</t>
  </si>
  <si>
    <t>The implementation of intelligent techniques produces good results in automating fault finding and predicting future outcomes. These approaches have been on the increase in the past years, especially so to detect faults within Compressed Air Systems (CASs). With the use of intelligent techniques, one could minimise the manual and time-consuming aspect of CAS maintenance, improve the environmental impact of the system, while minimising downtime. This paper proposes a general framework for the implementation of intelligent analysis techniques within a real-world system. Such an approach has been implemented on the demand-side of a CAS. In literature, no open datasets are available for use by artificial intelligence models. Hence, as part of this research, a fault generating and monitoring system has been connected to an existing production machine in a manufacturing site to collect the required data. Two classification machine learning methods were implemented and compared across a number of performance metrics. Both the general framework, and its implementation, provide a stepping stone in integrating smart systems with real-time intelligent data analytics for the demand-side of a CAS. These systems would provide a sustainable CAS operation through the effective detection of anomalies and their timely repair.</t>
  </si>
  <si>
    <t>Cavalieri, Salvatore; Cutuli, Giovanni</t>
  </si>
  <si>
    <t>ETFA - Performance evaluation of OPC UA</t>
  </si>
  <si>
    <t>https://doi.org/10.1109/etfa.2010.5641184</t>
  </si>
  <si>
    <t>10.1109/etfa.2010.5641184</t>
  </si>
  <si>
    <t>The widespread use of standard, worldwide and vendor-independent OPC UA specifications in industrial environment introduces many benefits as it allows to keep open the market of the industrial applications. On the other hand, OPC UA adopts a very complex software infrastructure to realise the data exchange between industrial applications and devices (e.g. mainframes, PLC, microcontroller); this complexity may impact on the overall performance of the communication between industrial applications. The aim of this paper is to deal with the performance evaluation of OPC UA, pointing out all the main features which could influence performance in the client/server exchange of information.</t>
  </si>
  <si>
    <t>Kelli, Vasiliki; Radoglou-Grammatikis, Panagiotis; Sesis, Achilleas; Lagkas, Thomas; Fountoukidis, Eleftherios; Kafetzakis, Emmanouil; Giannoulakis, Ioannis; Sarigiannidis, Panagiotis</t>
  </si>
  <si>
    <t>Attacking and Defending DNP3 ICS/SCADA Systems</t>
  </si>
  <si>
    <t>https://doi.org/10.1109/dcoss54816.2022.00041</t>
  </si>
  <si>
    <t>10.1109/dcoss54816.2022.00041</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</si>
  <si>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t>
  </si>
  <si>
    <t>Ravikumar, Gelli; Hyder, Burhan; Babu, Jeyanth Rajan; Khanna, Kush; Govindarasu, Manimaran; Parashar, Manu</t>
  </si>
  <si>
    <t>CPS Testbed Architectures for WAMPAC using Industrial Substation and Control Center Platforms and Attack-Defense Evaluation</t>
  </si>
  <si>
    <t>https://doi.org/10.1109/pesgm46819.2021.9638183</t>
  </si>
  <si>
    <t>10.1109/pesgm46819.2021.9638183</t>
  </si>
  <si>
    <t>Advanced persistent threats and cyberattacks can impact wide-area monitoring, protection, and control (WAMPAC) system operation. Many cyber-physical system (CPS) testbeds have been developed for attack-defense experimentation and attack-resiliency tools evaluation for WAMPAC, but they are limited to a simulation-and-emulation based environment. This paper presents a quasi-realistic CPS attack-defense testbed-based framework for WAMPAC applications using the industrial substation and control center platforms such as eTerra integrated with the hardware-in-the-loop CPS smart grid testbed available at Iowa State University. The proposed framework includes various combinations of industry-grade substation and control center platforms, communication topologies, realtime digital simulators, and a novel cyber-physical distributed intrusion-and-anomaly detection system (D-IADS) for WAMPAC applications. The D-IADS includes a master at the control center and geographically distributed sensor devices at each substation. Each D-IADS sensor deployed at a substation or control center network monitors ingress and egress traffic, detect intrusions, and dispatch alerts to the D-IADS master. The D-IADS master centrally monitors and analyze the alerts and controls D-IADS sensors. We considered an EMP60 synthetic CPS grid as a case study to demonstrate the framework and proposed D-IADS for WAMPAC applications against cyberattack vectors such as Man-in-the-Middle DNP3 attack, denial-of-service, and data-integrity attacks.</t>
  </si>
  <si>
    <t>Rosa, Lorenzo; Garbugli, Andrea; Patera, Lorenzo; Foschini, Luca</t>
  </si>
  <si>
    <t>Supporting vPLC Networking over TSN with Kubernetes in Industry 4.0</t>
  </si>
  <si>
    <t>https://doi.org/10.1145/3609389.3610566</t>
  </si>
  <si>
    <t>10.1145/3609389.3610566</t>
  </si>
  <si>
    <t>The shift in the industrial ecosystem from closed and specialized technologies to the open and general-purpose vision of Industry 4.0 faces numerous challenges. The absence of viable solutions to replace Programmable Logic Controllers (PLCs), vital components in control infrastructures, with their virtual equivalent (vPLCs) embodies those difficulties. In this paper, we introduce a framework that aims at truly materializing the integration between Operational (OT) and Information Technologies (IT) by defining an open, general ecosystem around vPLCs. Previous work either could not meet the performance and determinism requirements of the OT or did so by sacrificing the generality of IT. Building on these experiences, our framework provides both flexibility and efficiency by clearly separating the data path for OT and IT communications. To do that, we integrate tools from both domains: techniques to ensure low network performance and variability (TSN), to ease portability (OPC-UA), and to enhance management and deployment (Kubernetes). Experiments on a real testbed show that vPLCs within our framework can meet strict performance requirements and yet provide the same flexibility as cloud-based applications.</t>
  </si>
  <si>
    <t>Seno, Lucia; Vitturi, Stefano; Zunino, Claudio</t>
  </si>
  <si>
    <t>ETFA - Real Time Ethernet networks evaluation using performance indicators</t>
  </si>
  <si>
    <t>The employment of Real Time Ethernet networks in factory automation systems is rapidly increasing and several commercial products, with different characteristics, are already available from various manufacturers. Most of these networks have been included in both the IEC 61158 and IEC 61784 International Standards that, in addition, define a set of Performance Indicators. In this paper we focus on two popular Real Time Ethernet networks, namely Ethernet POWERLINK and EtherCAT, and we evaluate their performance for a typically deployed factory automation configuration. Specifically, we compute the most relevant performance indicators introduced by IEC 61784 standard and two (purposely defined) additional ones, namely minimum cycle time and jitter, which are suitable for the two networks considered.</t>
  </si>
  <si>
    <t>Various communication protocols are currently used in the Internet of Things (IoT) devices. One of the protocols that are already standardized by ISO is MQTT protocol (ISO / IEC 20922: 2016). Many IoT developers use this protocol because of its minimal bandwidth requirement and low memory consumption. Sometimes, IoT device sends confidential data that should only be accessed by authorized people or devices. Unfortunately, the MQTT protocol only provides authentication for the security mechanism which, by default, does not encrypt the data in transit thus data privacy, authentication, and data integrity become problems in MQTT implementation. This paper discusses several reasons on why there are many IoT system that does not implement adequate security mechanism. Next, it also demonstrates and analyzes how we can attack this protocol easily using several attack scenarios. Finally, after the vulnerabilities of this protocol have been examined, we can improve our security awareness especially in MQTT protocol and then implement security mechanism in our MQTT system to prevent such attack.</t>
  </si>
  <si>
    <t>Artetxe, Eneko; Barambones, Oscar; Calvo, Isidro; Fernández-Bustamante, Pablo; Martin, Imanol; Uralde, Jokin</t>
  </si>
  <si>
    <t>Wireless Technologies for Industry 4.0 Applications</t>
  </si>
  <si>
    <t>https://doi.org/10.3390/en16031349</t>
  </si>
  <si>
    <t>10.3390/en16031349</t>
  </si>
  <si>
    <t>&lt;jats:p&gt;Wireless technologies are increasingly used in industrial applications. These technologies reduce cabling, which is costly and troublesome, and introduce several benefits for their application in terms of flexibility to modify the layout of the nodes and scaling of the number of connected devices. They may also introduce new functionalities since they ease the connections to mobile devices or parts. Although they have some drawbacks, they are increasingly accepted in industrial applications, especially for monitoring and supervision tasks. Recently, they are starting to be accepted even for time-critical tasks, for example, in closed-loop control systems involving slow dynamic processes. However, wireless technologies have been evolving very quickly during the last few years, since several relevant technologies are available in the market. For this reason, it may become difficult to select the best alternative. This perspective article intends to guide application designers to choose the most appropriate technology in each case. For this purpose, this article discusses the most relevant wireless technologies in the industry and shows different examples of applications.&lt;/jats:p&gt;</t>
  </si>
  <si>
    <t>Raciti, Massimiliano</t>
  </si>
  <si>
    <t>Anomaly Detection and its Adaptation: Studies on Cyber-Physical Systems</t>
  </si>
  <si>
    <t>Cyber-Physical Systems (CPS) are complex systems where physical operations are supported and coordinated by Information and Communication Technology (ICT).From the point of view of security, ICT te ...</t>
  </si>
  <si>
    <t>Kutscher, Dirk; Oran, David</t>
  </si>
  <si>
    <t>RESTful information-centric networking</t>
  </si>
  <si>
    <t>https://doi.org/10.1145/3517212.3558089</t>
  </si>
  <si>
    <t>10.1145/3517212.3558089</t>
  </si>
  <si>
    <t>Web applications today utilize the Representation State Transfer (REST) architectural pattern, depending on HTTP, TLS, and either TCP or QUIC as the protocol substrate to build upon. Our vision is to achieve the key properties of REST using ICN protocols as an alternative. We argue that this is feasible given some of the recent advances in ICN protocol development and that the resulting suite is simpler and potentially having better performance and robustness properties. Our sketch of an ICN-based protocol framework addresses secure and efficient establishment and continuation of REST communication sessions, without giving up key ICN properties, such as consumer anonymity and flow balance.</t>
  </si>
  <si>
    <t>Mirani, Akseer Ali; Velasco-Hernandez, Gustavo; Awasthi, Anshul; Walsh, Joseph</t>
  </si>
  <si>
    <t>Key Challenges and Emerging Technologies in Industrial IoT Architectures: A Review.</t>
  </si>
  <si>
    <t>https://doi.org/10.3390/s22155836</t>
  </si>
  <si>
    <t>10.3390/s22155836</t>
  </si>
  <si>
    <t>The Industrial Internet of Things (IIoT) is bringing evolution with remote monitoring, intelligent analytics, and control of industrial processes. However, as the industrial world is currently in its initial stage of adopting full-stack development solutions with IIoT, there is a need to address the arising challenges. In this regard, researchers have proposed IIoT architectures based on different architectural layers and emerging technologies for the end-to-end integration of IIoT systems. In this paper, we review and compare three widely accepted IIoT reference architectures and present a state-of-the-art review of conceptual and experimental IIoT architectures from the literature. We identified scalability, interoperability, security, privacy, reliability, and low latency as the main IIoT architectural requirements and detailed how the current architectures address these challenges by using emerging technologies such as edge/fog computing, blockchain, SDN, 5G, Machine Learning, and Wireless Sensor Networks (WSN). Finally, we discuss the relation between the current challenges and emergent technologies and present some opportunities and directions for future research work.</t>
  </si>
  <si>
    <t>Bayılmış, Cüneyt; Ebleme, M. Ali; Çavuşoğlu, Ünal; Küçük, Kerem; Sevin, Abdullah</t>
  </si>
  <si>
    <t>A survey on communication protocols and performance evaluations for Internet of Things</t>
  </si>
  <si>
    <t>https://doi.org/10.1016/j.dcan.2022.03.013</t>
  </si>
  <si>
    <t>10.1016/j.dcan.2022.03.013</t>
  </si>
  <si>
    <t>Ma, Ruhui; Zhou, Fan-Fu; Zhu, Erzhou; Guan, Haibing</t>
  </si>
  <si>
    <t>Performance Tuning Towards a KVM-based Embedded Real-time Virtualization System</t>
  </si>
  <si>
    <t>Virtualization is a fundamental component in cloud computing because it provides numerous guest VM transparent services, such as live migration, high availability, rapid checkpoint, etc. Utilizing virtualization technology to combine real-time operating system (RTOS) and off-the-shelf time-sharing general purpose operating system (GPOS) is attracting much more interest recently. Such combination has the potential to provide a large application base, and to guarantee timely deterministic response to real-time applications, yet there remain some issues, such as responsiveness of RTOS running on top of a virtual machine (VM), system performance and CPU resource utilization rate, etc. In this paper we propose an embedded real-time virtualization architecture based on Kernel- Based Virtual Machine (KVM), in which VxWorks and Linux are combined together. We then analyze and evaluate how KVM influences the interrupt-response times of VxWorks as a guest operating system. By applying several real-time performance tuning methods on the host Linux, we will show that sub-millisecond interrupt response latency can be achieved on the guest VxWorks. Furthermore, we also find out that prioritization tuning results in waste of CPU resources when RTOS is not executing real-time tasks, so we design a dynamic scheduling mechanism--co-scheduling to improve system performance. Experimental results with SPEC2000 and bonnie 1.4 load, show that this new architecture tuned by CPU shielding, prioritization and co-scheduling, can achieve better real-time responsiveness and system performance.</t>
  </si>
  <si>
    <t>Hanes, David; Salgueiro, Gonzalo; Grossetete, Patrick; Barton, Robert; Henry, Jerome</t>
  </si>
  <si>
    <t>IoT Fundamentals: Networking Technologies, Protocols, and Use Cases for the Internet of Things</t>
  </si>
  <si>
    <t>Today, billions of devices are Internet-connected, IoT standards and protocols are stabilizing, and technical professionals must increasingly solve real problems with IoT technologies. Now, five leading Cisco IoT experts present the first comprehensive, practical reference for making IoT work. IoT Fundamentals brings together knowledge previously available only in white papers, standards documents, and other hard-to-find sourcesor nowhere at all. The authors begin with a high-level overview of IoT and introduce key concepts needed to successfully design IoT solutions. Next, they walk through each key technology, protocol, and technical building block that combine into complete IoT solutions. Building on these essentials, they present several detailed use cases, including manufacturing, energy, utilities, smart+connected cities, transportation, mining, and public safety. Whatever your role or existing infrastructure, youll gain deep insight what IoT applications can do, and what it takes to deliver them. Fully covers the principles and components of next-generation wireless networks built with Cisco IOT solutions such as IEEE 802.11 (Wi-Fi), IEEE 802.15.4-2015 (Mesh), and LoRaWAN Brings together real-world tips, insights, and best practices for designing and implementing next-generation wireless networks Presents start-to-finish configuration examples for common deployment scenarios Reflects the extensive first-hand experience of Cisco experts</t>
  </si>
  <si>
    <t>Sáez-de-Cámara, Xabier; Flores, Jose Luis; Arellano, Cristóbal; Urbieta, Aitor; Garitano, Iñaki; Zurutuza, Urko</t>
  </si>
  <si>
    <t>Practical approaches towards IoT dataset generation for security experiments</t>
  </si>
  <si>
    <t>https://doi.org/10.1016/b978-0-44-329032-9.00017-8</t>
  </si>
  <si>
    <t>10.1016/b978-0-44-329032-9.00017-8</t>
  </si>
  <si>
    <t>Oliveira, Hermyson; Camboim, Kádna; Beserra, David; Araujo, Jean</t>
  </si>
  <si>
    <t>Performance Evaluation of IoT-Enabled Edge Computing Infrastructure for mHealth Services</t>
  </si>
  <si>
    <t>https://doi.org/10.1007/978-3-031-87766-7_27</t>
  </si>
  <si>
    <t>10.1007/978-3-031-87766-7_27</t>
  </si>
  <si>
    <t>Zhang, Yinghui; An, Hu; Xing, Yaxuan; Liu, Yang; Zhang, Tiankui</t>
  </si>
  <si>
    <t>Learning Temporal and Spatial Features Jointly: A Unified Framework for Space-Time Data Prediction in Industrial IoT Networks</t>
  </si>
  <si>
    <t>https://doi.org/10.1109/jsen.2023.3271629</t>
  </si>
  <si>
    <t>10.1109/jsen.2023.3271629</t>
  </si>
  <si>
    <t>Industrial Internet-of-Things (IIoT) networks, as the application of Internet-of-Things (IoT) networks to modern industry, are growing rapidly with the digital transformation accelerates. Mobile sensors are widely adopted in monitoring key information of massive IIoT networks in an ad hoc fashion or retrofitting on to an existing infrastructure. Hence, owing to the characteristics of scalability, unstable locations, and highly unstructured, achieving perfect prediction for mobile multisensor is a challenging problem. In this article, a dynamic space-time prediction algorithm combining temporal convolutional network and graph convolutional network (TCN-GCN) is proposed to provide reliable multiple nodes prediction for detection and maintenance in IIoT networks. In particularly, an adaptive learning graph process is exclusively designed according to the dynamic characteristics of mobile sensors. Moreover, the improved dilated time convolution network and dynamic graph convolution network (DGCN) are combined to effectively capture the time dependence and topology information. Furthermore, an advanced loss function is applied to avoid overfitting. Numerical simulations show that the proposed TCN-GCN prediction algorithm exhibits higher effectiveness in accuracy and complexity than convolutional long short-term memory (ConvLSTM), temporal graph convolutional network (T-GCN), and residual graph ConvLSTM (Graph-ResLSTM).</t>
  </si>
  <si>
    <t>Wang, Zheng; Wang, Xiaoni</t>
  </si>
  <si>
    <t>Design of 5G private network quality monitoring System based on edge computing</t>
  </si>
  <si>
    <t>https://doi.org/10.1109/icsp58490.2023.10248787</t>
  </si>
  <si>
    <t>10.1109/icsp58490.2023.10248787</t>
  </si>
  <si>
    <t>In order to ensure the continuous, secure, and reliable network connection and coverage of the private network environment, the quality assurance requirements of different network states in different 5G private network scenarios are addressed. This paper proposes a 5G private network quality monitoring system based on edge computing. By connecting the 5G acquisition module to the private network environment, the system uses edge computing technology to carry out preliminary cleaning, integration, encryption and other processing of the collected data, unload the computing tasks originally needed to be carried out in the cloud to the terminal, and realize data transmission between the terminal and the big data cloud platform based on MQTT protocol. Finally, the system provides real-time monitoring of the private network environment through visual display on the front-end interface. The experimental results show that the system remains stable after pressure testing and has good reliability, which can provide real-time security protection and traceability basis for the private network environment.</t>
  </si>
  <si>
    <t>Boeding, Matthew; Scalise, Paul; Hempel, Michael; Sharif, Hamid</t>
  </si>
  <si>
    <t>Evaluating the Latency Impact for Time-Critical Operational Technology Applications of Transitioning IEC-61850 GOOSE Operations to 5G</t>
  </si>
  <si>
    <t>https://doi.org/10.1109/ccnc51664.2024.10454815</t>
  </si>
  <si>
    <t>10.1109/ccnc51664.2024.10454815</t>
  </si>
  <si>
    <t>5th -Generation (5G) cellular networks enable a new approach to applications that require low latency. As part of 5G infrastructure, Ultra Reliable Low Latency Communication (URLLC) was defined to support low-latency services using small payloads. However, many Operational Technology (OT) protocols designed with latency in mind require larger payloads but allow for latencies that exceed URLLC's 1ms capability for their operation. An example of such protocols is IEC-61850 GOOSE, which mandates a maximum latency of 4ms, but often transports larger payloads. In this paper, we evaluate the latency implications of incorporating the GOOSE protocol over 5G connections. We evaluate network performance by measuring two different Intelligent Electronic Devices' contact closure times and compare those to measurements obtained from a standard GOOSE network setup. This analysis shows the impact on network latency and critical application performance, from which we can derive important network parameters to improve performance for private 5G-based OT network implementations.</t>
  </si>
  <si>
    <t>Pereira, Felisberto; Correia, Ricardo; Pinho, Pedro; Lopes, Sérgio I.; Carvalho, Nuno Borges</t>
  </si>
  <si>
    <t>Challenges in Resource-Constrained IoT Devices: Energy and Communication as Critical Success Factors for Future IoT Deployment.</t>
  </si>
  <si>
    <t>https://doi.org/10.3390/s20226420</t>
  </si>
  <si>
    <t>10.3390/s20226420</t>
  </si>
  <si>
    <t>Internet of Things (IoT) has been developing to become a free exchange of useful information between multiple real-world devices. Already spread all over the world in the most varied forms and applications, IoT devices need to overcome a series of challenges to respond to the new requirements and demands. The main focus of this manuscript is to establish good practices for the design of IoT devices (i.e., smart devices) with a focus on two main design challenges: power and connectivity. It groups IoT devices in passive, semi-passive, and active, giving details on multiple research topics. Backscatter communication, Wireless Power Transfer (WPT), Energy Harvesting (EH), chipless devices, Simultaneous Wireless Information and Power Transfer (SWIPT), and Wake-Up Radio (WUR) are some examples of the technologies that will be explored in this work.</t>
  </si>
  <si>
    <t>Ruiz-Villafranca, Sergio; Gómez, Juan Manuel Castelo; Roldán-Gómez, José</t>
  </si>
  <si>
    <t>A forensic tool for the identification, acquisition and analysis of sources of evidence in IoT investigations</t>
  </si>
  <si>
    <t>https://doi.org/10.1016/j.iot.2024.101308</t>
  </si>
  <si>
    <t>10.1016/j.iot.2024.101308</t>
  </si>
  <si>
    <t>The emergence of the Internet of Things (IoT) has posed a new challenge for forensic investigators, who find themselves carrying out examinations in a very heterogeneous and novel scenario. Aspects such as the high number of devices, the unlikelihood of having physical access to them, the short lifetime of the data, or the difficulty of acquiring it, demand changes in some of the key processes of forensic investigations. In this regard, the identification, acquisition, and analysis phases call for an IoT-centred approach that can fulfil the requirements of the environment. Due to the interoperability of the IoT, and the way in which the data is handled and exchanged, the network traffic becomes a very useful source of evidence. In view of this, this paper presents an automatic procedure for identifying, analysing, and acquiring IoT network traffic and using it as a basis for forensic examinations by employing an edge node capable of performing real-time traffic monitoring and analysis on the most popular IoT protocols. Furthermore, by pairing it with an Intrusion Detection System (IDS) based on Machine Learning (ML) algorithms, the proposal is capable of following a proactive approach, detecting threats and taking the corresponding measures to assure the correct initiation of a forensic process.</t>
  </si>
  <si>
    <t>Zhang, Zhongyu; Zhu, Zhenjie; Zhang, Jinsheng; Wang, Jingkun</t>
  </si>
  <si>
    <t>Construction of intelligent integrated model framework for the workshop manufacturing system via digital twin</t>
  </si>
  <si>
    <t>https://doi.org/10.1007/s00170-021-08171-3</t>
  </si>
  <si>
    <t>10.1007/s00170-021-08171-3</t>
  </si>
  <si>
    <t>Ariyadi, Muhammad Rizal; Pratama, Andi Yuda; Purnomo, Didik Setyo; Tamara, Mohamad Nasyir; Tamami, Niam; Ramadhan, Novan Asdianto; Pramujati, Bambang</t>
  </si>
  <si>
    <t>Communication and Coordination for Multi AGVs Based on MQTT Protocol</t>
  </si>
  <si>
    <t>https://doi.org/10.1109/ies59143.2023.10242541</t>
  </si>
  <si>
    <t>10.1109/ies59143.2023.10242541</t>
  </si>
  <si>
    <t>This research focuses on the development of communication and coordination systems for Multi-Agent AGVs. The designed system consists of 3 subsystems, those are 4 AGVs, a trajectory generator, and GUI. The MQTT is used as a communication protocol to manage the sending and receiving of data such as coordinates, obstacles, and paths. The start and goal coordinates are provided by the GUI to the trajectory generator, which produces a safe and accurate path for the AGV. If the AGV comes across an obstacle on its way to the goal, it communicates with the trajectory generator of the obstruction's location, current position, and goal coordinates for rerouting. The AGVsends its real-time position to the GUI continuously for control and monitoring. The experiments show the efficient and reliable performance of MQTT as a communication protocol on multiple AGVs. Three directions of communication were successfully developed including AGV to GUI, trajectory generator to AGV, and GUI to trajectory generator.</t>
  </si>
  <si>
    <t>Dighriri, Osama; Nanda, Priyadarsi; Mohanty, Manoranjan; Alrashed, Bashair; Haddadi, Ibrahim</t>
  </si>
  <si>
    <t>QoSmart-IoT: Secure QoS-Based Reconfiguration and Protocol Adaptation for Hybrid Clustered IoT Systems in Constrained Environments</t>
  </si>
  <si>
    <t>https://doi.org/10.1007/978-3-032-10466-3_13</t>
  </si>
  <si>
    <t>10.1007/978-3-032-10466-3_13</t>
  </si>
  <si>
    <t>Javed, Safdar Hussain; Ahmad, Maaz Bin; Asif, Muhammad; Akram, Waseem; Mahmood, Khalid; Das, Ashok Kumar; Shetty, Sachin</t>
  </si>
  <si>
    <t>APT Adversarial Defence Mechanism for Industrial IoT Enabled Cyber-Physical System</t>
  </si>
  <si>
    <t>https://doi.org/10.1109/access.2023.3291599</t>
  </si>
  <si>
    <t>10.1109/access.2023.3291599</t>
  </si>
  <si>
    <t>The objective of Advanced Persistent Threat (APT) attacks is to exploit Cyber-Physical Systems (CPSs) in combination with the Industrial Internet of Things (I-IoT) by using fast attack methods. Machine learning (ML) techniques have shown potential in identifying APT attacks in autonomous and malware detection systems. However, detecting hidden APT attacks in the I-IoT-enabled CPS domain and achieving real-time accuracy in detection present significant challenges for these techniques. To overcome these issues, a new approach is suggested that is based on the Graph Attention Network (GAN), a multi-dimensional algorithm that captures behavioral features along with the relevant information that other methods do not deliver. This approach utilizes masked self-attentional layers to address the limitations of prior Deep Learning (DL) methods that rely on convolutions. Two datasets, the DAPT2020 malware, and Edge IIoT datasets are used to evaluate the approach, and it attains the highest detection accuracy of 96.97% and 95.97%, with prediction time of 20.56 seconds and 21.65 seconds, respectively. The GAN approach is compared to conventional ML algorithms, and simulation results demonstrate a significant performance improvement over these algorithms in the I-IoT-enabled CPS realm.</t>
  </si>
  <si>
    <t>Shahanas, I. N.; Thampi, Sabu M.</t>
  </si>
  <si>
    <t>Secure Communication Protocols: Safeguarding Information in The Digital Age</t>
  </si>
  <si>
    <t>https://doi.org/10.1007/978-3-031-82826-3_6</t>
  </si>
  <si>
    <t>10.1007/978-3-031-82826-3_6</t>
  </si>
  <si>
    <t>KaradaŞ, Hasan Bahadır; Kalkan, Kübra</t>
  </si>
  <si>
    <t>IBAM: IPFS and Blockchain based Authentication for MQTT protocol in IoT</t>
  </si>
  <si>
    <t>https://doi.org/10.1109/iscc58397.2023.10217960</t>
  </si>
  <si>
    <t>10.1109/iscc58397.2023.10217960</t>
  </si>
  <si>
    <t>Decentralized systems have proven themselves as a dominant authentication and storage paradigm for IoT systems where smartwatches are integrated with MQTT messaging framework for transmitting medical data to doctors. However, the security concerns with centralized frameworks presented vital security challenges regarding data privacy and network security for healthcare systems. This paper will present an integrated framework involving a reliable and lightweight e-health data-sharing framework that combines the decentralized interplanetary file system (IPFS) and blockchain on a smartwatch platform. Particularly, this framework helps in trustworthy control mechanisms which use smart contracts to achieve authentication and storage for both subscribers and publishers. We presented a simulation using Ethereum blockchain and IPFS in a real data-sharing scenario with the MQTT protocol. Our analysis proved that our approach satisfies lightweight access control requirements since it demonstrates the low latency of the framework and optimized energy consumption with high security and data privacy levels.</t>
  </si>
  <si>
    <t>Et-Tousy, Jamal; Zyane, Abdellah</t>
  </si>
  <si>
    <t>Integration of MQTT and CoAP Protocols in OneM2M for IoT Applications</t>
  </si>
  <si>
    <t>https://doi.org/10.1007/978-3-031-90921-4_26</t>
  </si>
  <si>
    <t>10.1007/978-3-031-90921-4_26</t>
  </si>
  <si>
    <t>Ruiz-Villafranca, Sergio; Carrillo-Mondéjar, Javier; Castelo Gómez, Juan Manuel; Roldán-Gómez, José</t>
  </si>
  <si>
    <t>MECInOT: a multi-access edge computing and industrial internet of things emulator for the modelling and study of cybersecurity threats</t>
  </si>
  <si>
    <t>https://doi.org/10.1007/s11227-023-05098-2</t>
  </si>
  <si>
    <t>10.1007/s11227-023-05098-2</t>
  </si>
  <si>
    <t>&lt;jats:title&gt;Abstract&lt;/jats:title&gt;&lt;jats:p&gt;In recent years, the Industrial Internet of Things (IIoT) has grown rapidly, a fact that has led to an increase in the number of cyberattacks that target this environment and the technologies that it brings together. Unfortunately, when it comes to using tools for stopping such attacks, it can be noticed that there are inherent weaknesses in this paradigm, such as limitations in computational capacity, memory and network bandwidth. Under these circumstances, the solutions used until now in conventional scenarios cannot be directly adopted by the IIoT, and so it is necessary to develop and design new ones that can effectively tackle this problem. Furthermore, these new solutions must be tested in order to verify their performance and viability, which requires testing architectures that are compatible with newly introduced IIoT topologies. With the aim of addressing these issues, this work proposes MECInOT, which is an architecture based on openLEON and capable of generating test scenarios for the IIoT environment. The performance of this architecture is validated by creating an intelligent threat detector based on tree-based algorithms, such as decision tree, random forest and other machine learning techniques. Which allows us to generate an intelligent and to demonstrate, we could generate an intelligent threat detector and demonstrate the suitability of our architecture for testing solutions in IIoT environments. In addition, by using MECInOT, we compare the performance of the different machine learning algorithms in an IIoT network. Firstly, we present the benefits of our proposal, and secondly, we describe the emulation of an IIoT environment while ensuring the repeatability of the experiments.&lt;/jats:p&gt;</t>
  </si>
  <si>
    <t>Paul, Gita Alekhya; Jagnani, Yashvardhan; Supraja, P</t>
  </si>
  <si>
    <t>Implementing Dead Letter Exchanges in MQTT and Proposing a Broker Failure Algorithm Utilizing Blockchain DNS</t>
  </si>
  <si>
    <t>https://doi.org/10.1109/vitecon58111.2023.10157491</t>
  </si>
  <si>
    <t>10.1109/vitecon58111.2023.10157491</t>
  </si>
  <si>
    <t>The Message Queuing Telemetry Transport (MQTT) protocol is used in the Internet of Things (IoT) and Edge Computing for its lightweight and efficient data exchange capabilities. However, challenges like lack of fault tolerance on the broker end and limitations in storing unacknowledged messages in Quality of Service (QoS) higher than 0 have emerged. This paper proposes leveraging Blockchain technology to enhance fault tolerance in dead letter exchanges at QoS levels 1 and 2 and enable more efficient and secure data management through block storage of unacknowledged messages to address these issues. The proposed approach suggests using Blockchain to implement dynamic load balancing through Blockchain Naming Services, which involves hosting brokers under decentralized domain names on the Blockchain, monitored by a load balancer. In case of a broker failure, the load balancer can seamlessly migrate topics from the failed broker to the next available broker, ensuring uninterrupted communication between publishers and subscribers. This approach aims to improve the performance and reliability of the MQTT protocol while preserving its lightweight and minimal overhead nature. By leveraging Blockchain technology, this paper offers innovative solutions to overcome the limitations of MQTT and enhance its capabilities as a reliable and efficient data exchange protocol for IoT and Edge Computing applications. The findings of this research contribute to the growing body of knowledge on integrating Blockchain with MQTT and provide insights into how Blockchain can be used to enhance the fault tolerance and scalability of IoT protocols.</t>
  </si>
  <si>
    <t>Al-Hawawreh, Muna; Sitnikova, Elena; Aboutorab, Neda</t>
  </si>
  <si>
    <t>X-IIoTID: A Connectivity-Agnostic and Device-Agnostic Intrusion Data Set for Industrial Internet of Things</t>
  </si>
  <si>
    <t>https://doi.org/10.1109/jiot.2021.3102056</t>
  </si>
  <si>
    <t>10.1109/jiot.2021.3102056</t>
  </si>
  <si>
    <t>Zhu, Ziang; Zhang, Han; Zhang, Shubo; Wang, Jinfeng; Ren, Hongqiang</t>
  </si>
  <si>
    <t>Intelligent Monitoring and Control Systems for Smart Water Management</t>
  </si>
  <si>
    <t>https://doi.org/10.1007/978-3-031-82794-5_16</t>
  </si>
  <si>
    <t>10.1007/978-3-031-82794-5_16</t>
  </si>
  <si>
    <t>Chu, Meng; Cui, Ziang; Zhang, Ailing; Yao, Jiale; Tang, Chenyu; Fu, Zhe; Nathan, Arokia; Gao, Shuo</t>
  </si>
  <si>
    <t>Multisensory Fusion, Haptic, and Visual Feedback Teleoperation System Under IoT Framework</t>
  </si>
  <si>
    <t>https://doi.org/10.1109/jiot.2022.3167920</t>
  </si>
  <si>
    <t>10.1109/jiot.2022.3167920</t>
  </si>
  <si>
    <t>The combination of teleoperating robots and the Internet of Things (IoT) could be employed in many areas, including remote nursing and semi-mechanical control. However, it is known that subjects can quickly encounter physical and mental fatigue, which can potentially lower accuracy in teleoperation. To address this issue, this article presents a closed-loop teleoperation system based on multisensory fusion, visual, and haptic feedback within the IoT framework. Various sensors for electromyography, inertial measurement unit, and mechanical hand control system are deployed to obtain body signals from participants, subsequently processed by artificial intelligence methods. Resistive sensors are installed at the robotic hand side to learn the contact force between the robot hand and the grasped object. To allow the user to understand the contact force levels, a haptic interface is equipped to provide three-level mechanical vibrations. To help users identify and trace different objects, a region convolution neural network for detecting 100 different categories of things is constructed. In addition, the real-time control (delay &lt;inline-formula xmlns:mml="http://www.w3.org/1998/Math/MathML" xmlns:xlink="http://www.w3.org/1999/xlink"&gt; &lt;tex-math notation="LaTeX"&gt;$\mathbf {&amp;lt; } 110$ &lt;/tex-math&gt;&lt;/inline-formula&gt; ms) is offered by a tri-layered IoT architecture. The feasibility of the proposed technique is validated by a grasping task carried out by 20 volunteers. During experiments, it is observed that merely 10.8 s is averagely needed for participants in finishing the task, with a high average success rate of 97%. Besides, NASA-TLX questionnaire and maximum voluntary contraction test report that users suffer light mental and physical fatigue when the proposed technique is used.</t>
  </si>
  <si>
    <t>Singh, Anamika; Dhanaraj, Rajesh Kumar; Akkas Ali, Md.; Balaji, Prasanalakshmi; Alharbi, Meshal</t>
  </si>
  <si>
    <t>Transfer Fuzzy Learning enabled Streebog Cryptographic Substitution Permutation based zero trust security in IIOT</t>
  </si>
  <si>
    <t>https://doi.org/10.1016/j.aej.2023.08.084</t>
  </si>
  <si>
    <t>10.1016/j.aej.2023.08.084</t>
  </si>
  <si>
    <t>The advent of the fourth industrial revolution and connection with devices and sensors produced extensive arbitrary, discordant data in IIoT platforms. The IIoT platforms have experienced a sea change and their progressively difficult and acquiring intricate. As a result, devices within the network manifest part of the trusted network, therefore compromising other devices in the network. In order to, circumvent is a requirement for a simple safety mechanism between devices to derived by applying a Zerotrust principle. In this work a novel method called, Streebog Cryptographic Substitution Permutation Network-based Transfer Fuzzy Learning (SCSPN-TFL) to improve the network access time. First, device security is designed via the policy engine and policy administrator module using the SCSPN model. SCSPN is performed into IIoT to improve the secure data communication between devices. Next, the device block is sent to receiver for performing decryption and obtaining original device information by such policy and studying communication patterns between devices. Next, data security is presented via a policy enforcement module using Transfer Fuzzy Learning. The results show that the proposed method achieves better data confidentially rate as 8 %, minimal network access time as 28 %, a better data integrity rate as 9 % and a reduced false positive rate as 25 %, as compared to existing techniques.</t>
  </si>
  <si>
    <t>John, Fabian; Schmidt, Sven Ole; Hellbruck, Horst</t>
  </si>
  <si>
    <t>High Precision Open Laboratory 3D Positioning System for Automated Underwater Measurements</t>
  </si>
  <si>
    <t>https://doi.org/10.23919/oceans44145.2021.9706087</t>
  </si>
  <si>
    <t>10.23919/oceans44145.2021.9706087</t>
  </si>
  <si>
    <t>Underwater measurements in a lab environment are challenging, with sensors or objects that need to be positioned precisely and reproducible. Existing systems are expensive, often not suited for underwater usage, and not flexible. Underwater's main challenges are determining the "exact" relative position and a positioning system that is operated reliably in a wet environment. The commercial systems available are fixed in dimensions and cannot be fitted to lab conditions. We present our open solution, which is scalable and flexible to be adapted to other applications. The solution consists of a table with readily adaptable components such as positioning components integrated into an MQTT environment with precise stepper motor units. The table is easy to adapt in size, and we take care of special placement for electrical components to not get into contact with water. The system achieves a noticeable performance and is fully automated. The speed is adaptable between 1 mm/s and 30 mm/s, with a resolution of 0.1 mm.</t>
  </si>
  <si>
    <t>Tu, Xinyi; Ala-Laurinaho, Riku; Yang, Chao; Autiosalo, Juuso; Tammi, Kari</t>
  </si>
  <si>
    <t>Architecture for data-centric and semantic-enhanced industrial metaverse: Bridging physical factories and virtual landscape</t>
  </si>
  <si>
    <t>https://doi.org/10.1016/j.jmsy.2024.05.016</t>
  </si>
  <si>
    <t>10.1016/j.jmsy.2024.05.016</t>
  </si>
  <si>
    <t>The metaverse paradigm has recently captured increasing scholarly and industrial attention, particularly within the scope of human-centric Industry 5.0. In this context, the metaverse promises a transformative confluence of the physical and digital realms, offering unparalleled avenues for human augmentation in industrial applications. Yet, while several conceptual metaverse architectures and illustrative case studies have emerged, they scarcely delve deep into the nuanced practice of cultivating the industrial metaverse for factory-scale applications. Addressing this research gap, this work introduces a novel architecture for a data-centric and semantic-enhanced industrial metaverse. The architecture intricately weaves the physical factory domain with the metaverse, fortified by a suite of ten modules, facilitating data flow and knowledge synchronization with the integration of digital twins and semantic models. The practical application and relevance of this architecture are further accentuated through a case study focused on in-plant material flow tracking. Emerging results underline that our architecture encapsulates the essential components for constructing a factory-scale industrial metaverse. Future research will be geared towards a comprehensive validation of the proposed metaverse architecture, culminating in tangible implementations across diverse industrial contexts.</t>
  </si>
  <si>
    <t>Sazid, Mir Mohibullah; Nuhel, Ahsan Kabir; Alam Shakib, Mohammad Ashraful; Parvez, Nahid; Billah, Mokabbera</t>
  </si>
  <si>
    <t>Developing a Low-cost SCADA System for Industrial Application</t>
  </si>
  <si>
    <t>https://doi.org/10.1109/icoei53556.2022.9776642</t>
  </si>
  <si>
    <t>10.1109/icoei53556.2022.9776642</t>
  </si>
  <si>
    <t>In this study, a low-cost industrial SCADA system has been presented and being developed for SMEs (small and medium companies). As is the case with many other emerging economies, such as Bangladesh, several SMEs contribute to the country's economy. Commercial SCADA systems, which are available in the market, are costly to set up and maintain for smaller companies. Also, the controlling and data acquisition interface of the loads through software has to be developed, which is also costly. As a result, keeping the cost-cut of the small companies in mind, those SCADA systems cannot be used in general. So, a low-cost SCADA system prototype has been designed for SMEs. In this paper, two microcontrollers have been used for faster data acquisition and better performance for logic switching of loads by minimizing the switching delay.</t>
  </si>
  <si>
    <t>Sestito, Guilherme Serpa; Turcato, Afonso Celso; Dias, Andre Luis; Ferrari, Paolo; da Silva, Maíra Martins</t>
  </si>
  <si>
    <t>Evaluating Real-Time Ethernet performance indicators for SERCOS III networks</t>
  </si>
  <si>
    <t>https://doi.org/10.1109/induscon51756.2021.9529676</t>
  </si>
  <si>
    <t>10.1109/induscon51756.2021.9529676</t>
  </si>
  <si>
    <t>Industrial communication networks are a fundamental aspect of the connectivity demanded by Industry 4.0. In this scenario, protocols based on Real-Time Ethernet, which have been proven fundamental for automation tasks in the past, may be suitable also for new projects. Since Industry 4.0 requires additional features never exploited before in control networks that could jeopardize real-time, a trustful evaluation of key performance indicators is mandatory. As known by previous works, collecting and analyzing Real-Time Ethernet data is challenging, and not all the RTE protocols have been already studied. In this paper, the SERCOS III protocol is considered, because it is widely used in the industrial environment but it is not well investigated by the scientific community. Therefore, this work aims to carry out a (quantitative) comparative bibliographic research pointing out gaps, discussing SERCOS III protocol’s communication dynamics, and presenting a performance analysis method based on indicators for real applications. Finally, the Throughput RT and Non-RT, cycle time, and jitter are analyzed in a case study, where the proposed analysis structure is applied to a SERCOS III network.</t>
  </si>
  <si>
    <t>Liu, Ke; Song, Rui; Zhang, Wenqian; Guo, Han; Han, Jun; Zou, Hongbo</t>
  </si>
  <si>
    <t>Research on Hardware-in-the-Loop Test Platform Based on Simulated IED and Man-in-the-Middle Attack</t>
  </si>
  <si>
    <t>https://doi.org/10.3390/pr13092735</t>
  </si>
  <si>
    <t>10.3390/pr13092735</t>
  </si>
  <si>
    <t>&lt;jats:p&gt;With the widespread adoption of intelligent electronic devices (IEDs) in smart substations, the real-time data transmission and interoperability features of the IEC 61850 communication standard play a crucial role in ensuring seamless automation system integration. This paper presents a hardware-in-the-loop (HIL) platform experiment analysis based on a simulated IED and man-in-the-middle (MITM) attack, leveraging built-in IEC 61850 protocol software to replicate an existing substation communication architecture in cyber physical systems. This study investigates the framework performance and protocol robustness of this approach. First, the physical network infrastructure of smart grids is analyzed in detail, followed by the development of an HIL testing platform tailored for discrete communication network scenarios. Next, virtual models of intelligent electrical equipment and MITM attacks are created, along with their corresponding communication layer architectures, enabling comprehensive simulation analysis. Finally, in the 24-h stability operation test and the test of three typical fault scenarios, the simulated IED can achieve 100% of the protocol consistency passing rate, which is completely consistent with the protection action decision of the physical IED, the end-to-end delay is less than 4 ms, and the measurement accuracy matches the accuracy level of the physical IED, which verifies that the proposed test platform can effectively guide the commissioning of smart substations.&lt;/jats:p&gt;</t>
  </si>
  <si>
    <t>Jin, Jiong; Pang, Zhibo; Kua, Jonathan; Zhu, Quanyan; Johansson, Karl H.; Marchenko, Nikolaj; Cavalcanti, Dave</t>
  </si>
  <si>
    <t>Cloud-Fog Automation: The New Paradigm Toward Autonomous Industrial Cyber-Physical Systems</t>
  </si>
  <si>
    <t>https://doi.org/10.1109/jsac.2025.3574587</t>
  </si>
  <si>
    <t>10.1109/jsac.2025.3574587</t>
  </si>
  <si>
    <t>Ungurean, Ioan</t>
  </si>
  <si>
    <t>Integrating Fieldbus and Data-Centric Middleware: An STM32 Modbus Master Gateway for DDS-Based IIoT Systems</t>
  </si>
  <si>
    <t>https://doi.org/10.3390/technologies13110526</t>
  </si>
  <si>
    <t>10.3390/technologies13110526</t>
  </si>
  <si>
    <t>&lt;jats:p&gt;This paper presents an embedded gateway architecture that enables the seamless integration of Modbus-based industrial devices into Data Distribution Service (DDS) middleware for Industrial Internet of Things (IIoT) applications. The gateway, implemented on an STM32 microcontroller, acts as both a Modbus master and DDS-XRCE client, mapping Modbus registers directly to DDS topics with a configurable Quality of Service (QoS). Experimental validation demonstrates median latencies below 15 ms in four out of five scenarios, a throughput of up to 80 messages/s, and stable scalability to 160 subscribers with moderate resource usage. The results confirmed the feasibility and efficiency of Modbus–DDS integration on resource-constrained platforms.&lt;/jats:p&gt;</t>
  </si>
  <si>
    <t>Wen, Jie; Xie, Fugui; Xie, Zenghui; Liu, Xinjun</t>
  </si>
  <si>
    <t>Online Compensation Method for Contour Error in the Parallel Module of a Hybrid Gantry Machining Center</t>
  </si>
  <si>
    <t>https://doi.org/10.1186/s10033-025-01300-z</t>
  </si>
  <si>
    <t>10.1186/s10033-025-01300-z</t>
  </si>
  <si>
    <t>&lt;jats:title&gt;Abstract&lt;/jats:title&gt; &lt;jats:p&gt;Contour error is the deviation between the actual displacement and reference trajectory, which is directly related to the machining accuracy. Contour error compensation poses substantial challenges because of the time-varying, nonlinear, and strongly coupled characteristics of parallel machining modules. In addition, the time delay in the system reduces the timeliness of the feedback data, thereby making online contour error calculations and compensation particularly difficult. To solve this problem, the generation mechanism of the time delay of the feedback data and contour error is revealed, and a systematic method for the identification of the time-delay parameter based on Beckhoff's tracking error calculation mechanism is proposed. The temporal alignment between the position commands and feedback data enables the online calculation of the contour error. On this basis, the tracking error of the drive axes (an important factor resulting in end-effector contour errors) is used for the contour error calculation. Considering the ambiguous parameter-setting logic of the servo drive, the servo parameter is calculated in reverse using the steady-state error to obtain the tracking error model of the drive axes. Furthermore, combined with the system time-delay model, an online correction method for the tracking error estimation model is established. To achieve an accurate mapping of the drive-axis tracking error and end-effector contour error, a bounded iterative search method for the nearest contour point and online calculation model for the contour error are respectively established. Finally, an online compensation controller for contour error is designed. Its effectiveness is verified by a machining experiment on a frame workpiece. The machining results show that the contour error reduces from 68 μm to 45 μm, and the finish machining accuracy increases by 34%. This study provides a feasible method for online compensation of contour error in a system with time delay.&lt;/jats:p&gt;</t>
  </si>
  <si>
    <t>Kumar, Ayush; Thing, Vrizlynn L. L.</t>
  </si>
  <si>
    <t>RAPTOR: Advanced Persistent Threat Detection in Industrial IoT via Attack Stage Correlation</t>
  </si>
  <si>
    <t>https://doi.org/10.1109/pst58708.2023.10320192</t>
  </si>
  <si>
    <t>10.1109/pst58708.2023.10320192</t>
  </si>
  <si>
    <t>Past Advanced Persistent Threat (APT) attacks on Industrial Internet-of-Things (IIoT), such as the 2016 Ukrainian power grid attack and the 2017 Saudi petrochemical plant attack, have shown the disruptive effects of APT campaigns while new IIoT malware continue to be developed by APT groups. Existing APT detection systems have been designed using cyberattack TTPs modelled for enterprise IT networks and leverage specific data sources (e.g., Linux audit logs, Windows event logs) which are not found on ICS devices. In this work, we propose RAPTOR, a system to detect APT campaigns in IIoT. Using cyberattack TTPs modelled for ICS/OT environments and focusing on 'invariant' attack phases, RAPTOR detects and correlates various APT attack stages in IIoT leveraging data which can be readily collected from ICS devices/networks (packet traffic traces, IDS alerts). Subsequently, it constructs a high-level APT campaign graph which can be used by cybersecurity analysts towards attack analysis and mitigation. A performance evaluation of RAPTOR's APT attack-stage detection modules shows high precision and low false positive/negative rates. We also show that RAPTOR is able to construct the APT campaign graph for APT attacks (modelled after real-world attacks on ICS/OT infrastructure) executed on our IIoT testbed.</t>
  </si>
  <si>
    <t>Desai, Darshan; Nayak, Amit; Kothadiya, Deep</t>
  </si>
  <si>
    <t>Improving Security and Preventing Cyber Attacks in Smart Device Networks</t>
  </si>
  <si>
    <t>https://doi.org/10.1109/otcon65728.2025.11071043</t>
  </si>
  <si>
    <t>10.1109/otcon65728.2025.11071043</t>
  </si>
  <si>
    <t>Giulianelli, Nicole; Sabbioni, Andrea; Montebugnoli, Sofia; Bujari, Armir; Corradi, Antonio</t>
  </si>
  <si>
    <t>KOTO: A Kubernetes-Based Platform for Secure and Scalable OT Orchestration in Industry 5.0</t>
  </si>
  <si>
    <t>https://doi.org/10.1145/3773274.3774700</t>
  </si>
  <si>
    <t>10.1145/3773274.3774700</t>
  </si>
  <si>
    <t>De Keersmaeker, François; Cao, Yinan; Ndonda, Gorby Kabasele; Sadre, Ramin</t>
  </si>
  <si>
    <t>A Survey of Public IoT Datasets for Network Security Research</t>
  </si>
  <si>
    <t>https://doi.org/10.1109/comst.2023.3288942</t>
  </si>
  <si>
    <t>10.1109/comst.2023.3288942</t>
  </si>
  <si>
    <t>Publicly available datasets are an indispensable tool for researchers, as they allow testing new algorithms on a wide range of different scenarios and making scientific experiments verifiable and reproducible. Research in IoT security is no exception. In particular, the design of traffic classification and intrusion detection solutions for network security relies on network traces obtained from real networks or realistic testbeds. In this paper, we provide a detailed survey on the existing datasets containing IoT network traffic. We classify them according to several features that help researchers quickly find the datasets that fit their specific needs. In total, we survey 74 datasets that we found by analyzing more than 100 scientific articles. We also discuss the weaknesses of existing datasets, identify challenges, and point to future directions for creating new IoT datasets.</t>
  </si>
  <si>
    <t>Hu, Fuwen; Wang, Wei; Zhou, Jinghua</t>
  </si>
  <si>
    <t>Petri nets-based digital twin drives dual-arm cooperative manipulation</t>
  </si>
  <si>
    <t>https://doi.org/10.1016/j.compind.2023.103880</t>
  </si>
  <si>
    <t>10.1016/j.compind.2023.103880</t>
  </si>
  <si>
    <t>https://doi.org/10.1109/jiot.2024.3501017</t>
  </si>
  <si>
    <t>10.1109/jiot.2024.3501017</t>
  </si>
  <si>
    <t>Frick, Nicholas; Terwolbeck, Jan; Seibel, Benjamin; Metternich, Joachim</t>
  </si>
  <si>
    <t>Design Model for the Digital Shadow of a Value Stream</t>
  </si>
  <si>
    <t>https://doi.org/10.3390/systems12010020</t>
  </si>
  <si>
    <t>10.3390/systems12010020</t>
  </si>
  <si>
    <t>&lt;jats:p&gt;The value stream method, a key tool in industry to analyze and visualize value streams in production, aims to holistically optimize process steps, reduce waste, and achieve continuous material flow. However, this method primarily relies on data from a single on-site inspection, which is subjective and represents just a snapshot of the process. This limitation can lead to uncertainty and potentially incorrect decisions, especially in industries producing customer-specific products. The increasing digitization in production offers a solution to this limitation by supporting the method through data provision. The concept of the digital shadow emerges as a key tool that systematically captures, processes, and integrates necessary data into a model to enhance traditional value stream mapping. This addresses the method’s shortcomings, especially in heterogeneous IT landscapes and complex value streams. To effectively implement the digital shadow this study identifies concepts of digital shadows and their key components and evaluates them for their relevance in industrial environments using an expert study. Based on the results, a design model is defined. This model entails guidelines to support companies with the practical implementation of the digital shadow of a value stream. Lastly, the model is evaluated on a realistic value stream in a learning factory.&lt;/jats:p&gt;</t>
  </si>
  <si>
    <t>Borghesi, Andrea; Burrello, Alessio; Bartolini, Andrea</t>
  </si>
  <si>
    <t>ExaMon-X: A Predictive Maintenance Framework for Automatic Monitoring in Industrial IoT Systems</t>
  </si>
  <si>
    <t>https://doi.org/10.1109/jiot.2021.3125885</t>
  </si>
  <si>
    <t>10.1109/jiot.2021.3125885</t>
  </si>
  <si>
    <t>Ratiu, Ovidiu; Pop, Catalin; Vlasin, Mircea; Padrah, Zoltan; Vatamanu, Adrian</t>
  </si>
  <si>
    <t>Equipment Failure Prediction using Artificial Intelligence on Vibration Data</t>
  </si>
  <si>
    <t>https://doi.org/10.1109/atoms60779.2024.10921527</t>
  </si>
  <si>
    <t>10.1109/atoms60779.2024.10921527</t>
  </si>
  <si>
    <t>10.1515/auto-2019-0021</t>
  </si>
  <si>
    <t>Hinzmann, D.; Hasselder, D.; Lezama, S.; Kirik, O.; Pandey, V.; Bosler, E.; Spitta, D.; Uhlmann, E.; Krüger, J.; Markl, V.; Oberschmidt, D.; Rötting, M.</t>
  </si>
  <si>
    <t>Interaction of Artificial Intelligence and Machining Processes Regarding Industry 4.0 Production Systems</t>
  </si>
  <si>
    <t>https://doi.org/10.1007/978-3-031-47394-4_6</t>
  </si>
  <si>
    <t>10.1007/978-3-031-47394-4_6</t>
  </si>
  <si>
    <t>Begović, Malik; Midžić, Admir</t>
  </si>
  <si>
    <t>The Influence of Choosing Sensor Locations Inside Closed Facilities on the Reliability, Adaptability, and Energy Efficiency of IoT Systems</t>
  </si>
  <si>
    <t>https://doi.org/10.1109/mipro60963.2024.10569488</t>
  </si>
  <si>
    <t>10.1109/mipro60963.2024.10569488</t>
  </si>
  <si>
    <t>Wytrębowicz, Jacek; Cabaj, Krzysztof; Krawiec, Jerzy</t>
  </si>
  <si>
    <t>Messaging Protocols for IoT Systems-A Pragmatic Comparison.</t>
  </si>
  <si>
    <t>https://doi.org/10.3390/s21206904</t>
  </si>
  <si>
    <t>10.3390/s21206904</t>
  </si>
  <si>
    <t>There are a dozen messaging protocols proposed for IoT systems. Choosing one for a new design is complicated, and a non-optimal selection can result in slower development and higher design costs. This paper aims to help select appropriate protocols, considering IoT applications’ specificity and communication requirements. We have identified the protocol features that are significant for the design and operation of IoT systems. This paper gives a substantial comparison of the protocols using the features and is based on a thorough analysis of the protocol specifications. The results contain an assessment of the suitability of the protocols for the defined types of IoT devices and the identified communication purposes. We conclude the comparison with some recommendations of the protocol selection and usage.</t>
  </si>
  <si>
    <t>10.1109/icccnt51525.2021.9579879</t>
  </si>
  <si>
    <t>Ferrag, Mohamed Amine; Shu, Lei; Djallel, Hamouda; Choo, Kim-Kwang Raymond</t>
  </si>
  <si>
    <t>Deep Learning-Based Intrusion Detection for Distributed Denial of Service Attack in Agriculture 4.0</t>
  </si>
  <si>
    <t>https://doi.org/10.3390/electronics10111257</t>
  </si>
  <si>
    <t>10.3390/electronics10111257</t>
  </si>
  <si>
    <t>Smart Agriculture or Agricultural Internet of things, consists of integrating advanced technologies (e.g., NFV, SDN, 5G/6G, Blockchain, IoT, Fog, Edge, and AI) into existing farm operations to improve the quality and productivity of agricultural products. The convergence of Industry 4.0 and Intelligent Agriculture provides new opportunities for migration from factory agriculture to the future generation, known as Agriculture 4.0. However, since the deployment of thousands of IoT based devices is in an open field, there are many new threats in Agriculture 4.0. Security researchers are involved in this topic to ensure the safety of the system since an adversary can initiate many cyber attacks, such as DDoS attacks to making a service unavailable and then injecting false data to tell us that the agricultural equipment is safe but in reality, it has been theft. In this paper, we propose a deep learning-based intrusion detection system for DDoS attacks based on three models, namely, convolutional neural networks, deep neural networks, and recurrent neural networks. Each model’s performance is studied within two classification types (binary and multiclass) using two new real traffic datasets, namely, CIC-DDoS2019 dataset and TON_IoT dataset, which contain different types of DDoS attacks.</t>
  </si>
  <si>
    <t>Waqas, Muhammad; Jamil, Mohsin</t>
  </si>
  <si>
    <t>Smart IoT SCADA System for Hybrid Power Monitoring in Remote Natural Gas Pipeline Control Stations</t>
  </si>
  <si>
    <t>https://doi.org/10.3390/electronics13163235</t>
  </si>
  <si>
    <t>10.3390/electronics13163235</t>
  </si>
  <si>
    <t>&lt;jats:p&gt;A pipeline network is the most efficient and rapid way to transmit natural gas from source to destination. The smooth operation of natural gas pipeline control stations depends on electrical equipment such as data loggers, control systems, surveillance, and communication devices. Besides having a reliable and consistent power source, such control stations must also have cost-effective and intelligent monitoring and control systems. Distributed processes are monitored and controlled using supervisory control and data acquisition (SCADA) technology. This paper presents an Internet of Things (IoT)-based, open-source SCADA architecture designed to monitor a Hybrid Power System (HPS) at a remote natural gas pipeline control station, addressing the limitations of existing proprietary and non-configurable SCADA architectures. The proposed system comprises voltage and current sensors acting as Field Instrumentation Devices for required data collection, an ESP32-WROOM-32E microcontroller that functions as the Remote Terminal Unit (RTU) for processing sensor data, a Blynk IoT-based cloud server functioning as the Master Terminal Unit (MTU) for historical data storage and human–machine interactions (HMI), and a GSM SIM800L module and a local WiFi router for data communication between the RTU and MTU. Considering the remote locations of such control stations and the potential lack of 3G, 4G, or Wi-Fi networks, two configurations that use the GSM SIM800L and a local Wi-Fi router are proposed for hardware integration. The proposed system exhibited a low power consumption of 3.9 W and incurred an overall cost of 40.1 CAD, making it an extremely cost-effective solution for remote natural gas pipeline control stations.&lt;/jats:p&gt;</t>
  </si>
  <si>
    <t>Cather, Cayden Scott; Hammad, Eman; Wang, Yuehua</t>
  </si>
  <si>
    <t>Enhancing Cybersecurity in Industrial Internet of Things: Machine Learning-Based Approaches for Cyber-Attack Detection in a Realworld Testbed Environment</t>
  </si>
  <si>
    <t>https://doi.org/10.1007/978-3-031-85923-6_31</t>
  </si>
  <si>
    <t>10.1007/978-3-031-85923-6_31</t>
  </si>
  <si>
    <t>Kashef, Mohamed; Liu, Yongkang; Montgomery, Karl; Candell, Richard</t>
  </si>
  <si>
    <t>Wireless Cyber-Physical Systems Performance Evaluation through a Graph Database Approach.</t>
  </si>
  <si>
    <t>https://doi.org/10.1115/1.4048205</t>
  </si>
  <si>
    <t>10.1115/1.4048205</t>
  </si>
  <si>
    <t>Despite the huge efforts to deploy wireless communications technologies in smart manufacturing scenarios, some manufacturing sectors are still slow to massive adoption. This slowness of widespread adoption of wireless technologies in cyber-physical systems (CPS) is partly due to not fully understanding the detailed impact of wireless deployment on the physical processes especially in the cases that require low latency and high reliability communications. In this paper, we introduce an approach to integrate wireless network traffic data and physical processes data in order to evaluate the impact of wireless communications on the performance of a manufacturing factory work-cell. The proposed approach is introduced through the discussion of an engineering use case. A testbed that emulates a robotic manufacturing factory work-cell is constructed using two collaborative-grade robot arms, machine emulators, and wireless communication devices. All network traffic data is collected and physical process data, including the robots and machines states and various supervisory control commands, is also collected and synchronized to the network data. The data is then integrated where redundant data is removed and correlated activities are connected in a graph database. A data model is proposed, developed, and elaborated; the database is then populated with events from the testbed, and the resulting graph is presented. Query commands are then presented as a means to examine and analyze network performance and relationships within the components of the network. Moreover, we detail the way by which this approach is used to study the impact of wireless communications on the physical processes and illustrate the impact of various wireless network parameters on the performance of the emulated manufacturing work-cell. This approach can be deployed as a building block for various descriptive and predictive wireless analysis tools for CPS.</t>
  </si>
  <si>
    <t>Ma, Fuyu; Li, Dong; Chen, Yizhe; Xing, Jiahui; Liu, Yu; Lan, Dapeng; Shao, Jinyan; Pang, Zhibo</t>
  </si>
  <si>
    <t>Orchestrating Embodied Systems through the Embodied Context Protocol: Motivation, Progress, and Directions.</t>
  </si>
  <si>
    <t>https://doi.org/10.34133/research.1047</t>
  </si>
  <si>
    <t>10.34133/research.1047</t>
  </si>
  <si>
    <t>The emergence of embodied intelligence has brought a fundamental shift to the robotics field, emphasizing the integration of perception, cognition, and control in dynamic physical environments. Although substantial progress has been made in artificial intelligence models, control middleware, and industrial communication protocols within their respective domains, the fragmentation in semantic interaction and task-level coordination still limits the scalability and deployment of embodied intelligence systems. This review synthesizes the current research on system deployment and coordination in embodied intelligence, particularly focusing on the challenges in achieving task-level coordination and semantic interoperability across heterogeneous components. We examine key coordination requirements, such as context semantics, capability declaration, and workflow composition, and highlight the existing gaps in addressing these issues within current systems. In response, we propose the Embodied Context Protocol (ECP) as an emerging solution, designed to bridge these gaps and enhance interoperability across various subsystems. It then presents the design philosophy, interface specification, and execution workflow of ECP, followed by its current implementation progress validated through practical deployments, while also highlighting the future directions and unresolved challenges that will shape its standardization and large-scale adoption. As an interface protocol, ECP aims to evolve into a standardized interoperability ecosystem for embodied intelligence and industrial automation. Realizing this vision will require collaboration across academic and industrial communities to jointly advance the development, adoption, and standardization of ECP.</t>
  </si>
  <si>
    <t>Sagdatullin, Artur</t>
  </si>
  <si>
    <t>Functioning and Development of a Real-Time Information System for the Oil Treatment Technological Process Control</t>
  </si>
  <si>
    <t>https://doi.org/10.1109/summa50634.2020.9280577</t>
  </si>
  <si>
    <t>10.1109/summa50634.2020.9280577</t>
  </si>
  <si>
    <t>The paper describes the difficulties of formalizing the processes of production, transportation and preparation of oil production of wells, particularly in the construction of a mathematical model. The process of creation of a SCADA system for supervisory control and data acquisition system is considered. To manage a remote object, transmitted parameter values to the upper level of automation and incoming influences analysis is presented, as well as timely process control at the booster pump station, an OPC server and client have been developed. The importance of the presence of a specialist for managing the facility both in normal operating modes and for making decisions in the event of non-standard modes is noted. A graphical user subsystem has been developed for system parameters monitor, control and regulation.</t>
  </si>
  <si>
    <t>Johansson, Bjarne; Holmgren, Olof; Dahl, Martin; Forsberg, Hakan; Nolte, Thomas; Papadopoulos, Alessandro V.</t>
  </si>
  <si>
    <t>OPC UA PubSub and Industrial Controller Redundancy</t>
  </si>
  <si>
    <t>https://doi.org/10.1109/etfa61755.2024.10710940</t>
  </si>
  <si>
    <t>10.1109/etfa61755.2024.10710940</t>
  </si>
  <si>
    <t>Pawar, Shital; Jadhav, D. B.; Lokhande, Meghana; Raskar, Punam; Patil, Megha</t>
  </si>
  <si>
    <t>Evaluation of quality of service parameters for MQTT communication in IoT application by using deep neural network</t>
  </si>
  <si>
    <t>https://doi.org/10.1007/s41870-023-01664-2</t>
  </si>
  <si>
    <t>10.1007/s41870-023-01664-2</t>
  </si>
  <si>
    <t>Li, Liying; Cong, Peijin; Cao, Kun; Zhou, Junlong; Wei, Tongquan; Chen, Mingsong; Hu, Shiyan; Hu, Xiaobo Sharon</t>
  </si>
  <si>
    <t>Game Theoretic Feedback Control for Reliability Enhancement of EtherCAT-Based Networked Systems</t>
  </si>
  <si>
    <t>https://doi.org/10.1109/tcad.2018.2859241</t>
  </si>
  <si>
    <t>10.1109/tcad.2018.2859241</t>
  </si>
  <si>
    <t>EtherCAT has become one of the leading real-time Ethernet solutions for networked industrial systems, where a reliable communication infrastructure is needed due to highly error-prone environments. However, existing work on EtherCAT mainly focuses on clock synchronization and timeliness improvement. The reliability of EtherCAT-based networked systems has largely been ignored. In this paper, we present a proportional integral derivative (PID)-based feedback control scheme that aims at enhancing reliability of networked systems under timing and system resource constraints. Instead of retransmitting data upon error detection, we use forward error control technique based on inequality of arithmetic and geometric means to achieve the required system reliability at a low deadline miss rate of messages. We further optimize the forward error control technique and design a fast and fair error resilient mechanism by using a cooperative game. In addition to reliability enhancement, our PID-based error control scheme can also improve the stability of a system in terms of deadline miss rate in the presence of burst errors. Simulation results show that the proposed scheme can achieve reliability enhancement of up to 91% compared to benchmarking methods.</t>
  </si>
  <si>
    <t>Vujović, Ivan; Koprivica, Mladen; Đurišić, Željko</t>
  </si>
  <si>
    <t>Centralized controlling of distributed PV systems using cloud and IoT technologies</t>
  </si>
  <si>
    <t>https://doi.org/10.5937/telfor2302038v</t>
  </si>
  <si>
    <t>10.5937/telfor2302038v</t>
  </si>
  <si>
    <t>&lt;jats:p&gt;Usage of electrical energy obtained from renewable sources is rapidly increasing. Distributed solar systems will be widely used. The photovoltaic (PV) systems can be used to produce active and reactive power or to compensate reactive power. This paper proposes a solution for monitoring and management of distributed PV systems from the integrated center. The main parts of the system are a cloud infrastructure at the Data Center and Internet of Things (IoT) devices at distributed sites. Also, networks that are used for communication between main parts are an important piece of the proposed solution. While IoT devices continuously send information about electrical parameters of the system and environmental conditions, the inverter, as a part of the PV system, can be controlled by influencing the Maximum Power Point Tracking (MPPT) algorithm operation and inverter functionality.&lt;/jats:p&gt;</t>
  </si>
  <si>
    <t>Deveci, Bilgin Umut; Bas, Hilal; Ummak, Emre; Albayrak, Ozlem; Unal, Perin</t>
  </si>
  <si>
    <t>A Thorough Analysis and Comparison of Data Communication Protocols Used in Industry 4.0: the Case of Smart-CNC</t>
  </si>
  <si>
    <t>https://doi.org/10.1109/ficloud57274.2022.00034</t>
  </si>
  <si>
    <t>10.1109/ficloud57274.2022.00034</t>
  </si>
  <si>
    <t>Several key methods have been developed to transfer data accurately and completely. In this regard, a communication protocol specifies the rules for transmitting blocks of data between network nodes. This study examines in detail the scope of the Qu4lity project, the data communication protocols used by the pilots, the protocols used by TEKNOPAR, and the benefits, drawbacks, and application areas of different data communication protocols. Protocols were analysed against a number of technical criteria aimed at identifying the most appropriate procedure. Communication protocols were categorized considering the following features: technical qualifications such as transport protocol, coding format, message system, architecture, security, and scalability.</t>
  </si>
  <si>
    <t>Jecan, Eusebiu; Pop, Catalin; Padrah, Zoltan; Vlasin, Mircea; Ratiu, Ovidiu; Puschita, Emanuel</t>
  </si>
  <si>
    <t>Redundancy for an all-in-one ISA100.11a Gateway: Protocol Design and Hardware Integration</t>
  </si>
  <si>
    <t>https://doi.org/10.1109/roedunet.2019.8909476</t>
  </si>
  <si>
    <t>10.1109/roedunet.2019.8909476</t>
  </si>
  <si>
    <t>In order to protect industrial wireless sensor networks against single point of failure, system redundancy implies duplicate Gateway entities and the implementation of a communication protocol that defines and updates the network state. The scope of this paper is to present the design of a redundancy protocol integrated within two hardware entities respecting the ISA100.11a Gateway functionalities. Two types of system redundancy were evaluated considering physical all-in-one Gateway entities, namely cold-redundancy and hot-redundancy. These features reflect the ability of the entire system and MODBUS Server respectively, to react in case of failure by assuring network state, synchronization services, and seamless switchover for the external clients. The performance of the redundancy protocol and its impact on the ISA100.11a network was evaluated in three scenarios that emphasize on the ability of the redundant system to maintain effective communication and recover in case of failure.</t>
  </si>
  <si>
    <t>Akinremi, Taiwo Peter; Appiah, Joel Kwesi; Asadi, Amir Reza; Ibitoye, Opetunde; Popoola, Saheed</t>
  </si>
  <si>
    <t>Driving Factors Behind Adopting Virtual Testbeds for ICS Cybersecurity Education.</t>
  </si>
  <si>
    <t>https://doi.org/10.1145/3769694.3771140</t>
  </si>
  <si>
    <t>10.1145/3769694.3771140</t>
  </si>
  <si>
    <t>Liu, Lisi; Liu, Shengkai; Xu, Zijie</t>
  </si>
  <si>
    <t>A platform-enabled CNC within edge-cloud environments: perspectives, challenges, and potential solutions</t>
  </si>
  <si>
    <t>https://doi.org/10.1080/0951192x.2025.2599555</t>
  </si>
  <si>
    <t>10.1080/0951192x.2025.2599555</t>
  </si>
  <si>
    <t>Liu, Menglin; Shi, Peng; Rudas, Imre J.</t>
  </si>
  <si>
    <t>Voltage Regulation in Microgrids via Modulation Communication: A Distributed Output Consensus Approach</t>
  </si>
  <si>
    <t>https://doi.org/10.1109/tase.2025.3546899</t>
  </si>
  <si>
    <t>10.1109/tase.2025.3546899</t>
  </si>
  <si>
    <t>Khan, Fazlullah; Alturki, Ryan; Rehman, Md Arafatur; Mastorakis, Spyridon; Razzak, Imran; Shah, Syed Tauhidullah</t>
  </si>
  <si>
    <t>Trustworthy and Reliable Deep Learning-based Cyberattack Detection in Industrial IoT.</t>
  </si>
  <si>
    <t>https://doi.org/10.1109/tii.2022.3190352</t>
  </si>
  <si>
    <t>10.1109/tii.2022.3190352</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</si>
  <si>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paper, we propose a novel approach to improve the trustworthiness of IIoT-enabled networks. We propose an accurate and reliable supervisory control and data acquisition (SCADA) network-based cyberattack detection in these networks. The proposed scheme combines the deep 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fifteen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t>
  </si>
  <si>
    <t>Gaffurini, Massimiliano; Brandão, Dennis; Rinaldi, Stefano; Flammini, Alessandra; Sisinni, Emiliano; Ferrari, Paolo</t>
  </si>
  <si>
    <t>Characterizing the Real-Time Communication Performance of Virtual PLC in Industrial Edge Platform</t>
  </si>
  <si>
    <t>https://doi.org/10.1109/ojim.2025.3559573</t>
  </si>
  <si>
    <t>10.1109/ojim.2025.3559573</t>
  </si>
  <si>
    <t>Wang, Xinyu; Mutlu, İlhan; Rani, Fatima; Drowatzky, Lucas; Urbas, Leon</t>
  </si>
  <si>
    <t>https://doi.org/10.1109/itnac55475.2022.9998327</t>
  </si>
  <si>
    <t>10.1109/itnac55475.2022.9998327</t>
  </si>
  <si>
    <t>Madahian, Ali; Ardakani, Pedram Ashofteh; Abouei, Jamshid; Mirvakili, Ali; Mohammadi, Arash; Koomson, Valencia</t>
  </si>
  <si>
    <t>A Hybrid VLC/RF Parking Automation System</t>
  </si>
  <si>
    <t>https://doi.org/10.1109/access.2023.3290847</t>
  </si>
  <si>
    <t>10.1109/access.2023.3290847</t>
  </si>
  <si>
    <t>This paper proposes an innovative and integrated parking automation system based on visible light communication (VLC) and radio frequency (RF) wireless technologies. The VLC and RF are used for vehicle-to-infrastructure communication, infrastructure-to-vehicle communication, indoor localization, and wireless mesh networks. For VLC we have utilized the vehicle's headlight and parking COB bulb-based VLC transmitters and optical receivers that are installed on the parking gate barrier and the roof of the vehicle. Digital pulse interval modulation (DPIM) is used as an anisochronous modulation scheme in VLC-based transactions. The client-server interface and parking's central processing unit are implemented using the ParkLight software package consisting of an Android application, Django-based web, and LabVIEW PC-based applications. We have introduced a VLC-based two-factor authentication and charging payment systems for installation at the gate barrier. An experimental evaluation of the proposed system is conducted under both day and night conditions in terms of optical interference cancelation, angular displacement, and the transmission link range. The proposed system is successfully demonstrated by achieving a bit error rate (BER) of less than 10 &lt;sup xmlns:mml="http://www.w3.org/1998/Math/MathML" xmlns:xlink="http://www.w3.org/1999/xlink"&gt;-4&lt;/sup&gt; over a 5 m link range.</t>
  </si>
  <si>
    <t>Panovyk, Ulyana</t>
  </si>
  <si>
    <t>INFORMATION PROTECTION IN AUTOMATED SYSTEMS BASED ON A CONCEPTUAL MODEL WITH FORMALIZED EFFICIENCY EVALUATION</t>
  </si>
  <si>
    <t>https://doi.org/10.28925/2663-4023.2025.28.798</t>
  </si>
  <si>
    <t>10.28925/2663-4023.2025.28.798</t>
  </si>
  <si>
    <t>&lt;jats:p&gt;In the context of increasing cyber threats and the implementation of digital technologies in production process management, automated systems are increasingly becoming targets of attacks, raising the issue of ensuring information security at critical levels. This is particularly relevant for SCADA, IIoT, and MES environments, where the use of isolated solutions without a unified security architecture leads to vulnerabilities and reduced effectiveness in incident response. The article presents a conceptual model of information protection that integrates access control, anomaly detection, and encryption of critical messages, and includes a formalized evaluation of effectiveness based on quantitative metrics. The methodological foundation of the study involves structural threat modeling, algorithmic design of protective mechanisms, implementation of functional modules in the Python environment, and simulation of behavioral scenarios using generated event logs. To assess the effectiveness of the security model, metrics such as risk coefficient, detection rate, access entropy, and average response time were used. The algorithms operate in real time, responding to events according to a predefined logic: the system blocks or limits suspicious actions, activates encryption of critical messages, and logs all incidents in the event journal. The simulation confirmed the effectiveness of the proposed model: the risk coefficient was reduced by more than half, the attack detection accuracy reached 95–98%, and the access entropy increased, indicating a more balanced and secure rights management. The proposed model establishes a multi-level security architecture that can be implemented in both traditional SCADA and MES systems, as well as IIoT infrastructures. Thanks to its flexible structure, open implementation, and adaptability, the model can be scaled to meet specific enterprise needs and applied in resource-constrained environments or large industrial systems. The obtained results demonstrate the practical applicability of the model for ensuring reliable data protection in the modern cyber environment.&lt;/jats:p&gt;</t>
  </si>
  <si>
    <t>Shi, Haoliang; Dong, Huawei; Yang, Maolin; Guo, Wei; Jiang, Pingyu</t>
  </si>
  <si>
    <t>A Novel Industrial Software Model for Social Manufacturing</t>
  </si>
  <si>
    <t>https://doi.org/10.1115/1.4065016</t>
  </si>
  <si>
    <t>10.1115/1.4065016</t>
  </si>
  <si>
    <t>&lt;jats:title&gt;Abstract&lt;/jats:title&gt; &lt;jats:p&gt;Distinct from the conventional manufacturing paradigm, the functioning of the Social Manufacturing (SocialM) model relies on a vast and dispersed array of social manufacturing resources. SocialM communities/groups emerge autonomously through business interactions, resource self-organization, and production information sharing, all driven by product orders within the SocialM system. This necessitates a more open, distributed, and autonomous software model to facilitate the allocation and operation of social manufacturing resources in support of the SocialM model. Consequently, this paper introduces a novel software development model designed specifically for SocialM. This proposed model employs business interaction software as the system's primary control portal, enabling efficient management of resources and users based on the social manufacturing communities/groups. Additionally, it facilitates the administration and oversight of numerous applications by utilizing an industrial Appstore. Moreover, the paper delves into the technological roadmap for realizing the essential technologies of the software model by integrating multi-agent and Message Queuing Telemetry Transport (MQTT) technologies. A 3D printing task simulation case was employed to demonstrate the model's working principle, which served to confirm the reliability and scalability of the SocialM software, as well as the feasibility of the SocialM theory.&lt;/jats:p&gt;</t>
  </si>
  <si>
    <t>Ruqnuzzaman, Md.; Opu, M. Muklasur Rahman; Ahmed, Md. Rajib; Shamim, Md Mahamudur Rahaman; Nuruzzaman, Md.</t>
  </si>
  <si>
    <t>A Systematic Review of Recent Advances in IoT-Based Sensor Networks for Warehouse Management</t>
  </si>
  <si>
    <t>https://doi.org/10.21203/rs.3.rs-8151337/v1</t>
  </si>
  <si>
    <t>10.21203/rs.3.rs-8151337/v1</t>
  </si>
  <si>
    <t>&lt;title&gt;Abstract&lt;/title&gt; &lt;p&gt;Industrial processes have undergone significant changes as a result of the Internet of Things' (IoT) rapid growth, particularly in warehouse management systems (WMS). These days, IoT-powered sensor networks serve as the foundation for intelligent, networked ecosystems that enable data-driven decision-making, adaptive control, and real-time monitoring throughout international supply chains.With a focus on architectural design, communication protocols, data analytics frameworks, and intelligent automation tactics, this systematic analysis compiles recent advancements in IoT-based sensor networks for warehouse management. A total of 1,050 academic publications (2015–2025) were obtained from significant scientific databases using the PRISMA methodology. After eliminating 250 duplicates, 800 studies were reviewed, and 107 excellent articles were included in the final synthesis.Through energy-optimized connectivity, context-aware routing, edge intelligence, and AI-driven predictive analytics, the reviewed evidence demonstrates that IoT-enabled sensor systems significantly enhance warehouse efficiency. Nonetheless, enduring issues persist with cybersecurity, standardization, data interoperability, and sustainable scaling.This study closes by highlighting important research gaps and proposing an integrated conceptual framework. The goal is to develop next-generation, autonomous, safe, and sustainable IoT-based warehouse ecosystems. The study emphasizes resilience, adaptation, and sustainability in global logistics. It further aligns these advances with the human-centric vision of Industry 5.0 and the guiding principles of Industry 4.0.&lt;/p&gt;</t>
  </si>
  <si>
    <t>Habib, Kaiser; Saad, Mohamad Hanif Md; Hussain, Aini; Sarker, Mahidur R; Alaghbari, Khaled A</t>
  </si>
  <si>
    <t>An Aggregated Data Integration Approach to the Web and Cloud Platforms through a Modular REST-Based OPC UA Middleware.</t>
  </si>
  <si>
    <t>https://doi.org/10.3390/s22051952</t>
  </si>
  <si>
    <t>10.3390/s22051952</t>
  </si>
  <si>
    <t>The Internet of Things (IoT) empowers the development of heterogeneous systems for various application domains using embedded devices and diverse data transmission protocols. Collaborative integration of these systems in the industrial domain leads to incompatibility and interoperability at different automation levels, requiring unified coordination to exchange information efficiently. The hardware specifications of these devices are resource-constrained, limiting their performance in resource allocation, data management, and remote process supervision. Hence, unlocking network capabilities with other domains such as cloud and web services is required. This study proposed a platform-independent middleware module incorporating the Open Platform Communication Unified Architecture (OPC UA) and Representational State Transfer (REST) paradigms. The object-oriented structure of this middleware allows information contextualization to address interoperability issues and offers aggregated data integration with other domains. RESTful web and cloud platforms were implemented to collect this middleware data, provide remote application support, and enable aggregated resource allocation in a database server. Several performance assessments were conducted on the developed system deployed in Raspberry Pi and Intel NUC PC, which showed acceptable platform resource utilization regarding CPU, bandwidth, and power consumption, with low service, update, and response time requirements. This integrated approach demonstrates an excellent cost-effective prospect for interoperable Machine-to-Machine (M2M) communication, enables remote process supervision, and offers aggregated bulk data management with wider domains.</t>
  </si>
  <si>
    <t>Suhail Hussain, S. M.</t>
  </si>
  <si>
    <t>Blake-2s based Improved Authentication Scheme for IEC 61850 GOOSE Messages</t>
  </si>
  <si>
    <t>https://doi.org/10.1109/ias62731.2025.11061602</t>
  </si>
  <si>
    <t>10.1109/ias62731.2025.11061602</t>
  </si>
  <si>
    <t>Jecan, Eusebiu; Pop, Catalin; Ratiu, Ovidiu; Puschita, Emanuel</t>
  </si>
  <si>
    <t>Predictive Energy-Aware Routing Solution for Industrial IoT Evaluated on a WSN Hardware Platform.</t>
  </si>
  <si>
    <t>https://doi.org/10.3390/s22062107</t>
  </si>
  <si>
    <t>10.3390/s22062107</t>
  </si>
  <si>
    <t>In industrial wireless sensors networks (IWSNs), the sensor lifetime predictability is critical for ensuring continuous system availability, cost efficiency and suitability for safety applications. When deployed in a real-world dynamic and centralised network, the sensor lifetime is highly dependent on the network topology, deployment configuration and application requirements. (In the absence of an energy-aware mechanism, there is no guarantee for the sensor lifetime). This research defines a conceptual model for enhancing the energy predictability and efficiency of IWSNs. A particularization of this model is the predictive energy-aware routing (PEAR) solution that assures network lifetime predictability through energy-aware routing, energy balancing and profiling. The PEAR solution considers the requirements and constraints of the industrial ISA100.11a communication standard and the VR950 IIoT Gateway hardware platform. The results demonstrate the PEAR ability to ensure predictable energy consumption for one or multiple network clusters. The PEAR solution is capable of intracluster energy balancing, reducing the overconsumption 10.4 times after 210 routing changes as well as intercluster energy balancing, increasing the cluster lifetime 2.3 times on average and up to 3.2 times, while reducing the average consumption by 23.6%. The PEAR solution validates the feasibility and effectiveness of the energy-aware conceptual indicating its suitability within IWSNs having real world applications and requirements.</t>
  </si>
  <si>
    <t>Huber, Adrian Josef; Fischer, Anne; Schöberl, Maximilian; Schock-Schmidtke, Alexander; Fottner, Johannes</t>
  </si>
  <si>
    <t>Communication in collaborating construction equipment</t>
  </si>
  <si>
    <t>https://doi.org/10.1515/auto-2023-0034</t>
  </si>
  <si>
    <t>10.1515/auto-2023-0034</t>
  </si>
  <si>
    <t>&lt;jats:title&gt;Abstract&lt;/jats:title&gt; &lt;jats:p&gt;Facilitating communication via standardized interfaces is key to increase construction site collaboration and productivity. This paper firstly outlines different Machine-to-Machine (M2M) messaging protocols and their suitability for communication on construction sites. Secondly, a unified construction site communication and interface solution that allows for the seamless transfer of data in M2M, Machine-to-Server (M2S), and Server-to-Server (S2S) scenarios, encompassing all layers of an Internet-of-Things (IoT) infrastructure, is proposed. The findings show that predominantly Message Queue Telemetry Transport (MQTT) is suited for M2M communication at construction sites. Underscoring the value of frequent communication and collaboration at construction sites, different exemplary use cases are presented. Additionally, interoperability at all levels of exchange as well as a unified user frontend are emphasized as key requirements to increase application rates of automated communication and collaboration within the construction industry.&lt;/jats:p&gt;</t>
  </si>
  <si>
    <t>Jiang, Dingde; Wang, Zhihao; Wang, Ye; Tan, Lizhuang; Wang, Jian; Zhang, Peiying</t>
  </si>
  <si>
    <t>A Blockchain-Reinforced Federated Intrusion Detection Architecture for IIoT</t>
  </si>
  <si>
    <t>https://doi.org/10.1109/jiot.2024.3406602</t>
  </si>
  <si>
    <t>10.1109/jiot.2024.3406602</t>
  </si>
  <si>
    <t>Brodie, Samuel; Oksanen, Timo</t>
  </si>
  <si>
    <t>OPC UA client-server connection over an ISO 11783 vehicle network</t>
  </si>
  <si>
    <t>https://doi.org/10.1515/auto-2023-0030</t>
  </si>
  <si>
    <t>10.1515/auto-2023-0030</t>
  </si>
  <si>
    <t>&lt;jats:title&gt;Abstract&lt;/jats:title&gt; &lt;jats:p&gt;As long as all of the messages are supported, the OPC UA standard allows for connections over non-IP networks, and for the use of alternate encoding schemes. However, the vast majority of commercial OPC UA solutions are IP-based and UA Binary-based. In this article, the performance of an OPC UA client-server architecture is analysed by sending UA binary-encoded messages over an ISO 11783 (CAN 2.0B) network, without security. It is found that sending and receiving a given readRequest/readResponse pair took an average of 1.3 ms via a local Ethernet network and 49.2 ms via an ISO 11783 network. It is shown that much of the preamble of OPC UA messages is fixed when using the None security policy, and that this information can be omitted from the data transfer to reduce the amount of data transferred.&lt;/jats:p&gt;</t>
  </si>
  <si>
    <t>Mwangi, Agrippina; Sahay, Rishikesh; Fumagalli, Elena; Gryning, Mikkel; Gibescu, Madeleine</t>
  </si>
  <si>
    <t>Towards a Software-Defined Industrial IoT-Edge Network for Next-Generation Offshore Wind Farms: State of the Art, Resilience, and Self-X Network and Service Management</t>
  </si>
  <si>
    <t>https://doi.org/10.3390/en17122897</t>
  </si>
  <si>
    <t>10.3390/en17122897</t>
  </si>
  <si>
    <t>&lt;jats:p&gt;Offshore wind farms are growing in complexity and size, expanding deeper into maritime environments to capture stronger and steadier wind energy. Like other domains in the energy sector, the wind energy domain is continuing to digitalize its systems by embracing Industry 4.0 technologies such as the Industrial Internet of Things (IIoT), virtualization, and edge computing to monitor and manage its critical infrastructure remotely. Adopting these technologies creates dynamic, scalable, and cost-effective data-acquisition systems. At the heart of these data-acquisition systems is a communication network that facilitates data transfer between communicating nodes. Given the challenges of configuring, managing, and troubleshooting large-scale communication networks, this review paper explores the adoption of the state-of-the-art software-defined networking (SDN) and network function virtualization (NFV) technologies in the design of next-generation offshore wind farm IIoT–Edge communication networks. While SDN and NFV technologies present a promising solution to address the challenges of these large-scale communication networks, this paper discusses the SDN/NFV-related performance, security, reliability, and scalability concerns, highlighting current mitigation strategies. Building on these mitigation strategies, the concept of resilience (that is, the ability to recover from component failures, attacks, and service interruptions) is given special attention. The paper highlights the self-X (self-configuring, self-healing, and self-optimizing) approaches that build resilience in the software-defined IIoT–Edge communication network architectures. These resilience approaches enable the network to autonomously adjust its configuration, self-repair during stochastic failures, and optimize performance in response to changing conditions. The paper concludes that resilient software-defined IIoT–Edge communication networks will play a big role in guaranteeing seamless next-generation offshore wind farm operations by facilitating critical, latency-sensitive data transfers.&lt;/jats:p&gt;</t>
  </si>
  <si>
    <t>Ratiu, Ovidiu; Panagiotopoulos, N.; Vos, Stefan; Puschita, Emanuel</t>
  </si>
  <si>
    <t>WiSEE - Wireless Transmission of Sensor Data over UWB in Spacecraft Payload Networks</t>
  </si>
  <si>
    <t>https://doi.org/10.1109/wisee.2018.8637336</t>
  </si>
  <si>
    <t>10.1109/wisee.2018.8637336</t>
  </si>
  <si>
    <t>The work presented in this paper consists in the implementation and testing of a Wireless Sensor Network for wirelessly connecting intra-satellite payload sensors to a Payload Data Handling Unit by using a custom ISA100 industrial wireless communication protocol over an Ultra-Wide Band RF communication channel. All tests were performed on a laboratory test bed consisting of three wirelessly enabled camera sensors and a wireless Gateway. The Gateway is connected via RS422 to a Payload Data Handling Unit emulated by a PC application that can generate acquisition commands to the sensors and display the resulting images. Test results indicate the suitability of Ultra-Wide Band and ISA100 wireless protocol combination for implementing wireless communications inside a spacecraft payload network.</t>
  </si>
  <si>
    <t>Tarapure, Prasad</t>
  </si>
  <si>
    <t>The Digital Backbone of Manufacturing: A Framework for Network Protocol Selection</t>
  </si>
  <si>
    <t>https://doi.org/10.4271/2025-28-0245</t>
  </si>
  <si>
    <t>10.4271/2025-28-0245</t>
  </si>
  <si>
    <t>&lt;jats:p&gt;&amp;lt;div class="section abstract"&amp;gt;&amp;lt;div class="htmlview paragraph"&amp;gt;Manufacturers need pragmatic guidance when choosing network protocols that must balance responsiveness, high data throughput, and long-term maintainability. This paper presents a step-by-step, criteria-driven framework that scores protocols on six practical dimensions, real-time behavior, bandwidth, interoperability, security, IIoT readiness, and legacy support and demonstrates the approach on both greenfield and brownfield scenarios. By combining vendor specifications, peer-reviewed studies, and field experience, the framework delivers transparent, weighted rankings designed to help engineers make defensible deployment choices.&amp;lt;/div&amp;gt;&amp;lt;div class="htmlview paragraph"&amp;gt;This paper explores how network protocols can be mapped to different layers of the automation pyramid, ranging from field-level communication to enterprise-level. For example, Profinet is shown to be highly effective for time-critical applications such as robotic assembly and motion control due to its deterministic, real-time ethernet capabilities. Meanwhile, IO-Link offers a point-to-point solution with its diagnostic capabilities for intelligent sensors and actuators, making it ideal for IIoT-driven data collection. Other protocols, such as EtherCAT and OPC UA, each provide unique advantages in speed, interoperability, or security, underscoring the importance of matching protocol features with specific factory needs. The paper identifies six critical factors for protocol selection.&amp;lt;ol class="list nostyle"&amp;gt;&amp;lt;li class="list-item"&amp;gt;&amp;lt;span class="li-label"&amp;gt;1&amp;lt;/span&amp;gt;&amp;lt;div class="htmlview paragraph"&amp;gt;Real-Time Requirements: Deterministic behaviour for high-speed control loops&amp;lt;/div&amp;gt;&amp;lt;/li&amp;gt;&amp;lt;li class="list-item"&amp;gt;&amp;lt;span class="li-label"&amp;gt;2&amp;lt;/span&amp;gt;&amp;lt;div class="htmlview paragraph"&amp;gt;Scalability &amp;amp;amp; Integration: Seamless integration with existing and future systems&amp;lt;/div&amp;gt;&amp;lt;/li&amp;gt;&amp;lt;li class="list-item"&amp;gt;&amp;lt;span class="li-label"&amp;gt;3&amp;lt;/span&amp;gt;&amp;lt;div class="htmlview paragraph"&amp;gt;Security &amp;amp;amp; Reliability: Protecting critical operations from unauthorized access or failure&amp;lt;/div&amp;gt;&amp;lt;/li&amp;gt;&amp;lt;li class="list-item"&amp;gt;&amp;lt;span class="li-label"&amp;gt;4&amp;lt;/span&amp;gt;&amp;lt;div class="htmlview paragraph"&amp;gt;Cost &amp;amp;amp; Complexity: Balancing performance benefits with implementation overhead&amp;lt;/div&amp;gt;&amp;lt;/li&amp;gt;&amp;lt;li class="list-item"&amp;gt;&amp;lt;span class="li-label"&amp;gt;5&amp;lt;/span&amp;gt;&amp;lt;div class="htmlview paragraph"&amp;gt;IIoT Readiness: Enabling cloud connectivity, data analytics, and remote monitoring&amp;lt;/div&amp;gt;&amp;lt;/li&amp;gt;&amp;lt;li class="list-item"&amp;gt;&amp;lt;span class="li-label"&amp;gt;6&amp;lt;/span&amp;gt;&amp;lt;div class="htmlview paragraph"&amp;gt;Legacy Support: Availability of gateways, backward compatibility, and incremental modernization.&amp;lt;/div&amp;gt;&amp;lt;/li&amp;gt;&amp;lt;/ol&amp;gt;&amp;lt;/div&amp;gt;&amp;lt;div class="htmlview paragraph"&amp;gt;By presenting a clear, repeatable process for protocol selection, this framework enables engineers and decision-makers to make data-driven decisions that align with immediate operational requirements and long-term digitalization objectives.&amp;lt;/div&amp;gt;&amp;lt;/div&amp;gt;&lt;/jats:p&gt;</t>
  </si>
  <si>
    <t>Mateu, Daniel Bujosa; Hallmans, Daniel; Ashjaei, Mohammad; Papadopoulos, Alessandro Vittorio; Proenza, Julian; Nolte, Thomas</t>
  </si>
  <si>
    <t>ETFA - Clock Synchronization in Integrated TSN-EtherCAT Networks</t>
  </si>
  <si>
    <t>https://doi.org/10.1109/etfa46521.2020.9212153</t>
  </si>
  <si>
    <t>10.1109/etfa46521.2020.9212153</t>
  </si>
  <si>
    <t>Moving towards new technologies, such as Time Sensitive Networking (TSN), in industries should be gradual with a proper integration process instead of replacing the existing ones to make it beneficial in terms of cost and performance. Within this context, this paper identifies the challenges of integrating a legacy EtherCAT network, as a commonly used technology in the automation domain, into a TSN network. We show that clock synchronization plays an essential role when it comes to EtherCAT-TSN network integration with important requirements. We propose a clock synchronization mechanism based on the TSN standards to obtain a precise synchronization among EtherCAT nodes, resulting to an efficient data transmission. Based on a formal verification framework using UPPAAL tool we show that the integrated EtherCAT-TSN network with the proposed clock synchronization mechanism achieves at least 3 times higher synchronization precision compared to not using any synchronization.</t>
  </si>
  <si>
    <t>Fu, Meixia; Lu, Yifan; Wang, Qu; Sun, Lei; Ma, Zhangchao; Chen, Na; Cheng, Xiaofei; Wang, Danshi; Wang, Jianquan</t>
  </si>
  <si>
    <t>End-to-End Visual Control Framework in Wireless TSN Networks for Industrial IoT</t>
  </si>
  <si>
    <t>https://doi.org/10.1109/jiot.2025.3564295</t>
  </si>
  <si>
    <t>10.1109/jiot.2025.3564295</t>
  </si>
  <si>
    <t>Hofer, Florian; Venanzi, Riccardo</t>
  </si>
  <si>
    <t>Beyond the Virtual PLC Networking Constraints: MACvLAN Approach in Industrial Environments</t>
  </si>
  <si>
    <t>https://doi.org/10.1109/camad67323.2025.11229913</t>
  </si>
  <si>
    <t>10.1109/camad67323.2025.11229913</t>
  </si>
  <si>
    <t>Lee, Jun Yan; Minhad, K. N.; Khan Hemel, Mohammad Shahriar; Ooi, K. J. A.; Reaz, M. B. I.; Bhuiyan, M. A. S.</t>
  </si>
  <si>
    <t>A Study on 28 GHz Power Amplifiers for Industrial Revolution 4.0 Compatible 5G NR FR2 IoT Transceivers</t>
  </si>
  <si>
    <t>https://doi.org/10.1109/cis-ram55796.2023.10370022</t>
  </si>
  <si>
    <t>10.1109/cis-ram55796.2023.10370022</t>
  </si>
  <si>
    <t>Industrial Revolution 4.0 (IR 4.0) has always been a hot topic to be discussed along with the Internet of Things (IoT). With current 5G wireless technology, IoT systems are able to be connected even wider and can cover more applications such as AI/ML, edge computing, and smart factories. 5G NR have standardized FR1 and FR2 bands, and FR2 have the potential to establish the network for Industrial-IoT (I-IoT) system. Although FR2 have limits on transmission distance, a power amplifier (PA) located in the transmitter circuit is able to boost the distance with its produced high output power. In this paper, we will investigate the potential of 5G NR FR2 28 GHz for I-IoT applications and review the available state-of-the-art PA designs and their available modulation scheme. Each PA design in this article will be discussed, and compared. This paper will serve as a small review for authors to design PA for I-IoT applications in the 5G NR FR2 band.</t>
  </si>
  <si>
    <t>Liang, Shan; Chen, Xianqiao; Li, Boshi; Lu, Yao</t>
  </si>
  <si>
    <t>Methodological Study of Cross-Domain Co-Simulation for Port Equipment Operation Monitoring and Collaborative Early Warning</t>
  </si>
  <si>
    <t>https://doi.org/10.1109/cisat66811.2025.11181839</t>
  </si>
  <si>
    <t>10.1109/cisat66811.2025.11181839</t>
  </si>
  <si>
    <t>Matsumoto, Noritaka; Junya, Fujita; Endoh, Hiromichi; Yamada, Tsutomu; Sawada, Kenji; Kaneko, Osamu</t>
  </si>
  <si>
    <t>Asset Management Method of Industrial IoT Systems for Cyber-Security Countermeasures</t>
  </si>
  <si>
    <t>https://doi.org/10.3390/info12110460</t>
  </si>
  <si>
    <t>10.3390/info12110460</t>
  </si>
  <si>
    <t>Cyber-security countermeasures are important for IIoT (industrial Internet of things) systems in which IT (information technology) and OT (operational technology) are integrated. The appropriate asset management is the key to creating strong security systems to protect from various cyber threats. However, the timely and coherent asset management methods used for conventional IT systems are difficult to be implemented for IIoT systems. This is because these systems are composed of various network protocols, various devices, and open technologies. Besides, it is necessary to guarantee reliable and real-time control and save CPU and memory usage for legacy OT devices. In this study, therefore, (1) we model various asset configurations for IIoT systems and design a data structure based on SCAP (Security Content Automation Protocol). (2) We design the functions to automatically acquire the detailed information from edge devices by “asset configuration management agent”, which ensures a low processing load. (3) We implement the proposed asset management system to real edge devices and evaluate the functions. Our contribution is to automate the asset management method that is valid for the cyber security countermeasures in the IIoT systems.</t>
  </si>
  <si>
    <t>Al-Hawawreh, Muna; Moustafa, Nour; Slay, Jill</t>
  </si>
  <si>
    <t>A threat intelligence framework for protecting smart satellite-based healthcare networks</t>
  </si>
  <si>
    <t>https://doi.org/10.1007/s00521-021-06441-5</t>
  </si>
  <si>
    <t>10.1007/s00521-021-06441-5</t>
  </si>
  <si>
    <t>Human-to-machine (H2M) communication is an important evolution in the industrial internet of health things (IIoHT), where many H2M interfaces are remotely interacting with industrial and medical assets. Lightweight protocols, such as constrained application protocol (CoAP), have been widely utilised in transferring sensing data of medical devices to end-users in smart satellite-based healthcare IIoT networks (SmartSat-IIoHT). However, such protocols are extensively deployed without appropriate security configurations, making attackers’ mission easier for abusing these protocols to launch advanced cyber threats. This paper, therefore, presents a new threat intelligence framework to examine and model CoAP protocol’s attacks in these systems. We present a ransom denial of service (RDoS) as a new threat that would exploit this protocol’s vulnerabilities. We propose many RDoS attack’s techniques to understand the attack indicators and analyse their behaviour on systems. Moreover, we present a real-time discovery of attacks’ network behaviours using deep learning. The experiment results demonstrate that this proposed discovery model obtains a better performance in revealing RDoS than other conventional machine learning algorithms and accomplishing high fidelity of protecting SmartSat-IIoHT networks.</t>
  </si>
  <si>
    <t>Hujo, Dominik; Berscheit, Anja; Krüger, Marius; Vogel-Heuser, Birgit</t>
  </si>
  <si>
    <t>Benchmark and Design Support for Demand-Oriented Cloud-Communication Architectures of Cyber-Physical Production Systems</t>
  </si>
  <si>
    <t>https://doi.org/10.1109/iecon51785.2023.10312564</t>
  </si>
  <si>
    <t>10.1109/iecon51785.2023.10312564</t>
  </si>
  <si>
    <t>The usage of cloud applications in industrial automation domain is boosted by the desire to apply computational-intensive machine-learning (ML) models and access production data from all over the world. Accomplished by the demand for powerful hardware platforms for ML and centralized data storage, the connectivity performance also increases and allows high data transmission rates. Nevertheless, requirements for data transmission, like safety, security, and real-time must be considered in line with the production use case. Finding a suitable infrastructure with communication protocols for data transmission to transform legacy production plants into cyber-physical production systems (CPPS) is overwhelming due to the many available communication methods. Design support for CPPS would increase the acceptance of cloud-based solutions by engineers of automated production systems that are not specifically familiar with high-level information technology systems. This paper introduces an investigation and design recommendations for application-layer communication protocols usually used in industrial applications. The overall goal is to support the engineering for the different automation levels on field-, edge-, and cloud-level. In this paper, design measures are firstly derived from related work. Secondly, an analysis of the timing behavior and the CPU resources are carried out. Finally, the findings are collected in a summarizing rating table that briefly suggests adjusting the performance and the impact on the overall system design by selecting suitable communication protocols.</t>
  </si>
  <si>
    <t>Francesco Gentile, Antonio; Greco, Emilio; Luca Carnì, Domenico</t>
  </si>
  <si>
    <t>A Real Network Performance Analysis Testbed for Encrypted MQTT in DMS</t>
  </si>
  <si>
    <t>https://doi.org/10.1109/metrolivenv60384.2024.10615766</t>
  </si>
  <si>
    <t>10.1109/metrolivenv60384.2024.10615766</t>
  </si>
  <si>
    <t>Климаш, М.; Костів, О.; Гордійчук-Бублівська, О.; Чайковський, І.</t>
  </si>
  <si>
    <t>ДОСЛІДЖЕННЯ ЕФЕКТИВНОСТІ ВИКОРИСТАННЯ РОЗПОДІЛЕНИХ БАЗ ДАНИХ В СИСТЕМАХ IIOT</t>
  </si>
  <si>
    <t>https://doi.org/10.23939/ictee2022.01.012</t>
  </si>
  <si>
    <t>10.23939/ictee2022.01.012</t>
  </si>
  <si>
    <t>&lt;jats:p&gt;The Industrial Internet of Things (IIoT) determines the transformation of centralized systems into decentralized, more flexible, and efficient ones. Cloud technologies allow much more optimal use of IIoT resources. In the paper, the main features of the Industrial Internet of Things systems were investigated and the problems of smart manufacturing were analyzed. The necessity of using distributed architecture and cloud resources for flexible industrial systems organization was determined. In addition, the advantages of distributed computing for big data processing were established. The preference for relational databases over non-relational ones for data processing and the reliability of user requests service were defined. As well, the peculiarity of the relational database's operation was considered. For improving computational efficiency the use of a distributed database architecture was investigated. The benefits of involving cloud and distributed technologies in IIoT systems were determined. In this way, the possibility of choosing the most optimal parameters depending on the requirements for the industrial system productivity was defined. The opportunities for improving the quality of services in the Industrial Internet of Things by choosing the optimally distributed database architecture were determined.&lt;/jats:p&gt;</t>
  </si>
  <si>
    <t>10.3390/info14120666</t>
  </si>
  <si>
    <t>Valadares, Dalton Cézane Gomes; Joseana, Araujo; Angelo, Perkusich; Marco, Spohn; Elmar, Melcher; Alexandre, Costa; Felipe, Ramos; Natalia, Albuquerque</t>
  </si>
  <si>
    <t>Performance Evaluation of an IEEE 802.11g Network in an Industrial Environment</t>
  </si>
  <si>
    <t>https://doi.org/10.1109/tla.2020.9082924</t>
  </si>
  <si>
    <t>10.1109/tla.2020.9082924</t>
  </si>
  <si>
    <t>In the industrial domain, wireless networks are among the most recommended, due to their low deployment cost, great flexibility, and by being less invasive to the environment. In the literature, little emphasis is given to the application of traditional IEEE 802.11a/b/g standards into industrial environments. We have evaluated the communication performance of an 802.11g network infrastructure within a thermoelectric powerplant. Three metrics were considered during our analysis: packet loss rate, transfer rate, and response time. Tests were conducted to evaluate the communication between different points inside the engine room and a point located in the administration room. To get a more realistic scenario, the experiments were performed in working days of the thermoelectric power plant. The network performance did not suffer significant degradation, even under electromagnetic interference and other intrinsic characteristics of such harsh environment. We concluded suggesting the addition of a few more access points to the engine room in order to improve the signal quality and thus the communication.</t>
  </si>
  <si>
    <t>Improving Fault Tolerance and Tackling Broker Failure in MQTT through Blockchain</t>
  </si>
  <si>
    <t>https://doi.org/10.1109/icaect57570.2023.10118032</t>
  </si>
  <si>
    <t>10.1109/icaect57570.2023.10118032</t>
  </si>
  <si>
    <t>MQTT is a widely used Publisher-Subscriber protocol in IoT and Edge Computing. Its lightweight, minimal overhead nature has aided real-time data exchange between the Publishers and the Subscribers. As of MQTT 5, the protocol has fault-tolerance and fault detection implemented through QoS Levels 1 and 2 in the form of 'Retained Messages,' 'Persistent Sessions,' and 'LWT' ('Last Will' and Testament'). Many researchers have dived deep into securing this protocol by using Blockchain, using multiple Fog and Mist Computing infrastructures, and they have accomplished faster, more efficient, and more secure implementations of the MQTT protocol. Often, the less explored scope of optimization is the fault tolerance of MQTT, which has its limitations. The current specification of MQTT allows the broker to only store one retained message per client ID, which becomes a limitation in the application use cases where the newly subscribed devices are supposed to get an array of data points instead of one. The current specification of MQTT does not implement fault tolerance on the broker end, which can disrupt the network on broker failure. The paper explores how we can use Blockchain Technology to overcome the limitations of 'Retained Messages' in MQTT and improve the Dead Letter Exchanges in QoS levels 1 and 2 through Blockchain Technology. In addition, the paper explores and implements dynamic load balancing using Blockchain Naming Services to tackle broker failure in the MQTT protocol, which will allow brokers to be hosted under decentralized domain names on the Blockchain, monitored by a load balancer.</t>
  </si>
  <si>
    <t>Jeddou, Sidna; Fernández, Fátima; Diez, Luis; Baina, Amine; Abdallah, Najid; Agüero, Ramón</t>
  </si>
  <si>
    <t>Delay and Energy Consumption of MQTT over QUIC: An Empirical Characterization Using Commercial-Off-The-Shelf Devices.</t>
  </si>
  <si>
    <t>https://doi.org/10.3390/s22103694</t>
  </si>
  <si>
    <t>10.3390/s22103694</t>
  </si>
  <si>
    <t>The QUIC protocol, which was originally proposed by Google, has recently gained a remarkable presence. Although it has been shown to outperform TCP over a wide range of scenarios, there exist some doubts on whether it might be an appropriate transport protocol for IoT. In this paper, we specifically tackle this question, by means of an evaluation carried out over a real platform. In particular, we conduct a thorough characterization of the performance of the MQTT protocol, when used over TCP and QUIC. We deploy a real testbed, using commercial off-the-shelf devices, and we analyze two of the most important key performance indicators for IoT: delay and energy consumption. The results evince that QUIC does not only yield a notable decrease in the delay and its variability, over various wireless technologies and channel conditions, but it does not hinder the energy consumption.</t>
  </si>
  <si>
    <t>Amodei, Andrea; Capriglione, Domenico; Cheminod, Manuel; Ferrari, Paolo; Miele, Gianfranco; Morato, Alberto; Tramarin, Federico; Vitturi, Stefano; Sisinni, Emiliano; Zunino, Claudio</t>
  </si>
  <si>
    <t>Time Sensitive Networking for Future Enabling Technologies: Overview and Measurement Issues for Metrological Characterization</t>
  </si>
  <si>
    <t>https://doi.org/10.1109/mn60932.2024.10615861</t>
  </si>
  <si>
    <t>10.1109/mn60932.2024.10615861</t>
  </si>
  <si>
    <t>Seijo, Óscar; Torrego, Raúl; Val, Iñaki</t>
  </si>
  <si>
    <t>On the integration of OPC UA over Wired – Wireless Time Sensitive Networking</t>
  </si>
  <si>
    <t>https://doi.org/10.23919/ifipnetworking57963.2023.10186415</t>
  </si>
  <si>
    <t>10.23919/ifipnetworking57963.2023.10186415</t>
  </si>
  <si>
    <t>This paper deals with the integration of OPC UA over Wireless / Wired (Hybrid) Networks with Time Sensitive Networking (TSN) capabilities. We propose a HW/SW device architecture, based on the SHARP platform, to enable the integration of OPC UA and Hybrid TSN. The integration includes both the OPC UA Client/Server and PubSub mechanism. Based on the device architecture, we built a HW testbed that integrated Hybrid TSN and OPC UA to assess its performance. The results demonstrate that the network can provide seamless application interoperability and that can satisfy the traffic needs in a typical industrial setup. However, the paper also highlights that there is still significant research to be done to achieve deep integration between OPC UA and Hybrid TSN.</t>
  </si>
  <si>
    <t>Gavriilidis, Nikolaos Orestis; Halkidis, Spyros T.; Petridou, Sophia</t>
  </si>
  <si>
    <t>Empirical Evaluation of TLS-Enhanced MQTT on IoT Devices for V2X Use Cases</t>
  </si>
  <si>
    <t>https://doi.org/10.3390/app15158398</t>
  </si>
  <si>
    <t>10.3390/app15158398</t>
  </si>
  <si>
    <t>&lt;jats:p&gt;The rapid growth of Internet of Things (IoT) deployment has led to an unprecedented volume of interconnected, resource-constrained devices. Securing their communication is essential, especially in vehicular environments, where sensitive data exchange requires robust authentication, integrity, and confidentiality guarantees. In this paper, we present an empirical evaluation of TLS (Transport Layer Security)-enhanced MQTT (Message Queuing Telemetry Transport) on low-cost, quad-core Cortex-A72 ARMv8 boards, specifically the Raspberry Pi 4B, commonly used as prototyping platforms for On-Board Units (OBUs) and Road-Side Units (RSUs). Three MQTT entities, namely, the broker, the publisher, and the subscriber, are deployed, utilizing Elliptic Curve Cryptography (ECC) for key exchange and authentication and employing the AES_256_GCM and ChaCha20_Poly1305 ciphers for confidentiality via appropriately selected libraries. We quantify resource consumption in terms of CPU utilization, execution time, energy usage, memory footprint, and goodput across TLS phases, cipher suites, message packaging strategies, and both Ethernet and WiFi interfaces. Our results show that (i) TLS 1.3-enhanced MQTT is feasible on Raspberry Pi 4B devices, though it introduces non-negligible resource overheads; (ii) batching messages into fewer, larger packets reduces transmission cost and latency; and (iii) ChaCha20_Poly1305 outperforms AES_256_GCM, particularly in wireless scenarios, making it the preferred choice for resource- and latency-sensitive V2X applications. These findings provide actionable recommendations for deploying secure MQTT communication on an IoT platform.&lt;/jats:p&gt;</t>
  </si>
  <si>
    <t>Razi, Reza; Ali, Haider; Colas, Frédéric; Francois, Bruno</t>
  </si>
  <si>
    <t>An Innovative Digital Twin of Integrated Transportation and Power Networks for Efficient Scheduling of Autonomous Electric Vehicles</t>
  </si>
  <si>
    <t>https://doi.org/10.1109/isgteurope62998.2024.10863783</t>
  </si>
  <si>
    <t>10.1109/isgteurope62998.2024.10863783</t>
  </si>
  <si>
    <t>Sah, Dinesh Kumar; Vahabi, Maryam; Fotouhi, Hossein</t>
  </si>
  <si>
    <t>A Comprehensive Review on 5G IIoT Test-Beds</t>
  </si>
  <si>
    <t>https://doi.org/10.1109/tce.2025.3572058</t>
  </si>
  <si>
    <t>10.1109/tce.2025.3572058</t>
  </si>
  <si>
    <t>Nandanwar, Himanshu; Katarya, Rahul</t>
  </si>
  <si>
    <t>Securing Industry 5.0: An explainable deep learning model for intrusion detection in cyber-physical systems</t>
  </si>
  <si>
    <t>https://doi.org/10.1016/j.compeleceng.2025.110161</t>
  </si>
  <si>
    <t>10.1016/j.compeleceng.2025.110161</t>
  </si>
  <si>
    <t>Giliyana, San; Bengtsson, Marcus; Salonen, Antti</t>
  </si>
  <si>
    <t>Implementing and using smart maintenance technologies: Introducing challenges and enablers related to human, organizational and technological perspectives</t>
  </si>
  <si>
    <t>https://doi.org/10.1016/j.procs.2025.01.155</t>
  </si>
  <si>
    <t>10.1016/j.procs.2025.01.155</t>
  </si>
  <si>
    <t>Performance evaluation of industrial Ethernet protocols for networked control application</t>
  </si>
  <si>
    <t>https://doi.org/10.1016/j.conengprac.2018.11.022</t>
  </si>
  <si>
    <t>10.1016/j.conengprac.2018.11.022</t>
  </si>
  <si>
    <t>Lalhriatpuii, NA; Ruchi, NA; Wasson, Vikas</t>
  </si>
  <si>
    <t>Comprehensive Exploration of IoT Communication Protocol: CoAP, MQTT, HTTP, LoRaWAN and AMQP</t>
  </si>
  <si>
    <t>https://doi.org/10.1007/978-3-031-75861-4_23</t>
  </si>
  <si>
    <t>10.1007/978-3-031-75861-4_23</t>
  </si>
  <si>
    <t>Li, Qiang; Liu, Jiaming</t>
  </si>
  <si>
    <t>System architecture for small‐scale personalized production lines based on industrial Internet</t>
  </si>
  <si>
    <t>https://doi.org/10.1049/ell2.13076</t>
  </si>
  <si>
    <t>10.1049/ell2.13076</t>
  </si>
  <si>
    <t>&lt;jats:title&gt;Abstract&lt;/jats:title&gt; &lt;jats:p&gt;The rapid development of industrial Internet has resulted in significant changes in industrial manufacturing system architecture. In this study, a system architecture suitable for small‐scale personalized production lines is proposed. The core of this architecture is a three‐layer structure comprising the Internet layer, data layer, and field control layer. The system facilitates the transmission of user‐specific product demands from the Internet to the production line, where the production equipment achieves personalized production through motion control. This system architecture for production lines integrates industrial Internet and smart manufacturing technologies, reducing the complexity of the enterprise system architecture and enhancing the flexibility of the system compared to large‐scale personalized production systems. The effectiveness of this system architecture was validated using a flexible yogurt filling production line and lays a foundation for the transformation of industrial manufacturing from the tradition system to a personalized production.&lt;/jats:p&gt;</t>
  </si>
  <si>
    <t>Carvajal-Flores, Diego F.; Abril-Jiménez, Patricia; Buhid, Eduardo; Fico, Giuseppe; Cabrera Umpiérrez, María Fernanda</t>
  </si>
  <si>
    <t>Enhancing Industrial Digitalisation through an Adaptable Component for Bridging Semantic Interoperability Gaps</t>
  </si>
  <si>
    <t>https://doi.org/10.3390/app14062309</t>
  </si>
  <si>
    <t>10.3390/app14062309</t>
  </si>
  <si>
    <t>&lt;jats:p&gt;Digital transformation has a great effect on industries but also in the perception of their products with high consequences on society as a whole, as driver for innovation. However, there are still many barriers to the adoption of digital technologies, especially in small and medium-sized enterprises (SMEs). In the present study we propose a new software component that facilitates the adoption of industrial reference architectures (RAs) based on the semantic interoperability concept. Among these RAs, FIWARE has become a key enabler for flexible and resource effective digitalisation of shop floor processes. The proposed software component aims to enable full interoperability between these more widely used technologies and industrial standards and protocols such as OPC UA. As a result, a flexible, open, and adaptable implementation assists the automatic translation of messages from different standards enabling semantic interoperability of shop floor processes. The component aims to enable industrial SMEs to bring current barriers to digitalisation towards a more human-centred, resilient, and sustainable industry and society.&lt;/jats:p&gt;</t>
  </si>
  <si>
    <t>Narayanan, Mahesh; Hafeez, Muhammad Asfand; Munir, Arslan</t>
  </si>
  <si>
    <t>Encryption for Industrial Control Systems: A Survey of Application-Level and Network-Level Approaches in Smart Grids</t>
  </si>
  <si>
    <t>https://doi.org/10.3390/jcp6010011</t>
  </si>
  <si>
    <t>10.3390/jcp6010011</t>
  </si>
  <si>
    <t>&lt;jats:p&gt;Industrial Control Systems (ICS) are fundamental to the operation, monitoring, and automation of critical infrastructure in sectors such as energy, water utilities, manufacturing, transportation, and oil and gas. According to the Purdue Model, ICS encompasses tightly coupled OT and IT layers, becoming increasingly interconnected. Smart grids represent a critical class of ICS; thus, this survey examines encryption and relevant protocols in smart grid communications, with findings extendable to other ICS. Encryption techniques implemented at both the protocol and network layers are among the most effective cybersecurity strategies for protecting communications in increasingly interconnected ICS environments. This paper provides a comprehensive survey of encryption practices within the smart grid as the primary ICS application domain, focusing on protocol-level solutions (e.g., DNP3, IEC 60870-5-104, IEC 61850, ICCP/TASE.2, Modbus, OPC UA, and MQTT) and network-level mechanisms (e.g., VPNs, IPsec, and MACsec). We evaluate these technologies in terms of security, performance, and deployability in legacy and heterogeneous systems that include renewable energy resources. Key implementation challenges are explored, including real-time operational constraints, cryptographic key management, interoperability across platforms, and alignment with NERC CIP, IEC 62351, and IEC 62443. The survey highlights emerging trends such as lightweight Transport Layer Security (TLS) for constrained devices, post-quantum cryptography, and Zero Trust architectures. Our goal is to provide a practical resource for building resilient smart grid security frameworks, with takeaways that generalize to other ICS.&lt;/jats:p&gt;</t>
  </si>
  <si>
    <t>Ramos, Egydio Tadeu Gomes; de A Aguiar, Anna Paula V; Júnior, George Acioli; Barros, Péricles R</t>
  </si>
  <si>
    <t>Distributed Process Control and Interoperability Using IEC 61499 and MQTT</t>
  </si>
  <si>
    <t>https://doi.org/10.1109/lciot64881.2025.11118571</t>
  </si>
  <si>
    <t>10.1109/lciot64881.2025.11118571</t>
  </si>
  <si>
    <t>Vigoya, Laura; Pardal, Alberto; Fernandez, Diego; Carneiro, Victor</t>
  </si>
  <si>
    <t>Application of Machine Learning Algorithms for the Validation of a New CoAP-IoT Anomaly Detection Dataset</t>
  </si>
  <si>
    <t>https://doi.org/10.3390/app13074482</t>
  </si>
  <si>
    <t>10.3390/app13074482</t>
  </si>
  <si>
    <t>&lt;jats:p&gt;With the rise in smart devices, the Internet of Things (IoT) has been established as one of the preferred emerging platforms to fulfil their need for simple interconnections. The use of specific protocols such as constrained application protocol (CoAP) has demonstrated improvements in the performance of the networks. However, power-, bandwidth-, and memory-constrained sensing devices constitute a weakness in the security of the system. One way to mitigate these security problems is through anomaly-based intrusion detection systems, which aim to estimate the behaviour of the systems based on their “normal” nature. Thus, to develop anomaly-based intrusion detection systems, it is necessary to have a suitable dataset that allows for their analysis. Due to the lack of a public dataset in the CoAP-IoT environment, this work aims to present a complete and labelled CoAP-IoT anomaly detection dataset (CIDAD) based on real-world traffic, with a sufficient trace size and diverse anomalous scenarios. The modelled data were implemented in a virtual sensor environment, including three types of anomalies in the CoAP data. The validation of the dataset was carried out using five shallow machine learning techniques: logistic regression, naive Bayes, random forest, AdaBoost, and support vector machine. Detailed analyses of the dataset, data conditioning, feature engineering, and hyperparameter tuning are presented. The evaluation metrics used in the performance comparison are accuracy, precision, recall, F1 score, and kappa score. The system achieved 99.9% accuracy for decision tree models. Random forest established itself as the best model, obtaining a 99.9% precision and F1 score, 100% recall, and a Cohen’s kappa statistic of 0.99.&lt;/jats:p&gt;</t>
  </si>
  <si>
    <t>Xu, Zhuocheng; Di, Boya; Song, Lingyang</t>
  </si>
  <si>
    <t>Design of Cloud-Edge-Gateway Collaborative Zero-Trust Architecture and Workflow for Smart Factories</t>
  </si>
  <si>
    <t>https://doi.org/10.1109/iwrfat61200.2024.10594530</t>
  </si>
  <si>
    <t>10.1109/iwrfat61200.2024.10594530</t>
  </si>
  <si>
    <t>Debnath, Manika; Modak, Subrata; Sarkar, Dhrubasish</t>
  </si>
  <si>
    <t>Performance Evaluation of Application Layer IoT Protocols: MQTT and CoAP</t>
  </si>
  <si>
    <t>https://doi.org/10.1109/c3it60531.2024.10829414</t>
  </si>
  <si>
    <t>10.1109/c3it60531.2024.10829414</t>
  </si>
  <si>
    <t>Omiyale, Babatunde Olamide; Ogedengbe, Ikeoluwa Ireoluwa; Odeyemi, Jethro; Ogbeyemi, Akinola; Olorunsogbon, Funmilayo; Zhang, Wenjun Chris</t>
  </si>
  <si>
    <t>Mitigating 3D printing defects via cyber-physical systems: a process for fabricating defect-free components</t>
  </si>
  <si>
    <t>https://doi.org/10.1007/s00170-025-16100-x</t>
  </si>
  <si>
    <t>10.1007/s00170-025-16100-x</t>
  </si>
  <si>
    <t>Sarabia-Jácome, David; Gonthier, François-Denis; Bunch, Steve; Siachamis, Georgios; Grasa, Eduard; Catalán, Marisa; Stavropoulos, Georgios</t>
  </si>
  <si>
    <t>Environment Monitoring Subsystem Based on Recursive InterNetwork Architecture</t>
  </si>
  <si>
    <t>https://doi.org/10.1109/access.2024.3434747</t>
  </si>
  <si>
    <t>10.1109/access.2024.3434747</t>
  </si>
  <si>
    <t>The Internet of Things (IoT) facilitates intelligent building management by deploying IoT devices as crucial components of building subsystems. However, the ongoing evolution of intelligent buildings presents challenges in network management, scalability, and security. In this regard, smart buildings require innovative network architectures capable of adapting to meet future requirements. The Recursive InterNetwork Architecture (RINA) emerges as a clean slate network architecture aiming to overcome various current network limitations and simplify network complexity. While RINA has demonstrated several advantages in multi-homing, scalability, and security, these benefits must be analyzed in realistic conditions. This paper introduces a RINA-based environment monitoring subsystem that implements and deploys RINA components within specific IoT hardware and software in a relevant environment. The subsystem comprises several RINA sensors, RINA-based IoT gateways, and an edge node. The subsystem's design and implementation details are provided for efficient and secure communication between RINA sensors and the edge node. The RINAsense architecture was used to implement the sensors, with additional enhancements for resource management and energy efficiency. Also, the IRATI open-source software facilitates the implementation of the IoT gateway and edge node to ensure smooth RINA communications within the subsystem. The subsystem was evaluated in terms of latency, goodput, and energy consumption, and it achieved a 2.05-millisecond delay, 0.86 Mbps as goodput, and reduced 82% energy consumption. Finally, the feasibility of using RINA in smart buildings was confirmed by integrating the proposed subsystem into an operative intelligent building system.</t>
  </si>
  <si>
    <t>Wang, Puxiang; Ma, Xueyi; Fei, Lihua; Zhang, Hongye; Zhao, Dong; Zhao, Jian</t>
  </si>
  <si>
    <t>When the digital twin meets the preventive conservation of movable wooden artifacts</t>
  </si>
  <si>
    <t>https://doi.org/10.1186/s40494-023-00894-8</t>
  </si>
  <si>
    <t>10.1186/s40494-023-00894-8</t>
  </si>
  <si>
    <t>&lt;jats:title&gt;Abstract&lt;/jats:title&gt; &lt;jats:p&gt;To achieve sustainable heritage conservation, preventive conservation has gradually taken precedence over curative conservation, because it can inhibit the damage caused by various environmental factors and maximizes the preservation life of the artifacts. Due to susceptibility to environmental factors, preventive conservation has been used in the conservation of movable wooden artifacts to further protect them. Recently, digital twin technology, as a concept that transcends reality, can be mapped in virtual space to reflect the full lifecycle process of the corresponding entity, which is a superior characteristic that makes it valued and researched for health monitoring and health management of heritages. This paper proposes a health management method mainly for preventive conservation of movable wooden artifacts, integrating digital twin technology into the health management process. Using the Quanzhou Ship as a typical representative, several important components of health management are specifically analyzed, such as the five-dimensional model of the digital twin, the data interaction process of the digital twin, and the identification and assessment of risks. In particular, the process of preventive conservation of the stern based on the digital twin is presented in detail. This method provides a basis for future preventive conservation of movable wooden artifacts and has implications for the use of digital twin technology in the field of heritage conservation, especially for movable wooden artifacts.&lt;/jats:p&gt;</t>
  </si>
  <si>
    <t>Masal, Vipul; Pavithra, P.; Tiwari, Shiv Kant; Singh, Rajesh; Panduro-Ramirez, Jeidy; Gangodkar, Durgaprasad</t>
  </si>
  <si>
    <t>Deep Learning Applications for Blockchain in Industrial IoT</t>
  </si>
  <si>
    <t>https://doi.org/10.1109/ic3i56241.2022.10073357</t>
  </si>
  <si>
    <t>10.1109/ic3i56241.2022.10073357</t>
  </si>
  <si>
    <t>The engaging ambitions of regeneration &amp; growth of manufacturing in several nations, as well as the speed, flexibility, or expense benefits that might arise from the architecture of the industrial Internet of Things (IIoT), are attracting considerable interest. While blockchain or machine learning techniques, particularly deep learning, might offer the latest viable use cases for IIoT, they operate in a rather antagonistic manner. Underneath the assumption of information regulatory standards such as information protections, blockchain helps the crucial information collecting for machine learning. However, it may be susceptible to a data breach as a result of big information insights using machine learning. To enable machine learning/blockchain relevant &amp; applicable for a variety of industrialized applications, it is of the utmost essential to have a thorough grasp of their evolution within the framework of IIoT. In this paper, we present a summary &amp; analytics of the opportunity of blockchain as well as machine learning in the IIoT, focusing on the agreement method, preservation, or transmission. This study gives a better knowledge of the protection &amp; confidentiality issues of a blockchain's vital aspects from the viewpoint of machine learning, and that is beneficial for the creation of viable blockchain alternatives for IIoT.</t>
  </si>
  <si>
    <t>Avasalcai, Cosmin; Dustdar, Schahram</t>
  </si>
  <si>
    <t>Edge Computing: Use Cases and Research Challenges</t>
  </si>
  <si>
    <t>https://doi.org/10.1007/978-3-662-65004-2_5</t>
  </si>
  <si>
    <t>10.1007/978-3-662-65004-2_5</t>
  </si>
  <si>
    <t>The continuum increase of connected devices and the rise of new emergent applications with fast response times, higher privacy, and security, push the horizon to a new industrial revolution. As a result, the impact of optimizing production and product transactions manifests a fierce necessity of developing new concepts like the Industry 4.0. The combination of traditional manufacturing and industrial practices with the increasingly large-scale machine-to-machine and the Internet of Things deployments, helps manufacturers and consumers to better communication and monitoring, along with new levels of analysis, providing a truly productive future. Edge computing represents an integral part of Industry 4.0, having the purpose of enabling computational resources closer to the edge of the network. In this chapter, we describe in detail this paradigm by looking at its advantages and disadvantages as well as some representative use cases. Finally, we present and discuss the research challenges found in edge computing, mostly focusing on resource management.</t>
  </si>
  <si>
    <t>Sharghivand, Nafiseh; Derakhshan, Farnaz</t>
  </si>
  <si>
    <t>Data Security and Privacy in Industrial IoT</t>
  </si>
  <si>
    <t>https://doi.org/10.1007/978-3-030-76613-9_3</t>
  </si>
  <si>
    <t>10.1007/978-3-030-76613-9_3</t>
  </si>
  <si>
    <t>Today, the integration of Industry 4.0 and IoT has opened up new opportunities for generation, processing, and sharing vast amounts of data inside the industrial plants. However, along with the brought value, comes serious concerns about data security and privacy. Specifically, Internet connectivity and vast data sharing among industrial IoT devices make them vulnerable to various cyber-attacks, which may be aimed at stealing, modifying, or spying on data, or targeting the privacy of customers and employees. Such security and privacy violation in IIoT may consequently lead to serious problems, ranging from private data leakage and financial loss to human death and injuries. As a result, data security and privacy are considered a top concern among industries adapting IoT in recent years. In this respect, a great deal of interest has been attracted to studying security and privacy threats in IIoT both in academia and industry. In this chapter, we review various proposed countermeasures to ensure security at different surfaces in IIoT, including authentication techniques, key establishment techniques, and intrusion detection techniques. Finally, we review proposed real IIoT testbeds in the context of IIoT security.</t>
  </si>
  <si>
    <t>Khalil, Hamed Khudair; Abdul-Rahaim, Laith Ali; Alwash, Shamam</t>
  </si>
  <si>
    <t>Cloud Computing for High Voltage Substation Based Relay Protection</t>
  </si>
  <si>
    <t>https://doi.org/10.1109/iotais64014.2024.10799398</t>
  </si>
  <si>
    <t>10.1109/iotais64014.2024.10799398</t>
  </si>
  <si>
    <t>Al-Hawawreh, Muna; Elgendi, Ibrahim; Munasinghe, Kumudu</t>
  </si>
  <si>
    <t>An Online Model to Minimize Energy Consumption of IoT Sensors in Smart Cities</t>
  </si>
  <si>
    <t>https://doi.org/10.1109/jsen.2022.3199590</t>
  </si>
  <si>
    <t>10.1109/jsen.2022.3199590</t>
  </si>
  <si>
    <t>The Internet of Things (IoT), which allows systems of billions or trillions of "things," such as sensors, to communicate with each other over the Internet, is encountering several technical and application challenges. One of these challenges is that IoT sensors send redundant and self-similar data to the edge gateways consuming a large amount of energy and making it extremely difficult to obtain an appropriate network lifetime, which has become a bottleneck in scaling such applications. To address these issues, we propose a new solution based on powering sensors using artificial intelligence to make smart decisions about transmitting collected readings. We take advantage of autocorrelation (AC) to detect self-similarity and propose updating mechanism that employs deep reinforcement learning (RL). Our proposed model is a real-time model that can determine the redundant data and self-similarity and then make the smart decision about transmitting data. We evaluate our proposed solution using measurements obtained from Queanbeyan smart city, Australia, and available-public dataset and show that our proposed model can reduce the amount of transmitted data and minimize the power consumption of sensors.</t>
  </si>
  <si>
    <t>Garcia-Martin, Juan Pablo; Torralba, Antonio</t>
  </si>
  <si>
    <t>Model of a Device-Level Combined Wireless Network Based on NB-IoT and IEEE 802.15.4 Standards for Low-Power Applications in a Diverse IoT Framework.</t>
  </si>
  <si>
    <t>https://doi.org/10.3390/s21113718</t>
  </si>
  <si>
    <t>10.3390/s21113718</t>
  </si>
  <si>
    <t>With the development of the Internet of Things (IoT), Low Data Rate-Personal Area Networks (LR-WPAN) have been deployed for different applications. Now comes the need to integrate these networks in search of greater connectivity, performances, and geographic coverage. This integration is facilitated by the recent deployment of low power wide area networks (LPWAN) in the licensed bands, especially narrowband IoT (NB-IoT) and long-term evolution for machine-type communications (LTE-M), which are standardized technologies that will continue evolving as part of the fifth generation (5G) specifications. This paper proposes a design methodology for combined networks using LR-WPAN and LPWAN technologies. These networks are combined at the device level using a cluster-tree topology. An example is shown here, where an existing IEEE 802.15.4 network is combined with NB-IoT. To this end, new dual nodes are incorporated, acting as cluster heads. The paper discusses the different aspects of formation and operation of the combined network. A dynamic link selection (DLS) algorithm is also proposed, based on which cluster headers dynamically determine the preferred link, depending on link quality and type of traffic. Extensive simulations show that the DLS algorithm significantly increases battery life on dual nodes, which are the nodes with the highest power demands.</t>
  </si>
  <si>
    <t>Sharma, Gaurav Kr.; Sethi, Dinesh; Sharma, Gajanand; Sharma, Sandeep Kr.</t>
  </si>
  <si>
    <t>A chronological review of advanced metering infrastructure</t>
  </si>
  <si>
    <t>https://doi.org/10.1063/5.0154901</t>
  </si>
  <si>
    <t>10.1063/5.0154901</t>
  </si>
  <si>
    <t>Wang, Jie; Zhu, Yao; Hu, Yulin; Schmeink, Anke</t>
  </si>
  <si>
    <t>Joint Security-Reliability Performance Optimization in Low-Latency Industrial IoT Networks</t>
  </si>
  <si>
    <t>https://doi.org/10.1109/lwc.2025.3543100</t>
  </si>
  <si>
    <t>10.1109/lwc.2025.3543100</t>
  </si>
  <si>
    <t>Identifying key attacks on an IEEE 9-Bus System by leveraging the MITRE ATT&amp;CK ICS Matrix</t>
  </si>
  <si>
    <t>https://doi.org/10.1145/3679240.3734647</t>
  </si>
  <si>
    <t>Cindrić, Ivan; Jurčević, Marko; Hadjina, Tamara</t>
  </si>
  <si>
    <t>Mapping of Industrial IoT to IEC 62443 Standards.</t>
  </si>
  <si>
    <t>https://doi.org/10.3390/s25030728</t>
  </si>
  <si>
    <t>10.3390/s25030728</t>
  </si>
  <si>
    <t>The increasing adoption of the Industrial Internet of Things (IIoT) has led to significant improvements in operational efficiency but has also brought new challenges for cybersecurity. To address these challenges, a number of standards have been introduced over the years. One of the best-known series of standards for this purpose is ISA/IEC 62443. This paper examines the applicability of the ISA/IEC 62443 series of standards, traditionally used for securing industrial automation and control systems, to the IIoT environment. For each requirement described in the ISA/IEC 62443 standards, relevant research on that subject is reviewed and presented in a table-like manner. Based on this table, areas for future research are identified, including system hardening, asset inventory, safety instrumented system isolation, risk assessment methodologies, change management systems, data storage security, and incident response procedures. The focus on future improvement is performed for the area of system hardening, for which research and guidelines already exist but not for the specific area of IIoT environments.</t>
  </si>
  <si>
    <t>Caliskanelli, Ipek; Goodliffe, M.; Whiffin, Craig; Xymitoulias, Michail; Whittaker, Edward; Verma, Swapnil; Skilton, Robert</t>
  </si>
  <si>
    <t>Engineering Interoperable, Plug-and-Play, Distributed, Robotic Control Systems for Futureproof Fusion Power Plants</t>
  </si>
  <si>
    <t>https://doi.org/10.3390/robotics10030108</t>
  </si>
  <si>
    <t>10.3390/robotics10030108</t>
  </si>
  <si>
    <t>Maintenance and inspection systems for future fusion power plants (e.g., STEP and DEMO) are expected to require the integration of hundreds of systems from multiple suppliers, with lifetime expectancies of several decades, where requirements evolve over time and obsolescence management is required. There are significant challenges associated with the integration, deployment, and maintenance of very large-scale robotic systems incorporating devices from multiple suppliers, where each may utilise bespoke, non-standardised control systems and interfaces. Additionally, the unstructured, experimental, or unknown operational conditions frequently result in new or changing system requirements, meaning extension and adaptation are necessary. Whilst existing control frameworks (e.g., ROS, OPC-UA) allow for the robust integration of complex robotic systems, they are not compatible with highly efficient maintenance and extension in the face of changing requirements and obsolescence issues over decades-long periods. We present the CorteX software framework as well as results showing its effectiveness in addressing the above issues, whilst being demonstrated through hardware that is representative of real-world fusion applications.</t>
  </si>
  <si>
    <t>Santana, Khalil G. Queiroz de; Schwarz, Marcos; Wangham, Michelle Silva</t>
  </si>
  <si>
    <t>Cybersecurity Testbeds for IoT: A Systematic Literature Review and Taxonomy</t>
  </si>
  <si>
    <t>https://doi.org/10.5753/jisa.2024.4363</t>
  </si>
  <si>
    <t>10.5753/jisa.2024.4363</t>
  </si>
  <si>
    <t>&lt;jats:p&gt;Researchers across the globe are carrying out numerous experiments related to cybersecurity, such as botnet dispersion, intrusion detection systems powered by machine learning, and others, to explore these topics in many different contexts and environmental settings. One current research topic is the behavior of Internet of Things (IoT) devices, as they increasingly become a common feature of homes, offices, and companies.. Network testing environments which are designated as testbeds, are boosting the effectiveness of network research. However, exploratory studies in IoT cybersecurity may include a wide range of requirements. This article seeks to carry out a survey of IoT cybersecurity testbeds. A critical systematic literature review was conducted to select relevant articles, by applying a novel taxonomy to classify the testbeds. The surveyed testbeds are classified in terms of their primary target domain and other features such as fidelity, heterogeneity, scalability, security, reproducibility, flexibility, and measurability. Furthermore, we have compared the testbeds with regard to each feature. Thus, the main contribution made by this study lies in a) the insights it provides into the state-of-the-art in IoT cybersecurity testbeds, and b) the emphasis laid on the main benefits and limitations that were found in the surveyed testbeds.&lt;/jats:p&gt;</t>
  </si>
  <si>
    <t>Yudidharma, Arya; Nathaniel, Nicholas; Gimli, Tang Nyquel; Achmad, Said; Kurniawan, Aditya</t>
  </si>
  <si>
    <t>A systematic literature review: Messaging protocols and electronic platforms used in the internet of things for the purpose of building smart homes</t>
  </si>
  <si>
    <t>https://doi.org/10.1016/j.procs.2022.12.127</t>
  </si>
  <si>
    <t>10.1016/j.procs.2022.12.127</t>
  </si>
  <si>
    <t>Internet of Things is a paradigm that aims at connectivity for everything, such as computing devices, machines, objects, people and so on. Messaging protocols and electronic platforms are needed in the implementation of Internet of Things(IoT) based smart homes. These messaging protocols and electronic platforms enable the communication between home appliances and devices to happen. This paper would like to determine the commonly used messaging protocols and electronic platforms, and the messaging protocols' performance comparison, in building smart homes purposes, by conducting a Systematic Literature Review (SLR). Based on our study, we found out that the commonly used messaging protocols are MQTT, CoAP, AMQP and DDS, and it shows that MQTT performs better than other protocols as it has wide network bandwidth and a low size packets transferred. The commonly used electronic platforms are Raspberry Pi, Arduino and DDS.</t>
  </si>
  <si>
    <t>Abdul, Samir; Dhanesha, Harsh Kaushik; Pelz, Oliver; Fette, Marc; Wulfsberg, Jens P.; Holtmannspötter, Jens</t>
  </si>
  <si>
    <t>Data-Based Process Monitoring for Structural Bonding of Fiber-Reinforced Thermoplastics in Aviation</t>
  </si>
  <si>
    <t>https://doi.org/10.1109/iccar64901.2025.11072977</t>
  </si>
  <si>
    <t>10.1109/iccar64901.2025.11072977</t>
  </si>
  <si>
    <t>Fortes, Sergio; Hidalgo-Triana, Noelia; Sánchez-la-Chica, Juan-Manuel; García-Ceballos, María-Luz; Cantizani-Estepa, Juan; Pérez-Latorre, Andrés-Vicente; Baena, Eduardo; Pineda, Andrés; Barrios-Corpa, Jorge; García-Marín, Alberto</t>
  </si>
  <si>
    <t>Smart Tree: An Architectural, Greening and ICT Multidisciplinary Approach to Smart Campus Environments.</t>
  </si>
  <si>
    <t>https://doi.org/10.3390/s21217202</t>
  </si>
  <si>
    <t>10.3390/s21217202</t>
  </si>
  <si>
    <t>At present, climate change, pollution, and uncontrolled urbanism threaten not only natural ecosystems, but also the urban environment. Approaches to mitigate these challenges and able to provide an alternative for the use of the space are deemed to be multidisciplinary, combining architecture, vegetation integration, circular economy and information and communications technologies (ICT). University campuses are a key scenario to evaluate such solutions as their student and research community is intrinsically willing to support these experiences and provide a wide knowledge on the fields necessary for their design and implementation. However, the creation of areas combining usability and sustainability is commonly lacking a multidisciplinary approach combining all these different perspectives. Hence, the present work aims to overcome this limitation by the development of a novel integrated approach for campus spaces for co-working and leisure, namely a “Smart Tree”, where novel architecture, furniture design, flora integration, environmental sensoring and communications join together. To this end, a survey of the literature is provided, covering related approaches as well as general principles behind them. From this, the general requirements and constraints for the development of the Smart Tree area are identified, establishing the main interactions between the architecture, greening and ICT perspectives. Such requirements guide the proposed system design and implementation, whose impact on the environment is analyzed. Finally, the research challenges and lessons learned for their development are identified in order to support future works.</t>
  </si>
  <si>
    <t>Alsaraireh, Amer; AL-Majali, Ahmad</t>
  </si>
  <si>
    <t>The Nexus Between Digital Transformation and Economic Efficiency: Evidence from Selected Countries</t>
  </si>
  <si>
    <t>https://doi.org/10.1007/978-3-031-39158-3_37</t>
  </si>
  <si>
    <t>10.1007/978-3-031-39158-3_37</t>
  </si>
  <si>
    <t>Freitas, Luis; Silva, Marco; Vale, Gabriel; Avram, Camelia; Lopes, Helena; Pereira, Filipe; Leal, Nuno; Machado, José</t>
  </si>
  <si>
    <t>OPC UA and MQTT performance analysis within a unified namespace context</t>
  </si>
  <si>
    <t>https://doi.org/10.1016/j.iot.2025.101734</t>
  </si>
  <si>
    <t>10.1016/j.iot.2025.101734</t>
  </si>
  <si>
    <t>Tsmots, I. G.; Opotiak, Yu. V.; Obelovska, K. M.; Tesliuk, S. V.</t>
  </si>
  <si>
    <t>Methods and means of conflict-free data exchange in the group of mobile robotic platforms</t>
  </si>
  <si>
    <t>https://doi.org/10.23939/ujit2024.01.065</t>
  </si>
  <si>
    <t>10.23939/ujit2024.01.065</t>
  </si>
  <si>
    <t>&lt;jats:p&gt;When using groups of mobile robotic platforms (MRP), problems arise related to the management of individual platforms, the organization of cooperation in the group, and the management of the group as a whole. Management of the MRP group involves managing the actions of individual platforms to achieve the group's overall goal. To ensure the management of the MRP group in such a case, it is advisable to choose a hybrid method that requires solving the problem of conflict-free data exchange and control commands between the MRPs in the group. To solve this problem, it is proposed to improve the relevant methods and tools. The scientific novelty of the obtained research results is that a method of multi-channel conflict-free data exchange has been developed, which provides a real-time mode due to the coordination of the intensity of data arrival with the intensity of access. The method of controlling the movement of a group of mobile robotic platforms has been improved, which, by taking into account the changing parameters of the platforms and the changing state of the surrounding environment, provides effective management of the MRP group in real time. The practical significance of the research results is that it is proposed to use the CSMA/CA slotted mechanism for non-time-critical traffic to improve performance, and for time-critical traffic, coordinator-controlled access using guaranteed time slots. The hybrid method of management takes into account the advantages of centralized and distributed depending on specific tasks and conditions of use. It is proposed to use a multi-channel device for conflict-free exchange using the method of time allocation of RAM resources for data exchange in hybrid control. It is shown that global low-power networks LPWANs (Low-Power Wide Area Networks) can be used to transmit small blocks of data at a low speed when exchanging with MRP. It is proposed to use the slotted CSMA/CA mechanism for the transmission of non-time-critical traffic, and for time-critical traffic, coordinator-controlled access using guaranteed time slots. It is shown that the performance of the network during the conflict-free access period CFP depends on the results of the distribution of guaranteed GTS time slots among active users. LoRa technology was selected for long-distance data exchange between MRPs, which at the MAC (Media Access Control) sublayer allows for transmission planning and communication management between end devices and gateways, avoiding collisions and optimizing network performance.&lt;/jats:p&gt;</t>
  </si>
  <si>
    <t>Raptis, Theofanis P.; Passarella, Andrea; Conti, Marco</t>
  </si>
  <si>
    <t>A Survey on Industrial Internet With ISA100 Wireless</t>
  </si>
  <si>
    <t>https://doi.org/10.1109/access.2020.3019665</t>
  </si>
  <si>
    <t>10.1109/access.2020.3019665</t>
  </si>
  <si>
    <t>We present a detailed survey of the literature on the ISA100 Wireless industrial Internet standard (also known as ISA100.11a or IEC 62734). ISA100 Wireless is the IEEE 802.15.4-compatible wireless networking standard “Wireless Systems for Industrial Automation: Process Control and Related Applications”. It features technologies such as 6LoWPAN, which renders it ideal for industrial Internet edge applications. The survey focuses on the state of the art research results in the frame of ISA100 Wireless from a holistic point of view, including aspects like communication optimization, routing mechanisms, real-time control, energy management and security. Additionally, we present a set of reference works on the related deployments around the globe (experimental testbeds and real-terrain installations), as well as of the comparison to and co-existence with another highly relevant industrial standard, WirelessHART. We conclude by discussing a set of open research challenges.</t>
  </si>
  <si>
    <t>Saleem, Amjad; Shah, Sahar; Iftikhar, Hasnain; Zywiołek, Justyna; Albalawi, Olayan</t>
  </si>
  <si>
    <t>A Comprehensive Systematic Survey of IoT Protocols: Implications for Data Quality and Performance</t>
  </si>
  <si>
    <t>https://doi.org/10.1109/access.2024.3486927</t>
  </si>
  <si>
    <t>10.1109/access.2024.3486927</t>
  </si>
  <si>
    <t>Al-Hawawreh, Muna; Alazab, Mamoun; Ferrag, Mohamed Amine; Hossain, M. Shamim</t>
  </si>
  <si>
    <t>Securing the Industrial Internet of Things against ransomware attacks: A comprehensive analysis of the emerging threat landscape and detection mechanisms</t>
  </si>
  <si>
    <t>https://doi.org/10.1016/j.jnca.2023.103809</t>
  </si>
  <si>
    <t>10.1016/j.jnca.2023.103809</t>
  </si>
  <si>
    <t>Gaffurini, Massimiliano; Brunelli, Enrico; Brandão, Dennis; Depari, Alessandro; Flammini, Alessandra; Rinaldi, Stefano; Sisinni, Emiliano; Ferrari, Paolo</t>
  </si>
  <si>
    <t>Wide area, IoT-based PID control of slow systems over LoRaWAN</t>
  </si>
  <si>
    <t>https://doi.org/10.1109/metroind4.0iot66048.2025.11122052</t>
  </si>
  <si>
    <t>10.1109/metroind4.0iot66048.2025.11122052</t>
  </si>
  <si>
    <t>Setka, Vlastimil; Jezek, Ondrej; Novickis, Rihards</t>
  </si>
  <si>
    <t>ETFA - Modular Signal Processing Unit for Motion Control Applications Based on System-on-Chip with FPGA</t>
  </si>
  <si>
    <t>https://doi.org/10.1109/etfa.2019.8869121</t>
  </si>
  <si>
    <t>10.1109/etfa.2019.8869121</t>
  </si>
  <si>
    <t>Motion control systems with distributed architecture where multiple input/output devices are connected to the upper layer controller by fast digital communication (fieldbus) became an industrial standard. This paper presents design of a modular input/output device which can process signals from multiple sensors, drive multiple actuators and act as a Slave or Master node in EtherCAT fieldbus network.User-defined algorithms can be easily implemented to preprocess input signals, combine multiple signals or close local control loops with extremely high sampling rates which makes the difference to standard off-the-shelf solutions. To meet these requirements and simplify hardware design, our device is based on System-on-Chip with both programmable logic (FPGA) and classic processor (CPU) ARM cores. Data processing including user algorithms can be done entirely in FPGA which provides very low latency and no jitter, and also on CPU for more complex computations with advantage of tight integration between FPGA and CPU. In this paper we provide description of hardware design, system architecture and typical applications.</t>
  </si>
  <si>
    <t>Qian, Cheng; Liu, Xing; Ripley, Colin; Qian, Mian; Liang, Fan; Yu, Wei</t>
  </si>
  <si>
    <t>Digital Twin—Cyber Replica of Physical Things: Architecture, Applications and Future Research Directions</t>
  </si>
  <si>
    <t>https://doi.org/10.3390/fi14020064</t>
  </si>
  <si>
    <t>10.3390/fi14020064</t>
  </si>
  <si>
    <t>&lt;jats:p&gt;The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privacy.&lt;/jats:p&gt;</t>
  </si>
  <si>
    <t>Filip, Ion-Dorinel; Iliescu, Cristian-Mihai; Pop, Florin</t>
  </si>
  <si>
    <t>Assertive, Selective, Scalable IoT-Based Warning System.</t>
  </si>
  <si>
    <t>https://doi.org/10.3390/s22031015</t>
  </si>
  <si>
    <t>10.3390/s22031015</t>
  </si>
  <si>
    <t>With the evolution of technology, developed systems have become more complex and faster. Thirty years ago, there were no protocols or databases dedicated to developing and implementing IoT projects. We currently have protocols such as MQTT, AMQP, CoAP, and databases such as InfluxDB. They are built to support a multitude of data from an IoT system and scale very well with the system. This paper presents the design and implementation of an IoT alert system that uses MQTT and InfluxDB to collect and store data. We design a scalable system to display assertive alerts on a Raspberry Pi. Each user can select a subset of alerts in our system using a web interface. We present a bibliographic study of SoTA, the proposed architecture, the challenges posed by such a system, a set of tests for the performance and feasibility of the solution, and a set of conclusions and ideas for further developments.</t>
  </si>
  <si>
    <t>Mäule, Johannes; Leinenbach, Frank; Leich, Thomas; Diedrich, Christian</t>
  </si>
  <si>
    <t>Faster Implementation Time Through Interoperability: Let's Prove it!</t>
  </si>
  <si>
    <t>https://doi.org/10.1109/etfa65518.2025.11205737</t>
  </si>
  <si>
    <t>10.1109/etfa65518.2025.11205737</t>
  </si>
  <si>
    <t>Di Orio, Giovanni; Marques, Francisco; Prates, Pedro; Lourenço, Andre; Silva, Pedro; Reis, Miguel; Faustino, Pedro; Maló, Pedro; Soares, Salviano Pinto</t>
  </si>
  <si>
    <t>AI-Enhanced Process Digital Twins for Circular Manufacturing: Design, Architecture, and Deployment</t>
  </si>
  <si>
    <t>https://doi.org/10.1109/dcoss-iot65416.2025.00165</t>
  </si>
  <si>
    <t>10.1109/dcoss-iot65416.2025.00165</t>
  </si>
  <si>
    <t>Covrig, Tudor; Gligor, Adrian; Duka, Adrian-Vasile; Roșca, Ovidiu-Alexandru</t>
  </si>
  <si>
    <t>Web Based PLC Integrated Process Simulator</t>
  </si>
  <si>
    <t>https://doi.org/10.1007/978-3-031-22375-4_72</t>
  </si>
  <si>
    <t>10.1007/978-3-031-22375-4_72</t>
  </si>
  <si>
    <t>Asynchronous Peer-to-Peer Federated Capability-Based Targeted Ransomware Detection Model for Industrial IoT</t>
  </si>
  <si>
    <t>https://doi.org/10.1109/access.2021.3124634</t>
  </si>
  <si>
    <t>10.1109/access.2021.3124634</t>
  </si>
  <si>
    <t>Industrial Internet of Thing (IIoT) systems are considered attractive ransomware targets because they operate critical services that affect human lives and have substantial operational costs. The major concern is with brownfield IIoT systems since they have legacy edge systems that are not fully prepared to integrate with IoT technologies. Various existing security solutions can detect and mitigate such attacks but are often ineffective due to the heterogeneous and distributed nature of the IIoT systems and their interoperability demands. Consequently, developing new detection solutions is essential. Therefore, this paper proposes a novel targeted ransomware detection model tailored for IIoT edge systems. It uses Asynchronous Peer-to-Peer Federated Learning (AP2PFL) and Deep Learning (DL) techniques as a targeted ransomware detection algorithm. The proposed model consists of two modules: 1) Data Purifying Module (DPM) aims to refine and reconstruct a valuable and robust representation of data based on Contractive Denoising Auto-Encoder (CDAE), and 2) Diagnostic and Decision Module (DDM) is used to identify targeted ransomware and its stages based on Deep Neural Network (DNN) and Batch Normalization (BN). The main strengths of this proposed model include: 1) each edge gateway’s modules work cooperatively with its neighbors in an asynchronous manner and without a third party, 2) it deals with both homogeneous and heterogeneous data, and 3) it is robust against evasion attacks. An exhaustive set of experiments on three datasets prove the high effectiveness of the proposed model in detecting targeted ransomware (known and unknown attacks) in brownfield IIoT and the superiority over the state-of-the-art models.</t>
  </si>
  <si>
    <t>Im, Yerin; Lim, Mingyu</t>
  </si>
  <si>
    <t>E-MQTT: End-to-End Synchronous and Asynchronous Communication Mechanisms in MQTT Protocol</t>
  </si>
  <si>
    <t>https://doi.org/10.3390/app132212419</t>
  </si>
  <si>
    <t>10.3390/app132212419</t>
  </si>
  <si>
    <t>&lt;jats:p&gt;Message Queuing Telemetry Transport (MQTT) enables asynchronous confirmation of message reception by brokers but lacks a way for publishers to know when subscribers receive their messages without adding additional communication overhead. This paper addresses this problem by improving MQTT to establish end-to-end communication between a publisher and subscribers, reducing message exchanges, using what is called End-to-End MQTT (E-MQTT). In E-MQTT, a publisher sets the number of responses that it will wait for when it sends a message. After the broker collects the response messages from subscribers, it sends one aggregated response back to the publisher. The publisher also can receive the response message synchronously or asynchronously. Experimental results consistently show that E-MQTT outperforms traditional MQTT in terms of delay, especially when the publisher needs to monitor when its query message is received by subscribers. Although E-MQTT packets are slightly larger due to additional fields, the difference in packet size compared to MQTT is not significant.&lt;/jats:p&gt;</t>
  </si>
  <si>
    <t>Mektepbaeva, Aruzhan; Medarov, Almasbek; Kulmuratova, Aitolkyn</t>
  </si>
  <si>
    <t>Analysis of Penetration Testing Methods for Specific IoT Device: IP Camera</t>
  </si>
  <si>
    <t>https://doi.org/10.1109/sist61555.2024.10629431</t>
  </si>
  <si>
    <t>10.1109/sist61555.2024.10629431</t>
  </si>
  <si>
    <t>Moon, Seo Yeon; Jo, Byung Hyun; Azzaoui, Abir El; Singh, Sushil Kumar; Park, Jong Hyuk</t>
  </si>
  <si>
    <t>Edge-Fog Enhanced Post-Quantum Network Security: Applications, Challenges and Solutions</t>
  </si>
  <si>
    <t>https://doi.org/10.32604/cmc.2025.062966</t>
  </si>
  <si>
    <t>10.32604/cmc.2025.062966</t>
  </si>
  <si>
    <t>Ultra Light-weight Encryption for Securing D2D Communication of ESP8266 IoT devices in Wireless Mesh Networks</t>
  </si>
  <si>
    <t>https://doi.org/10.1109/isncc55209.2022.9851780</t>
  </si>
  <si>
    <t>10.1109/isncc55209.2022.9851780</t>
  </si>
  <si>
    <t>System-on-chip (SoC) design is extensively used in the Internet of Things (IoT) devices, cyber-physical systems, and embedded systems. However, due to the increasing complexity of on-chip components and the long supply chain, SoC devices, such as ESP8266 IoT devices, are vulnerable to numerous cyberattacks. Consequently, developing and implementing security solutions for protecting these devices and their Device-to-Device (D2D) communications is increasingly becoming crucial. For the first time, this paper presents and investigates securing D2D communication of limited resources ESP8266 IoT devices in Wireless Mesh Network(WMN) using ultra light-weight encryption algorithms, including Speck Small and Diffie-Hellman key exchange using Curve 25519. This is important for protecting these limited-resources devices' data confidentiality and integrity in critical applications. The experiment results prove that Speck Small and Curve25519 are more efficient than other core algorithms in computation time, demonstrating their suitability for ESP8266 IoT devices in WMN.</t>
  </si>
  <si>
    <t>Krupych, Andriy; Elsts, Edgars</t>
  </si>
  <si>
    <t>MQTT Latency Evaluation in Cloud-Based Spectrometer Control</t>
  </si>
  <si>
    <t>https://doi.org/10.23939/acps2025.02.151</t>
  </si>
  <si>
    <t>10.23939/acps2025.02.151</t>
  </si>
  <si>
    <t>&lt;jats:p&gt;This paper investigates latency characteristics of MQTT communication in remote spectrometer control. A comparative study of AWS IoT Core and HiveMQ broker implementations across various Quality of Service levels has been presented. Methodologies include detailed measurements of control command and data feedback latencies, followed by statistical analysis. Initial findings have demonstrated a monotonic increase in latency and its variability (jitter) as QoS levels rise for both brokers, confirming the inherent MQTT trade-off between reliability and speed. AWS IoT Core consistently exhibits lower modal latencies and more concentrated distributions across all QoS levels compared to HiveMQ, suggesting superior average performance and consistency. The presented analysis has provided insights into how broker choice and QoS configuration impact remote control performance. Results can be useful for the development of more reliable, low- latency, and efficient remote laboratory systems for advanced scientific experimentation.&lt;/jats:p&gt;</t>
  </si>
  <si>
    <t>Rahaman, Mosiur; Cajes, Nicko; Gupta, Brij B.; Chui, Kwok Tai; Nedjah, Nadia</t>
  </si>
  <si>
    <t>Defending against smishing attacks: State-of-the-art techniques, challenges, limitations, and future directions</t>
  </si>
  <si>
    <t>https://doi.org/10.1016/j.comnet.2025.111758</t>
  </si>
  <si>
    <t>10.1016/j.comnet.2025.111758</t>
  </si>
  <si>
    <t>Vujovic, Ivan; Koprivica, Mladen; Durisic, Zeljko</t>
  </si>
  <si>
    <t>Monitoring and management solution for distributed PV systems based on cloud and IoT technologies</t>
  </si>
  <si>
    <t>https://doi.org/10.1109/telfor56187.2022.9983768</t>
  </si>
  <si>
    <t>10.1109/telfor56187.2022.9983768</t>
  </si>
  <si>
    <t>Usage of electrical energy obtained from the renewable sources are rapidly increasing. Distributed solar systems will be widely used. The paper propose solution for monitoring and management of distributed Photo Voltaic (PV) systems from the integrated center. The main parts of the system are cloud infrastructure at the Data Center and Internet of Things (IoT) devices at distributed sites. Also, networks that are used for communication between main parts are important piece of the proposed solution.</t>
  </si>
  <si>
    <t>Karlsson, Emil; Jhunjhunwala, Pranay; Devi, Pirya; Niininen, Tommi; Nyquist, Harry; Vyatkin, Valeriy</t>
  </si>
  <si>
    <t>Reducing Commissioning Efforts in the Process Industry Through Open Standards</t>
  </si>
  <si>
    <t>https://doi.org/10.1109/etfa65518.2025.11205553</t>
  </si>
  <si>
    <t>10.1109/etfa65518.2025.11205553</t>
  </si>
  <si>
    <t>Cheimaras, Vasileios; Trigkas, Athanasios; Papageorgas, Panagiotis; Piromalis, Dimitrios; Sofianopoulos, Emmanouil</t>
  </si>
  <si>
    <t>A Low-Cost Open-Source Architecture for a Digital Signage Emergency Evacuation System for Cruise Ships, Based on IoT and LTE/4G Technologies</t>
  </si>
  <si>
    <t>https://doi.org/10.3390/fi14120366</t>
  </si>
  <si>
    <t>10.3390/fi14120366</t>
  </si>
  <si>
    <t>&lt;jats:p&gt;During a ship evacuation, many people panic as they do not know the direction that leads to the emergency muster station. Moreover, sometimes passengers get crowded in corridors or stairs, so they cannot save their lives. This paper proposes an IoT-enabled architecture for digital signage systems that directs passengers to the muster stations of a cruise ship by following the less dangerous route. Thus, crews’ and passengers’ safety risks during a ship evacuation can be low, and human health hazards may be limited. The system is based on a low-cost and open-source architecture that can also be used in a variety of fields in industrial IoT applications. The proposed modular digital signage architecture utilizes Light Emitting Diode (LED) strips that are remotely managed through a private Long-Term Evolution (LTE)/Fourth Generation (4G) cellular network. Publish–subscribe communication protocols were used for the control of the digital strips and particularly through a Message Queuing Telemetry Transport (MQTT) broker who publishes/subscribes every message to specific topics of the realized IoT platform, while the overall digital signage system centralization was implemented with an appropriate dashboard supported from an open-source RESTful API.&lt;/jats:p&gt;</t>
  </si>
  <si>
    <t>Welzel, Kira; Wilde, Anna-Sophia; Bulut, Yasin; Juraschek, Max; Herrmann, Christoph</t>
  </si>
  <si>
    <t>Framework for Modeling and Evaluating Information Flows in Flexible Manufacturing Systems</t>
  </si>
  <si>
    <t>https://doi.org/10.1007/978-3-658-45889-8_12</t>
  </si>
  <si>
    <t>10.1007/978-3-658-45889-8_12</t>
  </si>
  <si>
    <t>&lt;jats:title&gt;Abstract&lt;/jats:title&gt;&lt;jats:p&gt;In the manufacturing industry, flexible manufacturing systems (FMS) are gaining importance in meeting the demand for product customization while maintaining high manufacturing efficiency. The digitization of physical manufacturing additionally expands the relevance of industrial communication networks, resulting in complex interactions of material, energy and information flows that pose challenges for the manufacturing system design. Existing decision support frameworks for the design of FMS mainly incorporate the evaluation of the material flow. A holistic view of FMS requires the consideration of the interdependencies of the material, energy and information flow. Particularly, the performance of the material flow of a manufacturing system increasingly depends on the information flow of the connected communication network. Against this background, the paper presents a simulation-based framework that enables the integrated quantitative evaluation of material, energy and information flows in FMS as decision support in manufacturing system design. The framework contains a modular reference model of a generic FMS and its communication network to reduce modeling efforts. It further provides a procedure and an evaluation model that enable a multi-criteria comparison of different FMS configurations. The functionality and benefits of the developed framework are examined with the help of an exemplary case study involving an FMS for producing and recycling polymer parts.&lt;/jats:p&gt;</t>
  </si>
  <si>
    <t>Yu, Zhuoquan; Chen, Yifan; Leng, Jichao; Ji, Huidong; Zheng, Lirong; Zou, Zhuo</t>
  </si>
  <si>
    <t>SAIndust: A Self-Aware Heterogeneous Computing Framework for Industrial Internet of Things</t>
  </si>
  <si>
    <t>https://doi.org/10.1109/jiot.2025.3567545</t>
  </si>
  <si>
    <t>10.1109/jiot.2025.3567545</t>
  </si>
  <si>
    <t>Ebadinezhad, Sahar; Abdillahi, Abdiwahab Yousuf; Fareed, Ghufran Sabah; Tuama, Yasir Abbas; Maombe, Joyeuse; Igwe, Ifeanyi Happy</t>
  </si>
  <si>
    <t>Developing and Comparing Protocols for Low-Latency IoT Networking</t>
  </si>
  <si>
    <t>https://doi.org/10.1109/icmlas64557.2025.10967590</t>
  </si>
  <si>
    <t>10.1109/icmlas64557.2025.10967590</t>
  </si>
  <si>
    <t>Marat Muratuly, Chata</t>
  </si>
  <si>
    <t>Methodology for the Implementation and Operation of Multivendor Automation Systems at Large-Scale Industrial Facilities</t>
  </si>
  <si>
    <t>https://doi.org/10.70315/uloap.ulete.2025.0203016</t>
  </si>
  <si>
    <t>10.70315/uloap.ulete.2025.0203016</t>
  </si>
  <si>
    <t>&lt;jats:p&gt;In the context of the Fourth Industrial Revolution (Industry 4.0), ensuring the interaction of equipment and software products from different vendors at large-scale industrial facilities becomes an important element for increasing operational efficiency and sustaining competitive advantages. This study is aimed at forming and methodologically substantiating a comprehensive approach to the implementation and operation of multivendor automation systems. The main objective is to propose a unified mechanism for integrating heterogeneous components that reduces risks associated with incompatibility, cyberthreats, and unwarranted operational costs. The methodological basis of the work relies on a systematic analysis of recent scientific literature, the comparison and application of international standards, in particular IEC 62264, as well as an empirical investigation of a practical case involving the creation of an integrated infrastructure at a strategically significant facility—the company ????????? ????? ??????. As a result, a phased methodology has been developed that covers pre-project surveying, the selection of an architecture based on a service-oriented approach (SOA), the unification of data-exchange protocols (OPC UA, MQTT), and the development of a strategy for managing the system life cycle. The scientific novelty lies in the proposal of an adaptive model for managing integration projects that takes into account both the specific features of industrial sites and the accelerated dynamics of technological transformations. The materials presented in the article possess practical value for system architects, automation specialists, managers of manufacturing enterprises, and experts in industrial cybersecurity.&lt;/jats:p&gt;</t>
  </si>
  <si>
    <t>Hnamte, Vanlalruata; Hussain, Jamal</t>
  </si>
  <si>
    <t>DCNNBiLSTM: An Efficient Hybrid Deep Learning-Based Intrusion Detection System</t>
  </si>
  <si>
    <t>https://doi.org/10.1016/j.teler.2023.100053</t>
  </si>
  <si>
    <t>10.1016/j.teler.2023.100053</t>
  </si>
  <si>
    <t>Al-Okby, Mohammed Faeik Ruzaij; Junginger, Steffen; Roddelkopf, Thomas; Thurow, Kerstin</t>
  </si>
  <si>
    <t>RTIMS: Real-Time Indoor Monitoring Systems: A Comprehensive Review</t>
  </si>
  <si>
    <t>https://doi.org/10.3390/app152413217</t>
  </si>
  <si>
    <t>10.3390/app152413217</t>
  </si>
  <si>
    <t>&lt;jats:p&gt;Real-time indoor monitoring systems (RTIMS) are a key component of modern technological infrastructures in smart and automated buildings and facilities. They enable the continuous collection, analysis, and response to environmental data under strict time constraints, ensuring optimal system performance. These systems are designed to operate with high accuracy and low latency, making them essential in situations and events where timely decision-making is critical. Their applications range from industrial automation and production line monitoring to smart cities, smart homes, and healthcare for the elderly and disabled. The significant advances in electronics, communications, and software—particularly in Internet of Things (IoT) technologies and data transfer protocols—are reflected in the diversity of real-time monitoring systems, in terms of the parameters that can be monitored, the control and command systems that can be used, and the actuators that respond to commands. In this paper, the concepts, design, components, and working methods of these systems are discussed in detail. The latest research on real-time indoor monitoring systems published over the past five years is reviewed, resulting in the selection of 143 studies that met the inclusion criteria. This review synthesizes the technologies used for data capture, transmission, processing, storage, and visualization, as well as the approaches employed for alerts and system integration. By presenting these technical insights in a structured manner, the article provides a practical reference for researchers and practitioners aiming to design and implement real-time monitoring systems more efficiently and effectively.&lt;/jats:p&gt;</t>
  </si>
  <si>
    <t>Astolfi, Davide; Bellagente, Paolo; Brandão, Dennis; Iacono, Salvatore Dello; Depari, Alessandro; Ferrari, Paolo; Flammini, Alessandra; Gaffurini, Massimiliano; Pasetti, Marco; Rinaldi, Stefano; Sisinni, Emiliano; Vasile, Antony</t>
  </si>
  <si>
    <t>ICT-Equipped Portable E-Bike Charging Station Powered by Renewables for Mass Cycling Events</t>
  </si>
  <si>
    <t>https://doi.org/10.1109/metroautomotive61329.2024.10615741</t>
  </si>
  <si>
    <t>10.1109/metroautomotive61329.2024.10615741</t>
  </si>
  <si>
    <t>Tapia, Endika; Sastoque-Pinilla, Leonardo; Lopez-Novoa, Unai; Bediaga, Iñigo; López de Lacalle, Norberto</t>
  </si>
  <si>
    <t>Assessing Industrial Communication Protocols to Bridge the Gap between Machine Tools and Software Monitoring.</t>
  </si>
  <si>
    <t>https://doi.org/10.3390/s23125694</t>
  </si>
  <si>
    <t>10.3390/s23125694</t>
  </si>
  <si>
    <t>Industrial communication protocols are protocols used to interconnect systems, interfaces, and machines in industrial environments. With the advent of hyper-connected factories, the role of these protocols is gaining relevance, as they enable the real-time acquisition of machine monitoring data, which can fuel real-time data analysis platforms that conduct tasks such as predictive maintenance. However, the effectiveness of these protocols is largely unknown and there is a lack of empirical evaluation which compares their performance. In this work, we evaluate OPC-UA, Modbus, and Ethernet/IP with three machine tools to assess their performance and their complexity of use from a software perspective. Our results show that Modbus provides the best latency figures and communication has different complexities depending on the used protocol, from the software perspective.</t>
  </si>
  <si>
    <t>Akinremi, Taiwo Peter; Appiah, Joel Kwesi; Asadi, Amir Reza; Ibitoye, Opetunde; Jayathilake, Hansinie Madushika; Said, Hazem</t>
  </si>
  <si>
    <t>Systematic Literature Review of Cybersecurity Testbeds for Industrial Internet of Things.</t>
  </si>
  <si>
    <t>https://doi.org/10.1109/satc65530.2025.11137109</t>
  </si>
  <si>
    <t>10.1109/satc65530.2025.11137109</t>
  </si>
  <si>
    <t>Santana, Khalil G. Q. de; Meyer, Bruno Henrique; Gemmer, Davi Daniel; Schwarz, Marcos; Wangham, Michelle S.</t>
  </si>
  <si>
    <t>Estendendo o MENTORED Testbed para a execução de experimentos de cibersegurança multi-cluster e IoT</t>
  </si>
  <si>
    <t>https://doi.org/10.5753/sbrc.2025.6390</t>
  </si>
  <si>
    <t>10.5753/sbrc.2025.6390</t>
  </si>
  <si>
    <t>&lt;jats:p&gt;Dispositivos IoT são amplamente utilizados em diversas áreas, mas frequentemente apresentam vulnerabilidades críticas, como senhas simples, serviços expostos e software desatualizado. Comprometidos, podem formar botnets e ameaçar sistemas na Internet. Para mitigar essas fraquezas de forma ética e segura, é necessário um ambiente para experimentação dedicado, um testbed, para o estudo de ataques e desenvolvimento de soluções de segurança. Este trabalho amplia o MENTORED Testbed com integração de dispositivos IoT, criando um testbed multi-cluster para experimentos em diferentes arquiteturas. Dois cenários de ataque foram simulados para avaliar a extensão desenvolvida, demonstrando sua escalabilidade e aplicabilidade na segurança IoT.&lt;/jats:p&gt;</t>
  </si>
  <si>
    <t>Multisensor Platform for Underwater Object Detection and Localization Applications</t>
  </si>
  <si>
    <t>https://doi.org/10.1109/oceans47191.2022.9977032</t>
  </si>
  <si>
    <t>10.1109/oceans47191.2022.9977032</t>
  </si>
  <si>
    <t>Reliable object detection and localization in various underwater applications is still challenging. Existing sensors are limited to particular applications and/or environmental boundaries. We present an architecture with a uniform communication protocol for a multi-sensor platform that enables a robust integration of different sensor systems. Further, we propose an extensible modular multi-sensor platform prototype to detect and localize objects with different properties in all environments. Our prototype combines magnetic, acoustic, and electrical sensors for object detection and localization. The functional prototype is ready for first measurements outside the laboratory environment.</t>
  </si>
  <si>
    <t>Wali, Arwa; Alshehry, Fatimah</t>
  </si>
  <si>
    <t>A Survey of Security Challenges in Cloud-Based SCADA Systems</t>
  </si>
  <si>
    <t>https://doi.org/10.3390/computers13040097</t>
  </si>
  <si>
    <t>10.3390/computers13040097</t>
  </si>
  <si>
    <t>&lt;jats:p&gt;Supervisory control and data acquisition (SCADA) systems enable industrial organizations to control and monitor real-time data and industrial processes. Migrating SCADA systems to cloud environments can enhance the performance of traditional systems by improving storage capacity, reliability, and availability while reducing technical and industrial costs. However, the increasing frequency of cloud cyberattacks poses a significant challenge to such systems. In addition, current research on cloud-based SCADA systems often focuses on a limited range of attack types, with findings scattered across various studies. This research comprehensively surveys the most common cybersecurity vulnerabilities and attacks facing cloud-based SCADA systems. It identifies four primary vulnerability factors: connectivity with cloud services, shared infrastructure, malicious insiders, and the security of SCADA protocols. This study categorizes cyberattacks targeting these systems into five main groups: hardware, software, communication and protocol-specific, control process, and insider attacks. In addition, this study proposes security solutions to mitigate the impact of cyberattacks on these control systems.&lt;/jats:p&gt;</t>
  </si>
  <si>
    <t>Patel, Maitri; Kateshia, Jyotin; Baxi, Dwij; Chaudhari, Devkumar; Patel, Harsh</t>
  </si>
  <si>
    <t>DripAlyze: internet of things based water leakage detection system for smart resource management</t>
  </si>
  <si>
    <t>https://doi.org/10.1007/s41870-025-02759-8</t>
  </si>
  <si>
    <t>10.1007/s41870-025-02759-8</t>
  </si>
  <si>
    <t>Leinenbach, Frank</t>
  </si>
  <si>
    <t>OPC UA for NDE: Integration, Challenges, and Prospects</t>
  </si>
  <si>
    <t>https://doi.org/10.1007/978-3-031-84477-5_63</t>
  </si>
  <si>
    <t>10.1007/978-3-031-84477-5_63</t>
  </si>
  <si>
    <t>Mirmarghabi, Mohammad; Afshar, Ahmad; Atriyanfar, Hajar</t>
  </si>
  <si>
    <t>Intrusion Detection System for Securing Agriculture 4.0 Against DDoS Attacks Using Deep Learning and Machine Learning Models</t>
  </si>
  <si>
    <t>https://doi.org/10.1109/icee67339.2025.11213827</t>
  </si>
  <si>
    <t>10.1109/icee67339.2025.11213827</t>
  </si>
  <si>
    <t>Freitas, Luis; Pereira, Filipe; Lopes, Helena; Avram, Camelia; Leal, Nuno; Morgado, Teresa; Machado, José</t>
  </si>
  <si>
    <t>OPC-UA vs. MQTT (UNS): Evaluating Alignment with RAMI4.0 Through Literature Review</t>
  </si>
  <si>
    <t>https://doi.org/10.1007/978-3-031-94223-5_37</t>
  </si>
  <si>
    <t>10.1007/978-3-031-94223-5_37</t>
  </si>
  <si>
    <t>Xu, Hao; Xu, Kai-Da</t>
  </si>
  <si>
    <t>A Single-Fed Dual-Band Orthogonal Circularly Polarized Filtering Antenna for 5G-Enabled IoV Applications</t>
  </si>
  <si>
    <t>https://doi.org/10.1109/jiot.2025.3608034</t>
  </si>
  <si>
    <t>10.1109/jiot.2025.3608034</t>
  </si>
  <si>
    <t>Garcia, Tonica P.; Aguilar, Aimee Rachel O.; Dela Vega, Juliah Faye T.; Macatumpag, Mary Margarette S.; Vaay, Mhikaella Mae M.; Tan Ai, Richard Josiah C.; Vicerra, Ryan Rhay P.; Bandala, Argel A.; Dadios, Elmer P.</t>
  </si>
  <si>
    <t>Connecting 3D Printer to the Industrial Internet of Things (IIoT) through MQTT Sparkplug B Protocol</t>
  </si>
  <si>
    <t>https://doi.org/10.1109/hnicem60674.2023.10589143</t>
  </si>
  <si>
    <t>10.1109/hnicem60674.2023.10589143</t>
  </si>
  <si>
    <t>https://doi.org/10.1007/978-3-030-48200-8_63-1</t>
  </si>
  <si>
    <t>10.1007/978-3-030-48200-8_63-1</t>
  </si>
  <si>
    <t>Hmissi, Fatma; Ouni, Sofiane</t>
  </si>
  <si>
    <t>SDN-DMQTT: SDN-Based Platform for Re-configurable MQTT Distributed Brokers Architecture</t>
  </si>
  <si>
    <t>https://doi.org/10.1007/978-3-031-63992-0_26</t>
  </si>
  <si>
    <t>10.1007/978-3-031-63992-0_26</t>
  </si>
  <si>
    <t>Seferagic, Amina; Famaey, Jeroen; De Poorter, Eli; Hoebeke, Jeroen</t>
  </si>
  <si>
    <t>Survey on Wireless Technology Trade-Offs for the Industrial Internet of Things.</t>
  </si>
  <si>
    <t>https://doi.org/10.3390/s20020488</t>
  </si>
  <si>
    <t>10.3390/s20020488</t>
  </si>
  <si>
    <t>Aside from vast deployment cost reduction, Industrial Wireless Sensor and Actuator Networks (IWSAN) introduce a new level of industrial connectivity. Wireless connection of sensors and actuators in industrial environments not only enables wireless monitoring and actuation, it also enables coordination of production stages, connecting mobile robots and autonomous transport vehicles, as well as localization and tracking of assets. All these opportunities already inspired the development of many wireless technologies in an effort to fully enable Industry 4.0. However, different technologies significantly differ in performance and capabilities, none being capable of supporting all industrial use cases. When designing a network solution, one must be aware of the capabilities and the trade-offs that prospective technologies have. This paper evaluates the technologies potentially suitable for IWSAN solutions covering an entire industrial site with limited infrastructure cost and discusses their trade-offs in an effort to provide information for choosing the most suitable technology for the use case of interest. The comparative discussion presented in this paper aims to enable engineers to choose the most suitable wireless technology for their specific IWSAN deployment.</t>
  </si>
  <si>
    <t>Dey, Mitra Tithi; Patra, Suman; Mitra, Sucharita</t>
  </si>
  <si>
    <t>Shaping Intelligent Connectivity Using AI and IoT</t>
  </si>
  <si>
    <t>https://doi.org/10.4018/979-8-3693-8547-0.ch002</t>
  </si>
  <si>
    <t>10.4018/979-8-3693-8547-0.ch002</t>
  </si>
  <si>
    <t>&lt;jats:p&gt;This chapter explores the transformative impact of intelligent connectivity, driven by the convergence of Artificial Intelligence (AI) and the Internet of Things (IoT). It highlights how these technologies, coupled with 5G, edge computing, and blockchain, enable adaptive, context-aware systems that enhance efficiency and innovation. AI empowers decision-making and automation through data analysis, while IoT provides real-time data streams, creating a synergistic loop for continuous optimization. Applications span smart cities, homes, healthcare, industrial IoT, and transportation, delivering improved quality of life, operational efficiency, and resource management. Key challenges include data privacy, scalability, interoperability, and ethical considerations, with solutions like encryption, standards, and inclusive policies being crucial. The chapter also examines emerging trends such as AIoT, 5G, edge computing, and AI-driven IoT platforms, which promise real-time processing, autonomous systems, and scalability. This chapter also covers case studies on AI and IOT based systems.&lt;/jats:p&gt;</t>
  </si>
  <si>
    <t>Sharmila Kumari, N.; Vimala, H. S.; Pruthvi, C. N.; Shreyas, J.</t>
  </si>
  <si>
    <t>Holistic Survey on Security in IoT Application Layer: Attacks, Protocols, and Applications</t>
  </si>
  <si>
    <t>https://doi.org/10.1109/access.2024.3462170</t>
  </si>
  <si>
    <t>10.1109/access.2024.3462170</t>
  </si>
  <si>
    <t>Majeed, Hammad; Iftikhar, Tehreema</t>
  </si>
  <si>
    <t>Big Data and Machine Learning in Industry 6.0</t>
  </si>
  <si>
    <t>https://doi.org/10.1007/978-3-032-07278-8_7</t>
  </si>
  <si>
    <t>10.1007/978-3-032-07278-8_7</t>
  </si>
  <si>
    <t>Cho, Insu; Ju, Yonghan</t>
  </si>
  <si>
    <t>Trend Analysis of Factory Automation Using Topic Modeling</t>
  </si>
  <si>
    <t>https://doi.org/10.3390/pr13071952</t>
  </si>
  <si>
    <t>10.3390/pr13071952</t>
  </si>
  <si>
    <t>&lt;jats:p&gt;Factory automation (FA) is a vital technology that enhances manufacturing efficiency, reduces defect rates, and maximizes productivity in response to evolving market demands. This study analyzes global research and development (R&amp;amp;D) trends in FA based on patent information from major manufacturing countries. It also proposes growth directions for FA technology in South Korea, applying latent Dirichlet allocation (LDA) to identify key technologies for the Korean market. Specifically, FA-related technology is classified into five topics, with documents less likely to belong to a single topic being reclassified and analyzed as hybrid topics. Furthermore, this study analyzes the growth rate of FA-related technologies and the current level of technological emergence through a four-quadrant analysis, providing valuable insights into global R&amp;amp;D trends. The results demonstrate that artificial intelligence-related patents are important for FA. Further R&amp;amp;D is necessary, as the development of wireless communication technology suitable for industrial environments has become crucial and is a competitive technology for FA in terms of infrastructure and maintenance. Visual processing technology, which enables accurate decision making using artificial intelligence in a precise and constantly changing operating environment through FA, requires more attention to secure international competitiveness in the Korean market.&lt;/jats:p&gt;</t>
  </si>
  <si>
    <t>Fragkoulis, Dimitrios G.; Koumboulis, Fotis N.; Menexis, Antonios N.</t>
  </si>
  <si>
    <t>Edge Computing for Safe Control of a Parametric Multi-floor Manufacturing Process</t>
  </si>
  <si>
    <t>https://doi.org/10.1109/ines67149.2025.11078192</t>
  </si>
  <si>
    <t>10.1109/ines67149.2025.11078192</t>
  </si>
  <si>
    <t>Najar, Ashfaq Ahmad; Manohar Naik, S.</t>
  </si>
  <si>
    <t>DDoS attack detection using CNN-BiLSTM with attention mechanism</t>
  </si>
  <si>
    <t>https://doi.org/10.1016/j.teler.2025.100211</t>
  </si>
  <si>
    <t>10.1016/j.teler.2025.100211</t>
  </si>
  <si>
    <t>Ghiasvand, Erfan; Ray, Suprio; Iqbal, Shahrear; Dadkhah, Sajjad; Ghorbani, Ali A.</t>
  </si>
  <si>
    <t>Resilience Against APTs: A Provenance-Based IIoT Dataset for Cybersecurity Research</t>
  </si>
  <si>
    <t>https://doi.org/10.1007/978-3-032-10554-7_7</t>
  </si>
  <si>
    <t>10.1007/978-3-032-10554-7_7</t>
  </si>
  <si>
    <t>Gentile, Antonio Francesco; Macrì, Davide; Carnì, Domenico Luca; Greco, Emilio; Lamonaca, Francesco</t>
  </si>
  <si>
    <t>A Performance Analysis of Security Protocols for Distributed Measurement Systems Based on Internet of Things with Constrained Hardware and Open Source Infrastructures.</t>
  </si>
  <si>
    <t>https://doi.org/10.3390/s24092781</t>
  </si>
  <si>
    <t>10.3390/s24092781</t>
  </si>
  <si>
    <t>The widespread adoption of Internet of Things (IoT) devices in home, industrial, and business environments has made available the deployment of innovative distributed measurement systems (DMS). This paper takes into account constrained hardware and a security-oriented virtual local area network (VLAN) approach that utilizes local message queuing telemetry transport (MQTT) brokers, transport layer security (TLS) tunnels for local sensor data, and secure socket layer (SSL) tunnels to transmit TLS-encrypted data to a cloud-based central broker. On the other hand, the recent literature has shown a correlated exponential increase in cyber attacks, mainly devoted to destroying critical infrastructure and creating hazards or retrieving sensitive data about individuals, industrial or business companies, and many other entities. Much progress has been made to develop security protocols and guarantee quality of service (QoS), but they are prone to reducing the network throughput. From a measurement science perspective, lower throughput can lead to a reduced frequency with which the phenomena can be observed, generating, again, misevaluation. This paper does not give a new approach to protect measurement data but tests the network performance of the typically used ones that can run on constrained hardware. This is a more general scenario typical for IoT-based DMS. The proposal takes into account a security-oriented VLAN approach for hardware-constrained solutions. Since it is a worst-case scenario, this permits the generalization of the achieved results. In particular, in the paper, all OpenSSL cipher suites are considered for compatibility with the Mosquitto server. The most used key metrics are evaluated for each cipher suite and QoS level, such as the total ratio, total runtime, average runtime, message time, average bandwidth, and total bandwidth. Numerical and experimental results confirm the proposal's effectiveness in foreseeing the minimum network throughput concerning the selected QoS and security. Operating systems yield diverse performance metric values based on various configurations. The primary objective is identifying algorithms to ensure suitable data transmission and encryption ratios. Another aim is to explore algorithms that ensure wider compatibility with existing infrastructures supporting MQTT technology, facilitating secure connections for geographically dispersed DMS IoT networks, particularly in challenging environments like suburban or rural areas. Additionally, leveraging open firmware on constrained devices compatible with various MQTT protocols enables the customization of the software components, a crucial necessity for DMS.</t>
  </si>
  <si>
    <t>https://doi.org/10.1145/3716554.3716830</t>
  </si>
  <si>
    <t>León Ávila, Bernardo Yaser; García Vázquez, Carlos Alberto; Pérez Baluja, Osmel; Cotfas, Daniel Tudor; Cotfas, Petru Adrian</t>
  </si>
  <si>
    <t>Comprehensive electrical models for a wireless sensor network device.</t>
  </si>
  <si>
    <t>https://doi.org/10.1016/j.heliyon.2024.e40415</t>
  </si>
  <si>
    <t>10.1016/j.heliyon.2024.e40415</t>
  </si>
  <si>
    <t>This paper proposes a novel circuit model of a Wireless Sensor Network (WSN) device. The model is designed to accurately represent the behavior of a WSN device operating in a duty cycle, capturing the essential characteristics of its components, including the microcontroller, sensor, transceiver, and power supply. The proposed model incorporates static and dynamic power consumption aspects, reflecting the energy usage patterns during various operational states such as sensing, processing, and communication. The model's accuracy is validated through a comparative analysis with a LTspice® implementation and a real mote implemented for this study. Simulation results closely match the empirical data, demonstrating the model's effectiveness in predicting the mote's behavior. This approach provides a valuable tool for optimizing power consumption and extending the lifetime of WSN deployments within a simulation environment, offering significant insights for designers and researchers in this field.</t>
  </si>
  <si>
    <t>Sung, Minyoung; Yoon, Heeseung</t>
  </si>
  <si>
    <t>Microsecond-Accurate EtherCAT Transmission Scheme for Industrial Cyber–Physical Systems</t>
  </si>
  <si>
    <t>https://doi.org/10.1109/tim.2025.3577827</t>
  </si>
  <si>
    <t>10.1109/tim.2025.3577827</t>
  </si>
  <si>
    <t>Lee, Seung-Yong; Sung, Minyoung</t>
  </si>
  <si>
    <t>OPC-UA Agent for Legacy Programmable Logic Controllers</t>
  </si>
  <si>
    <t>https://doi.org/10.3390/app12178859</t>
  </si>
  <si>
    <t>10.3390/app12178859</t>
  </si>
  <si>
    <t>&lt;jats:p&gt;Open platform communications (OPC) unified architecture (UA) is a communication standard increasingly used in industrial automation systems to enable the exchanging of control and management data between distributed entities. This paper proposes the design of an OPC-UA agent to enable UA information service and client functionalities in legacy programmable logic controllers (PLCs). The agent runs on a separate machine connected to the PLC using a dedicated link and maintains shared memory for certain variables in the PLC. Based on the periodically synchronized variables, the agent services the OPC-UA information model and executes client function blocks on behalf of the PLC. One important design feature is the remote procedure call of IEC 61131-3-based function blocks using synchronized variables. This allows the standard OPC-UA client functions to be used in existing PLCs which only support numeric types and do not support strings or complex structures. To validate the proposed design, we implement an agent prototype and demonstrate the successful monitoring and control of an industrial robot controller via OPC-UA. Through experiments, we evaluate the performance of UA functions in terms of the latency of read services for an increasing number of items. The evaluation results are believed to provide useful insights into agent-based approaches for integrating legacy PLCs into the OPC-UA framework.&lt;/jats:p&gt;</t>
  </si>
  <si>
    <t>10.1515/auto-2024-0141</t>
  </si>
  <si>
    <t>Gogouvitis, Spyridon V.; Mueller, Harald; Premnadh, Sreenath; Seitz, Andreas; Bruegge, Bernd</t>
  </si>
  <si>
    <t>Seamless computing in industrial systems using container orchestration</t>
  </si>
  <si>
    <t>https://doi.org/10.1016/j.future.2018.07.033</t>
  </si>
  <si>
    <t>10.1016/j.future.2018.07.033</t>
  </si>
  <si>
    <t>Raddatz, Hannes; Hölzke, Fabian; Wall, Arne; Im, Woojin; Golatowski, Frank; Haubelt, Christian</t>
  </si>
  <si>
    <t>Comparative Evaluation of open62541 OPC UA Servers on Embedded Devices</t>
  </si>
  <si>
    <t>https://doi.org/10.1109/indin64977.2025.11279152</t>
  </si>
  <si>
    <t>10.1109/indin64977.2025.11279152</t>
  </si>
  <si>
    <t>Shombot, Emmanuel Song; Dusserre, Gilles; Bestak, Robert; Ahmed, Nasir Baba</t>
  </si>
  <si>
    <t>Multilabel Classification in IoT NIDS: A Proposed Cross Machine Learning Pipeline</t>
  </si>
  <si>
    <t>https://doi.org/10.1109/nigercon62786.2024.10927096</t>
  </si>
  <si>
    <t>10.1109/nigercon62786.2024.10927096</t>
  </si>
  <si>
    <t>Sun, Panjun; Wan, Yi; Wu, Zongda; Fang, Zhaoxi</t>
  </si>
  <si>
    <t>A survey on security issues in IoT operating systems</t>
  </si>
  <si>
    <t>https://doi.org/10.1016/j.jnca.2024.103976</t>
  </si>
  <si>
    <t>10.1016/j.jnca.2024.103976</t>
  </si>
  <si>
    <t>Schwartzman, Mathew; Benjamin, Charles</t>
  </si>
  <si>
    <t>A Modular Interface for Multi-Agent Marine Autonomy Simulation</t>
  </si>
  <si>
    <t>https://doi.org/10.23919/oceans59106.2025.11245128</t>
  </si>
  <si>
    <t>10.23919/oceans59106.2025.11245128</t>
  </si>
  <si>
    <t>Nilnoree, Srikulnath; Taparugssanagorn, Attaphongse; Kaemarungsi, Kamol; Mizutani, Tsukasa</t>
  </si>
  <si>
    <t>Enhancing Wireless Sensor Network in Structural Health Monitoring through TCP/IP Socket Programming-Based Mimic Broadcasting: Experimental Validation</t>
  </si>
  <si>
    <t>https://doi.org/10.3390/app14083494</t>
  </si>
  <si>
    <t>10.3390/app14083494</t>
  </si>
  <si>
    <t>&lt;jats:p&gt;This paper presents the implementation of a synchronous Structural Health Monitoring (SHM) framework utilizing wireless, low-cost, and off-the-shelf components. Vibration-based condition monitoring plays a crucial role in assessing the reliability of structural systems by detecting damage through changes in vibration parameters. The adoption of low-cost Micro-Electro-Mechanical Systems (MEMS) sensors in Wireless Sensor Networks (WSNs) has gained traction, emphasizing the need for precise time synchronization to schedule wake-up times of multiple sensor nodes for data collection. To address this challenge, our proposed method introduces a TCP/IP socket programming-based mimic broadcasting mechanism and a scalable sensing network controlled by a central gateway, leveraging the Raspberry Pi Python platform. The system operates using Internet of Things (IoT) concepts and adopts a star topology, where a packet is transmitted from the gateway to initiate measurements simultaneously on multiple sensor nodes. The sensor node comprises a MEMS accelerometer, a real time clock DS3231 module and Raspberry Pi Zero 2W (RPi0-2W), while the gateway employs a Raspberry Pi 4 (RPi4). To ensure accurate time synchronization, all Pi0-2W nodes were configured as Network Time Protocol (NTP) clients, synchronizing with an RPi4 server using chrony, the reliable implementation of the NTP. Through experimental evaluations, the system demonstrates its effectiveness and reliability in achieving initial time synchronization. This study addresses the challenge of achieving precise time alignment between sensor nodes through the utilization of the Dynamic Time Wrapping (DTW) method for Frequency Domain Decomposition (FDD) applications. The contribution of this research significantly enhances the field by improving the accuracy and reliability of time-aligned measurements, with a specific focus on utilizing low-cost sensors. By developing a practical and cost-effective SHM framework, this work advances the accessibility and scalability of structural health monitoring solutions, facilitating more widespread adoption and implementation in various engineering applications&lt;/jats:p&gt;</t>
  </si>
  <si>
    <t>Rezabek, Filip; Helm, Max; Buchner, Nicolas; Smolarska, Monika; Jaeger, Benedikt; Carle, Georg</t>
  </si>
  <si>
    <t>Assessment of OPC UA PubSub at Scale Using TSN Infrastructure and Network Calculus</t>
  </si>
  <si>
    <t>https://doi.org/10.1109/mass62177.2024.00060</t>
  </si>
  <si>
    <t>10.1109/mass62177.2024.00060</t>
  </si>
  <si>
    <t>Chen, Zihan; Liu, Yu; Cai, Yongheng; Guo, Jianwen</t>
  </si>
  <si>
    <t>Development of a Monitoring System for the Cooling Water Experimental Platform of the China Spallation Neutron Source</t>
  </si>
  <si>
    <t>https://doi.org/10.1109/iotaai66837.2025.11213254</t>
  </si>
  <si>
    <t>10.1109/iotaai66837.2025.11213254</t>
  </si>
  <si>
    <t>Malkawi, Malek; Akrami, Yasamin; Kechaou, Safa; Alhajj, Reda</t>
  </si>
  <si>
    <t>Multi-Client Scenario-Based Reverse Shell Attack Simulation</t>
  </si>
  <si>
    <t>https://doi.org/10.1109/ismsit67332.2025.11267797</t>
  </si>
  <si>
    <t>10.1109/ismsit67332.2025.11267797</t>
  </si>
  <si>
    <t>Pontarolli, Ricardo P.; Gaffurini, Massimiliano; Godoy, Eduardo P.; Ferrari, Paolo</t>
  </si>
  <si>
    <t>Analyzing Microservice Communication Performance in Industrial Edge Platform</t>
  </si>
  <si>
    <t>https://doi.org/10.1109/access.2025.3612701</t>
  </si>
  <si>
    <t>10.1109/access.2025.3612701</t>
  </si>
  <si>
    <t>D&amp;R of Digital Twin-based Intelligent Control Practical Training System</t>
  </si>
  <si>
    <t>https://doi.org/10.1145/3606843.3606851</t>
  </si>
  <si>
    <t>10.1007/s11416-018-0315-0</t>
  </si>
  <si>
    <t>Villalobos, Daniel; Montiel-Marín, Santiago; Gutiérrez-Moreno, Rodrigo; Abdeselam, Navil; Moratilla, Antonio; Bergasa, Luis M.</t>
  </si>
  <si>
    <t>Evaluating V2X Communications in the CARLA Simulator for a Collaborative Planning Use Case</t>
  </si>
  <si>
    <t>https://doi.org/10.1109/robot61475.2024.10796909</t>
  </si>
  <si>
    <t>10.1109/robot61475.2024.10796909</t>
  </si>
  <si>
    <t>Wu, Wang; Fouzi, Harrou; Benamar, Bouyeddo; Sidi-Mohammed, Senouci; Ying, Sun</t>
  </si>
  <si>
    <t>Deep learning-based stacked models for cyber-attack detection in industrial internet of things</t>
  </si>
  <si>
    <t>https://doi.org/10.1007/s00521-025-11418-9</t>
  </si>
  <si>
    <t>10.1007/s00521-025-11418-9</t>
  </si>
  <si>
    <t>Duran, Kubra; Verda Cakir, Lal; Yigit, Yagmur; Huseynov, Khayal; Ram Kusu, Sushmitha; Ali Ertürk, Mehmet; Canberk, Berk</t>
  </si>
  <si>
    <t>Toward Digital Twin-as-a-Service (DTaaS) Platforms: A Survey on Architecture, Design Requirements, and Performance Metrics</t>
  </si>
  <si>
    <t>https://doi.org/10.1109/comst.2025.3635582</t>
  </si>
  <si>
    <t>10.1109/comst.2025.3635582</t>
  </si>
  <si>
    <t>Ruiz-Villafranca, Sergio; Castelo Gómez, Juan Manuel; Carrillo-Mondéjar, Javier; Roldán-Gómez, José; Martínez, José Luis Martínez</t>
  </si>
  <si>
    <t>A self-contained emulator for the forensic examination of IoE scenarios</t>
  </si>
  <si>
    <t>https://doi.org/10.1016/j.adhoc.2024.103718</t>
  </si>
  <si>
    <t>10.1016/j.adhoc.2024.103718</t>
  </si>
  <si>
    <t>Moreira, Leandro; Ramos Silva, António; Pereira, Filipe; Fazenda, Rui; Santos, Adriano; Silva, António; Lopes, António M.</t>
  </si>
  <si>
    <t>Computer vision-based quality inspection for tire sealant application with simulated robotic dispensing</t>
  </si>
  <si>
    <t>https://doi.org/10.1007/s00170-025-16696-0</t>
  </si>
  <si>
    <t>10.1007/s00170-025-16696-0</t>
  </si>
  <si>
    <t>Meng, Rui; Xu, Xiaodong; Sun, Hao; Zhao, Hangyu; Wang, Bizhu; Han, Shujun; Zhang, Ping</t>
  </si>
  <si>
    <t>Multiuser Physical-Layer Authentication Based on Latent Perturbed Neural Networks for Industrial Internet of Things</t>
  </si>
  <si>
    <t>https://doi.org/10.1109/jiot.2022.3203514</t>
  </si>
  <si>
    <t>10.1109/jiot.2022.3203514</t>
  </si>
  <si>
    <t>Recently, learning (DL)-based physical-layer authentication (PLA) has attracted much attention since artificial neural networks (ANNs) can be built to extract useful features from complex wireless environments, thus achieving high authentication performance and lightweight deployment in mobile edge computing (MEC)-Industrial Internet of Things (IIoT) scenario. However, the low latency characteristic of MEC makes it impossible to have much time to obtain sufficient signals for training the authentication system, which will cause over-fitting issues and deteriorate the authentication performance. Data augmentation is an effective method to address this problem. However, existing PLA with data augmentation can not generate representative and high-quality samples, consequently lacking generality in the actual identity authentication. To tackle this problem, a novel channel impulse response (CIR)-based multiuser authentication named latent perturbed neural networks (LPNNs) is proposed in this article, aiming at achieving high authentication performance even when trained a few data. Instead of relying on the generation of synthetic samples, the proposed LPNN adds Gaussian noise in the smooth latent space to avoid underdetermined and poor generalization, which has better interpretability. Specifically, to obtain a better understanding than a black box that connects input CIRs to authentication results, we defined Fingerprint Library and provided post-hoc explanations to answer the following question: which library examples explain the authentication results issued for a given CIR sample? Moreover, the simulations under the static and dynamic IIoT scenarios verify the superiority in authentication accuracy of the proposed LPNN over vanilla deep neural network (DNN) and convolutional neural network (CNN).</t>
  </si>
  <si>
    <t>Rohit, Mandalapu; Taiwo, Akinremi; Joel, Appiah; Hazem, Said</t>
  </si>
  <si>
    <t>255Virtual cybersecurity testbeds for industrial Internet of Things</t>
  </si>
  <si>
    <t>https://doi.org/10.1515/9783111436548-012</t>
  </si>
  <si>
    <t>10.1515/9783111436548-012</t>
  </si>
  <si>
    <t>Meyer, Florian; Turau, Volker</t>
  </si>
  <si>
    <t>QMA: A Ressource-efficient, Q-Learning-based Multiple Access Scheme for the IIoT</t>
  </si>
  <si>
    <t>Contention-based wireless channel access methods like CSMA and ALOHA paved the way for the rise of the Internet of Things in industrial applications (IIoT). However, to cope with increasing demands for reliability and throughput, several mostly TDMA-based protocols like IEEE 802.15.4 and its extensions were proposed. Nonetheless, many of these IIoT-protocols still require contention-based communication, e.g., for slot allocation and broadcast transmission. In many cases, subtle but hidden patterns characterize this secondary traffic. Present contention-based protocols are unaware of these hidden patterns and can therefore not exploit this information. Especially in dense networks, they often do not provide sufficient reliability for primary traffic, e.g., they are unable to allocate transmission slots in time. In this paper, we propose QMA, a contention-based multiple access scheme based on Q-learning, which dynamically adapts transmission times to avoid collisions by learning patterns in the contention-based traffic. QMA is designed to be resource-efficient and targets small embedded devices. We show that QMA solves the hidden node problem without the additional overhead of RTS / CTS messages and verify the behaviour of QMA in the FIT IoT-LAB testbed. Finally, QMA's scalability is studied by simulation, where it is used for GTS allocation in IEEE 802.15.4 DSME. Results show that QMA considerably increases reliability and throughput in comparison to CSMA/CA, especially in networks with a high load.</t>
  </si>
  <si>
    <t>Jeffrey, Nicholas; Tan, Qing; Villar, José R.</t>
  </si>
  <si>
    <t>Intrusion Detection and Prevention in Industrial Internet of Things: A Study</t>
  </si>
  <si>
    <t>https://doi.org/10.1007/978-3-031-42519-6_4</t>
  </si>
  <si>
    <t>10.1007/978-3-031-42519-6_4</t>
  </si>
  <si>
    <t>Liu, Yucheng; Tsang, Kim-Fung; Wu, Chung Kit; Wei, Yang; Wang, Hao; Zhu, Hongxu</t>
  </si>
  <si>
    <t>IEEE P2668-Compliant Multi-Layer IoT-DDoS Defense System Using Deep Reinforcement Learning</t>
  </si>
  <si>
    <t>https://doi.org/10.1109/tce.2022.3213872</t>
  </si>
  <si>
    <t>10.1109/tce.2022.3213872</t>
  </si>
  <si>
    <t>The Internet of Things (IoT) has been attracting people to its capability to deal with smart applications. However, with the development of IoT, there are more attacks to threaten IoT systems. Especially, the distributed denial of service (DDoS) attack can lead to mighty destruction to IoT servers, causing the whole IoT network to be out-of-service. Hitherto, given the lack of a common standard for defining the IoT-driven DDoS (IoT-DDoS) attack, the DDoS defense system for IoT is developed without accurate guidance. Additionally, defense against multi-layer IoT-DDoS attacks is rarely covered by previous works. To address these issues, a deep reinforcement learning-based multi-layer IoT-DDoS defense system (DRL-MLDS) is proposed with the reward metrics in compliance with IEEE P2668 – the first of its kind. In addition, to provide a resilient blocking time configuration for false-positive samples, a new power-law-based blocking time mechanism is developed to cooperate with the DRL-MLDS. The outcome reveals that the DRL-MLDS can reach the same accuracy level (i.e., more than 96%) as previous works under single protocol-based IoT DDoS attack, as well as providing around 97% defense accuracy on multi-layer IoT-DDoS attack, which was rarely discussed in previous works. Additionally, by applying the IEEE P2668-compliant reward metrics, the applicability index (ADex) of DRL-MLDS can be improved from 3.2 to 4.4, fulfilling the recommendation of ADex (e.g., &lt;inline-formula xmlns:mml="http://www.w3.org/1998/Math/MathML" xmlns:xlink="http://www.w3.org/1999/xlink"&gt; &lt;tex-math notation="LaTeX"&gt;$\mathbf {&amp;gt;}3.5$ &lt;/tex-math&gt;&lt;/inline-formula&gt; ) toward IoT best practices. The DRL-MLDS can be extended to Metaverse design and applications.</t>
  </si>
  <si>
    <t>10.3390/s23187864</t>
  </si>
  <si>
    <t>Soetedjo, Aryuanto; Hendriarianti, Evy</t>
  </si>
  <si>
    <t>Development of an IoT-Based SCADA System for Monitoring of Plant Leaf Temperature and Air and Soil Parameters</t>
  </si>
  <si>
    <t>https://doi.org/10.3390/app132011294</t>
  </si>
  <si>
    <t>10.3390/app132011294</t>
  </si>
  <si>
    <t>&lt;jats:p&gt;Plant leaf temperature and its environmental parameters provide valuable information on plant growth. This paper presents the development of a plant monitoring system using an IoT-based SCADA (Supervisory Control and Data Acquisition). The developed SCADA system monitors the leaf temperature and the air parameters of temperature and humidity, as well as the soil parameters of temperature, moisture, pH, electrical conductivity, nitrogen, phosphorous, and potassium. A novel method is proposed for measuring the leaf temperature using a low-cost 8 × 8 array thermal camera. The sensor systems in the field are developed to wirelessly communicate with the Hawell IoT Cloud HMI via a Modbus TCP protocol. To visualize the thermal image on the HMI dashboard, a novel approach is proposed wherein the data are transferred using the Modbus TCP protocol. The HMI is connected to a cloud server and can be accessed by the users using the web browser or mobile application on a smartphone. The experimental results show that the proposed hardware, software, and communication protocol are reliable for real-time and continuous plant monitoring. Further, the evaluation of sensor data shows that the data from the thermal camera and air parameters sensor can be independently interpreted. However, the data from the soil sensor should be interpreted in consideration of the other parameters.&lt;/jats:p&gt;</t>
  </si>
  <si>
    <t>Aslam, Muhammad Muzamil; Tufail, Ali; Gul, Haji; Irshad, Muhammad Nauman; Namoun, Abdallah</t>
  </si>
  <si>
    <t>Artificial intelligence for secure and sustainable industrial control systems - A Survey of challenges and solutions</t>
  </si>
  <si>
    <t>https://doi.org/10.1007/s10462-025-11320-9</t>
  </si>
  <si>
    <t>10.1007/s10462-025-11320-9</t>
  </si>
  <si>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</si>
  <si>
    <t>Liang, Caiping; Li, Xiang; Niu, Wenxu; Zhang, Yansong</t>
  </si>
  <si>
    <t>Internet of Things Driven Digital Twin for Intelligent Manufacturing in Shipbuilding Workshops</t>
  </si>
  <si>
    <t>https://doi.org/10.3390/fi17080368</t>
  </si>
  <si>
    <t>10.3390/fi17080368</t>
  </si>
  <si>
    <t>&lt;jats:p&gt;Intelligent manufacturing research has focused on digital twins (DTs) due to the growing integration of physical and cyber systems. This study thoroughly explores the Internet of Things (IoT) as a cornerstone of DTs, showing its promise and limitations in intelligent shipbuilding digital transformation workshops. We analyze the progress of IoT protocols, digital twin frameworks, and intelligent ship manufacturing. A unique bidirectional digital twin system for shipbuilding workshops uses the Internet of Things to communicate data between real and virtual workshops. This research uses a steel-cutting workshop to demonstrate the digital transformation of the production line, including data collection, transmission, storage, and simulation analysis. Then, major hurdles to digital technology application in shipbuilding are comprehensively examined. Critical barriers to DT deployment in shipbuilding environments are systematically analyzed, including technical standard unification, communication security, real-time performance guarantees, cross-workshop collaboration mechanisms, and the deep integration of artificial intelligence. Adaptive solutions include hybrid edge-cloud computing architectures for latency-sensitive tasks and reinforcement learning-based smart scheduling algorithms. The findings suggest that IoT-driven digital transformation may modernize shipbuilding workshops in new ways.&lt;/jats:p&gt;</t>
  </si>
  <si>
    <t>Flexible Arbitrary Signal Generation and Acquisition System for Compact Underwater Measurement Systems and Data Fusion</t>
  </si>
  <si>
    <t>https://doi.org/10.23919/oceans44145.2021.9705710</t>
  </si>
  <si>
    <t>10.23919/oceans44145.2021.9705710</t>
  </si>
  <si>
    <t>For the implementation of compact underwater measurement systems, much time is spent integrating various sensor and processing components and their control and synchronization. Especially for multi-sensor applications, proprietary solutions do not scale easily and are not designed for use in a distributed measurement system. We propose a well-established protocol Message Queuing Telemetry Transport (MQTT) for integration of sensors with a broker as a central data hub as a key system component. We implemented a flexible, distributed multi-sensor measurement system, by using open-source libraries. The multi-sensor system was successfully tested and operated with five underwater sensor devices and user data rates up to 2.73 MB/s.</t>
  </si>
  <si>
    <t>Sifat, Md. Mhamud Hussen; Choudhury, Safwat Mukarrama; Das, Sajal K.; Ahamed, Md. Hafiz; Muyeen, S.M.; Hasan, Md. Mehedi; Ali, Md. Firoj; Tasneem, Zinat; Islam, Md. Manirul; Islam, Md. Robiul; Badal, Md. Faisal R.; Abhi, Sarafat H.; Sarker, Subrata K.; Das, Prangon</t>
  </si>
  <si>
    <t>Towards electric digital twin grid: Technology and framework review</t>
  </si>
  <si>
    <t>https://doi.org/10.1016/j.egyai.2022.100213</t>
  </si>
  <si>
    <t>10.1016/j.egyai.2022.100213</t>
  </si>
  <si>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</si>
  <si>
    <t>Liu, Wenyi; Sharma, R.; "Grace" Guo, W.; Yi, J.; Guo, Y.B.</t>
  </si>
  <si>
    <t>Real-Time AI-Driven Milling Digital Twin Towards Extreme Low-Latency</t>
  </si>
  <si>
    <t>https://doi.org/10.1016/j.eng.2025.12.028</t>
  </si>
  <si>
    <t>10.1016/j.eng.2025.12.028</t>
  </si>
  <si>
    <t>Gaffurini, Massimiliano; Bellagente, Paolo; Depari, Alessandro; Flammini, Alessandra; Brandão, Dennis; Rinaldi, Stefano; Sisinni, Emiliano; Ferrari, Paolo</t>
  </si>
  <si>
    <t>On computing and real-time communication performance of containerized virtual PLCs</t>
  </si>
  <si>
    <t>https://doi.org/10.1109/wfcs60972.2024.10540795</t>
  </si>
  <si>
    <t>10.1109/wfcs60972.2024.10540795</t>
  </si>
  <si>
    <t>The Industry 4.0 has led to a significant transformation in manufacturing and industrial processes, characterized by increased connectivity and widespread digitalization. This revolution is driven by the convergence of IT (Information Technology) paradigms with OT (Operational Technology) domains. Virtualization technology plays a crucial role in this integration, thanks to its characteristics of agility, scalability, and efficiency. This work investigates the virtualization of Programmable Logic Controllers (PLCs) and it is focused on the need for evaluating their performance. PLCs are essential components of industrial automation and are being virtualized to increase flexibility, reduce hardware dependencies, and enable seamless integration with IT infrastructures. This work proposes a methodology for evaluating the execution time of a benchmark program and the PLC real-time behavior. Experiments on a real use case demonstrate that the PLCs implemented in containers may be 50 times faster than the real ones in executing data elaboration, while no significant differences were observed in real-time communication. In any case, virtual PLCs are characterized by greater jitter with respect to real PLCs.</t>
  </si>
  <si>
    <t>Qin, Junxiang; Qu, Zhi; Li, Xuan; Ma, Xiaotian; Yang, Zhixi; Zhang, Yufeng</t>
  </si>
  <si>
    <t>Multi-Scene Layered Container Pre-Migration Method for Satellite Task Continuity</t>
  </si>
  <si>
    <t>https://doi.org/10.1109/icemi66537.2025.11306853</t>
  </si>
  <si>
    <t>10.1109/icemi66537.2025.11306853</t>
  </si>
  <si>
    <t>Boeding, Matthew; Hempel, Michael; Sharif, Hamid; Lopez, Juan; Perumalla, Kalyan</t>
  </si>
  <si>
    <t>A flexible OT testbed for evaluating on-device implementations of IEC-61850 GOOSE</t>
  </si>
  <si>
    <t>https://doi.org/10.1016/j.ijcip.2023.100618</t>
  </si>
  <si>
    <t>10.1016/j.ijcip.2023.100618</t>
  </si>
  <si>
    <t>The growing convergence of Information Technology and Operational Technology has enhanced communication and visibility across power grids. This, coupled with the growing use of Distributed Energy Resources in power grids, has enhanced the grid capabilities while also creating a larger attack surface for malicious actors. A common protocol vulnerable to these attacks is the IEC-61850 GOOSE protocol due to its low-latency requirements, multicast packet delivery method, and lack of encryption. In this paper, we evaluate the security implications of different hardware implementations of this protocol by contrasting device response and recovery of two commercial off-the-shelf Intelligent Electronic Devices from separate manufacturers. The cyberattacks utilized in this paper are research-established GOOSE attacks with results measured in device latency and GOOSE endpoint response success.</t>
  </si>
  <si>
    <t>Giliyana, San; Salonen, Antti; Bengtsson, Marcus</t>
  </si>
  <si>
    <t>A Conceptual Implementation Process for Smart Maintenance Technologies</t>
  </si>
  <si>
    <t>https://doi.org/10.1007/978-3-031-52391-5_3</t>
  </si>
  <si>
    <t>10.1007/978-3-031-52391-5_3</t>
  </si>
  <si>
    <t>Industry 4.0 is usually presented as usage of technologies. Some of these play an important role in the development of smart maintenance technologies. However, although the subject of smart maintenance has been discussed for more than 10 years, the manufacturing industry still finds it challenging to implement smart maintenance technologies to add benefits to maintenance organizations in line with company's goals. This study presents a conceptual process for implementing smart maintenance technologies, challenges and enablers to consider when implementing, and benefits. This article is based on an analysis of empirical findings from seven large manufacturing companies in Sweden, previous maintenance research, and authors' three previous smart maintenance research articles. In the first article, the authors explored perspectives on smart maintenance technologies from 11 large companies within the manufacturing industry, while in the second one, perspectives on smart maintenance technologies from 15 manufacturing Small and medium-sized enterprises (SMEs) were presented. In the third and final one, the authors developed and presented a testbed for smart maintenance technologies.</t>
  </si>
  <si>
    <t>Jiang, Wenqi; Liu, Xiaosheng; Li, Zhongwei; Jin, Xianji; Liu, Wenhao; Li, Qingyang</t>
  </si>
  <si>
    <t>Industrial robot system state simulation and risk utilization test environment design</t>
  </si>
  <si>
    <t>https://doi.org/10.1016/j.jii.2025.100953</t>
  </si>
  <si>
    <t>10.1016/j.jii.2025.100953</t>
  </si>
  <si>
    <t>Hidalgo-Castelo, Fernando; Guerrero-González, Antonio; García-Córdova, Francisco; Lloret-Abrisqueta, Francisco; Torregrosa Bonet, Carlos</t>
  </si>
  <si>
    <t>Multimodal Cognitive Architecture with Local Generative AI for Industrial Control of Concrete Plants on Edge Devices.</t>
  </si>
  <si>
    <t>https://doi.org/10.3390/s25247540</t>
  </si>
  <si>
    <t>10.3390/s25247540</t>
  </si>
  <si>
    <t>Accessing operational information across industrial systems (ERP, MES, SCADA, PLC) in concrete plants requires 15-30 min and specialized knowledge. This work addresses this accessibility gap by developing a conversational AI system that democratizes industrial information access through natural language. A five-layer cognitive architecture was implemented integrating the Mistral-7B model quantized in GGUF Q4_0 format (3.82 GB) on a Raspberry Pi 5, Spanish speech recognition/synthesis, and heterogeneous industrial protocols (OPC UA, MQTT, REST API) across all automation pyramid levels. Experimental validation at Frumecar S.L. (Murcia, Spain) characterized performance, thermal stability, and reliability. Results show response times of 14.19 s (simple queries, SD = 7.56 s), 16.45 s (moderate, SD = 6.40 s), and 23.24 s (complex multilevel, SD = 6.59 s), representing 26-77× improvement over manual methods. The system maintained average temperature of 69.3 °C (peak 79.6 °C), preserving 5.4 °C margin below throttling threshold. Communication latencies averaged 8.93 ms across 10,163 readings (&lt;1% of total latency). During 30 min of autonomous operation, 100% reliability was achieved with 39 successful queries. These findings demonstrate the viability of deploying quantized LLMs on low-cost edge hardware, enabling cognitive democratization of industrial information while ensuring data privacy and cloud independence.</t>
  </si>
  <si>
    <t>Da Silva, Jonathan Tobias; Dias, Andre Luis; Da Silva, Ivan Nunes</t>
  </si>
  <si>
    <t>A Survey on OPC UA Protocol: Overview, Challenges and Opportunities</t>
  </si>
  <si>
    <t>https://doi.org/10.1109/induscon58041.2023.10375053</t>
  </si>
  <si>
    <t>10.1109/induscon58041.2023.10375053</t>
  </si>
  <si>
    <t>Industrial communication plays a crucial role in modern automation by enabling control, monitoring, quality assessment, maintenance, and integration of management systems in production and manufacturing processes. OPC UA has emerged as one of the most widely utilized protocols in recent years, as evidenced by its growing number of applications, and is considered to be one of the most promising protocols for the future. Given its significance, this work aims to provide an overview that characterizes the current state of the protocol. To accomplish this, a systematic review of 238 relevant studies was conducted to extract relevant data. The results obtained provide an up-to-date overview of the field, as well as identify several potential research directions, challenges, and opportunities for further research on OPC UA.</t>
  </si>
  <si>
    <t>Chelliah, Pethuru Raj; Jayasankar, Venkatraman; Agerstam, Mats; Sundaravadivazhagan, B.; Cyriac, Robin</t>
  </si>
  <si>
    <t>The Significance of the Industrial Internet of Things (IIoT) for the Oil and Gas Space</t>
  </si>
  <si>
    <t>https://doi.org/10.1002/9781119985617.ch6</t>
  </si>
  <si>
    <t>10.1002/9781119985617.ch6</t>
  </si>
  <si>
    <t>The oil and gas (O&amp;G) sector suffers from delays in receiving adequate information about equipment in the event of maintenance, as well as delays in communication between stakeholders. With the explosion of information as in the oil and gas (O&amp;G) sector, the perception of the internet of things (IOT) has turned essential to sense as well as observe every factor of O&amp;G processes. The proposed framework aims to solve problems in the oil and gas (O&amp;G) sector by providing stakeholders through a wealth of information about the O&amp;G operation. The system aids in the prevention of financial loss due to the lack of available information. In addition, the system aids in the improvement and development of key procedures to provide high-quality service. Oil and gas companies use Industrial Internet of Things (IIoT) solutions to enhance production performance, protect resources, and maintain compliance with regulations throughout the entire supply chain. Virtual services are supervised and controlled using systems and networks including such Supervisory Control and Data Acquisition (SCADA) and perhaps other measurement model solutions. These solutions allow operators to closely control a wide range of data points at well locations, bunker farms, and pipeline facilities, including compression mass flow, heat, and the effective operation and circumstances of different units. For communication channels between sensors, control systems, and processes, a combination of connected and trade secret radio strategies are generally used, though cellular modes and spacecraft are progressively being utilized for non-mission crucial surveillance applications.</t>
  </si>
  <si>
    <t>10.1109/etfa54631.2023.10275637</t>
  </si>
  <si>
    <t>URL Title</t>
  </si>
  <si>
    <t>Citations</t>
  </si>
  <si>
    <t>References</t>
  </si>
  <si>
    <t>IDS/ML/dataset focus, not protocol evaluation</t>
  </si>
  <si>
    <t>not clearly industrial automation context</t>
  </si>
  <si>
    <t>no clear protocol focus</t>
  </si>
  <si>
    <t>Meets IC1–IC4 based on title</t>
  </si>
  <si>
    <t>likely not protocol evaluation focus</t>
  </si>
  <si>
    <t>secondary study (survey/review)</t>
  </si>
  <si>
    <t>non-English title</t>
  </si>
  <si>
    <t>Protocol not explicit; fails IC2 as no mention of protocols</t>
  </si>
  <si>
    <t>Meets IC1–IC4 based on title! Proposes an “analysis structure / method” using performance indicators</t>
  </si>
  <si>
    <t>the testbed exists to validate ML-based attack detection and generate a dataset, not to evaluate communication protocols or provide a reusable protocol evaluation framework.</t>
  </si>
  <si>
    <t>Primary objective isn’t the experimental/theoretical evaluation of protocols or improving evaluation methods. It’s mainly a structured comparison to pick a protocol for Smart-CNC.</t>
  </si>
  <si>
    <t>It proposes a methodology for comparison, with:  defined performance metrics  a standardised experimental setup  an analytical model to support simulation/digital twin use</t>
  </si>
  <si>
    <t>it proposes a new authentication scheme and uses a lab testbed only to validate that scheme, not to present an evaluation framework/model you can reuse across protocols.</t>
  </si>
  <si>
    <t>IC1, full-text not available</t>
  </si>
  <si>
    <t>framework is for visual control application, not protocol evaluation</t>
  </si>
  <si>
    <t>Meets IC1–IC4 based on title!proposes an "architectural system framework" and a "cost-effective testbed setup" for OPC UA performance evaluation.</t>
  </si>
  <si>
    <t>Describes an experiment and metrics, but no reusable evaluation model/framework/testbed</t>
  </si>
  <si>
    <t>Meets IC1–IC4 based on title! Keep, It does sound like they build an evaluation model of delays + a simulation setup and use it as a “guideline”, but the abstract doesn’t say “framework/testbed” explicitly.</t>
  </si>
  <si>
    <t>It does not propose a protocol evaluation model/framework/testbed. It proposes an optimisation method for security–reliability trade-offs.</t>
  </si>
  <si>
    <t>benchmarking setup (devices + varying client counts/polling rates + RTT measurement)</t>
  </si>
  <si>
    <t>they build a Network Calculus model to derive worst-case delay bounds and validate it on COTS + open-source (open62541 + Linux qdiscs)</t>
  </si>
  <si>
    <t>“legacy protocols” are mentioned, but no protocol is the subject of study; the unit of analysis is the microservice communication architecture.</t>
  </si>
  <si>
    <t>no clear proposed evaluation framework/testbed; just simulation results</t>
  </si>
  <si>
    <t>The primary objective is evaluation via an emulation/testbed of comms performance/security impact.</t>
  </si>
  <si>
    <t>looks more like a protocol/system vulnerability impact study than a reusable evaluation framework</t>
  </si>
  <si>
    <t>it proposes an ML-based intrusion detection model, not a conceptual model/framework/testbed for protocol evaluation</t>
  </si>
  <si>
    <t>Meets IC1–IC4 based on title! “virtual testbed”, “emulated Modbus/TCP network environment”, proposes testbed improvements.</t>
  </si>
  <si>
    <t>the primary goal is mitigation/improvement of IEC 61850 GOOSE security, not experimental/theoretical evaluation of protocols or improving protocol-evaluation methods.</t>
  </si>
  <si>
    <t>Meets IC1–IC4 based on title! mainly as a performance benchmark paper (useful for metrics + measurement approach), even if it may not contribute a reusable evaluation model.</t>
  </si>
  <si>
    <t>it does build a lab setup and runs measurements, but the paper frames it as “communication architecture for a manufacturing system” first, not a reusable evaluation framework/testbed.</t>
  </si>
  <si>
    <t>Meets IC1–IC4 based on title! the main point is protocol mapping + measured performance on a test-bed.</t>
  </si>
  <si>
    <t>Meets IC1–IC4 based on title! They build a predictive CPU-utilisation performance model from extensive measurements, used for hardware sizing. That’s a “model for protocol evaluation” in practice, even if it’s not a full generic framework.</t>
  </si>
  <si>
    <t>it uses real-time simulation + hardware-in-the-loop emulation as an evaluation setup/testbed, but the abstract doesn’t claim a reusable evaluation framework.</t>
  </si>
  <si>
    <t>Meets IC1–IC4 based on title!Uses a testbed with PLCs from multiple manufacturers for comparative analysis.</t>
  </si>
  <si>
    <t>Meets IC1–IC4 based on title! it doesn’t present a reusable framework in the abstract, but it does describe an experimental measurement campaign on real devices/networks, which effectively functions as a testbed for performance evaluation.</t>
  </si>
  <si>
    <t>It proposes a general, reproducible measurement setup to assess OPC UA implementations (that’s basically a testbed/benchmarking setup).</t>
  </si>
  <si>
    <t>Meets IC1–IC4 based on title! experimental evaluation of communication protocols (performance)</t>
  </si>
  <si>
    <t>the paper’s primary goal is building/validating a robot motion control system, not evaluating communication protocols (or improving protocol evaluation methods).</t>
  </si>
  <si>
    <t>Describes a real-time HIL test setup (OPAL-RT + real relay + LAN as station bus). That’s a concrete evaluation setup you can map as a testbed.</t>
  </si>
  <si>
    <t>They designed an experimental measurement setup and claim it’s reproducible (that’s basically a testbed/benchmark setup).</t>
  </si>
  <si>
    <t>primary objective is integration/interoperability, not evaluating protocols or improving evaluation methods.</t>
  </si>
  <si>
    <t>it doesn’t look like it proposes a reusable evaluation model/framework/testbed</t>
  </si>
  <si>
    <t>Primary objective is testbed/simulation integration for power-system monitoring/control, not experimental/theoretical protocol evaluation or improving protocol evaluation methods in the way your thesis needs.</t>
  </si>
  <si>
    <t>Primary objective is improving Modbus/TCP security (adding authentication + compatibility with legacy peers), not building/improving a protocol evaluation method.</t>
  </si>
  <si>
    <t>it describes a substation simulator setup and demonstrates using IEC 61850 GOOSE, but it does not present a protocol evaluation model/framework/testbed for evaluation nor a security/performance evaluation</t>
  </si>
  <si>
    <t>primary objective is attack-defense experimentation and IDS, not the experimental/theoretical evaluation of communication protocols or improvement of protocol evaluation methods.</t>
  </si>
  <si>
    <t>bottleneck identification + performance model for OPC UA (protocol eval + modeling)</t>
  </si>
  <si>
    <t>characterizes real-time comm performance for virtual PLC setups.</t>
  </si>
  <si>
    <t>builds a comm network model/emulation to study how the comm layer (GOOSE network) affects protection schemes</t>
  </si>
  <si>
    <t>HIL setup for GOOSE-based protection; includes round-trip delay evaluation as part of the study</t>
  </si>
  <si>
    <t>benchmark-style performance evaluation across OPC UA/ROS/DDS/MQTT.</t>
  </si>
  <si>
    <t>defines/evaluates real-time Ethernet performance indicators (method + evaluation).</t>
  </si>
  <si>
    <t>compares EtherNet/IP vs EtherCAT vs PROFINET IRT for networked control.</t>
  </si>
  <si>
    <t>focuses on configuration protocols for control devices</t>
  </si>
  <si>
    <t>latency characterization study</t>
  </si>
  <si>
    <t>OPC UA vs MQTT plant cloud performance</t>
  </si>
  <si>
    <t>OPC UA vs MQTT performance comparison</t>
  </si>
  <si>
    <t>10.3390/en14196262</t>
  </si>
  <si>
    <t>Lohi, Taneli; Soutukorva, Samuli; Heikkilä, Tapio</t>
  </si>
  <si>
    <t>Programming of Skill-Based Robots</t>
  </si>
  <si>
    <t>https://doi.org/10.1109/iciea61579.2024.10664981</t>
  </si>
  <si>
    <t>10.1109/iciea61579.2024.10664981</t>
  </si>
  <si>
    <t>Manufacturing is facing ever changing market demands, with faster innovation cycles resulting to growing agility and flexibility requirements. Industry 4.0 has been transforming the manufacturing world towards digital automation and the importance of software has increased drastically. Easy and fast task programming and execution in robot - sensor systems become a prerequisite for agile and flexible automation and in this paper, we propose such a system. Our solution relies on a robot skill library, which provides the user with high level and parametrized operations, i.e., robot skills, for task programming and execution. Programming actions results to a control recipe in a neutral product context and is based on use of product CAD models or alternatively collaborative use of pointers and tracking sensor with real parts. Practical tests are also reported to show the feasibility of our approach.</t>
  </si>
  <si>
    <t>Volkmann, Magnus; Legler, Tatjana; Wagner, Andreas; Ruskowski, Martin</t>
  </si>
  <si>
    <t>A CAD feature-based manufacturing approach with OPC UA skills</t>
  </si>
  <si>
    <t>https://doi.org/10.1016/j.promfg.2020.10.059</t>
  </si>
  <si>
    <t>10.1016/j.promfg.2020.10.059</t>
  </si>
  <si>
    <t>Abstract One of the biggest obstacles on the path to digitalization in an industrial environment is the lack of communication standards. This is particularly evident where several domains meet. In this case, conventional machine tools, robotics and computer vision have to interact over a common interface. We propose a structure based on OPC UA, which unifies the procedure of programming for the human operator, regardless of whether the task is performed by a robot or a machine tool in the end. The idea is to use OPC UA skills for the manufacturing of components, that consist of common standard geometric features such as holes or pockets. Our approach enables the translation of required manufacturing parameters directly from a CAD model to OPC UA skills instead of using CAM. Therefore, it is necessary to investigate suitable CAD interfaces as well as enabling an autonomous implementation of the process on a manufacturing system. From this approach, the definition of an OPC UA Companion Specification for manufacturing processes could be derived. The implementation of the concept is carried out on a flexible robot cell.</t>
  </si>
  <si>
    <t>Maharaj, Robin; Balyan, Vipin; Khan, Mohammed Tariq</t>
  </si>
  <si>
    <t>Optimising data visualisation in the process control and IIoT environments</t>
  </si>
  <si>
    <t>https://doi.org/10.21307/ijssis-2021-022</t>
  </si>
  <si>
    <t>10.21307/ijssis-2021-022</t>
  </si>
  <si>
    <t>&lt;jats:title&gt;Abstract&lt;/jats:title&gt; &lt;jats:p&gt;In the present context of the 4th Industrial revolution, there is a growing need to get data from different data sources in a standard data format. This paper presents a solution to achieve this convergence in using IoT technology, extracting available data, and making it available to high-level systems in a standard, low latency framework. This paper presents different protocols like OPC UA, Message Queuing Telemetry Transport (MQTT), and Constrained Application Protocol(COAP) to achieve this data transportation/acquisition. It also presents an emerging Low Power Wide Area Network (LPWAN) technology, LoRa WAN, to augment the data of the process control system, explicitly extending the range of sensors to wireless data points.&lt;/jats:p&gt;</t>
  </si>
  <si>
    <t>Pascal, Carlos; Panescu, Doru; Dosoftei, Cătălin</t>
  </si>
  <si>
    <t>SOHOMA - About the Applicability of IoT Concept for Classical Manufacturing Systems</t>
  </si>
  <si>
    <t>https://doi.org/10.1007/978-3-030-69373-2_2</t>
  </si>
  <si>
    <t>10.1007/978-3-030-69373-2_2</t>
  </si>
  <si>
    <t>This paper discusses about introducing IoT principles into manufacturing systems so that different devices expose their state and talk to each other. The IoT device protocol, including published events and received commands, was adapted for various manufacturing equipment. Thus, through a cloud application, the event published by a device is converted to a command toward other devices, and the receiver is able to interpret the message as a command or an event. The proposed experiment involves disabling the local I/O interaction among devices and the use of an IoT messaging solution through cloud. One concern of IoT applicability in production systems regards the delay measurement of a round trip message. Our experiments revealed that such delays are mainly produced by the external interaction protocols, as these are provided by manufacturers of devices. Though this weakness exists, the advantage of the IoT concept can be underlined: collaboration among IoT devices is allowed without the need to extend the hardware configuration. This approach is suitable to smoothly enlarge classical manufacturing systems with new equipment and functionalities.</t>
  </si>
  <si>
    <t>Maia, Rodrigo Filev; Bálsamo, Ângelo Jorge; Lopes, Guilherme A. Wachs; Massote, Alexandre Augusto; Lima, Fabio</t>
  </si>
  <si>
    <t>Evaluation of OPC-UA communication in an autonomous advanced manufacturing cell implementation</t>
  </si>
  <si>
    <t>https://doi.org/10.1590/0104-530x5414-20</t>
  </si>
  <si>
    <t>10.1590/0104-530x5414-20</t>
  </si>
  <si>
    <t>Abstract: The recent development of advanced manufacturing concepts brings new challenges for developing countries in order to prepare their workforce and industries for local and global markets. To explore and disseminate advanced manufacturing concepts, the first autonomous advanced manufacturing cell developed in Brazil as a result of a partnership between global and local companies and academia was designed and evaluated. This paper aims to describe the advanced manufacturing cell, the equipment composing the infrastructure, and the network topology and equipment that could deal with the heterogeneity of equipment and protocol. Moreover, the behavior of the Open Platform Communications Unified Architecture (OPC UA) communication framework (and related protocols) as the integration element between the equipment composing the cell was evaluated. The results indicated that the OPC UA communication framework promotes a low traffic overhead and can also be used to carry data from the traditional protocols in their fields without restrictions that could hinder production. The paper also discusses how the exchange of data occurred between the equipment used in the production and the control systems via the protocol studied. The OPC UA communication framework protocols presented a messaging structure and data transport characteristics that satisfy the integration needs between equipment of several manufacturers that composed an autonomous cell of advanced manufacturing. This paper also presents some key challenges to integrating all equipment not addressed by the OPC UA reference model.</t>
  </si>
  <si>
    <t>10.3390/fi17070318</t>
  </si>
  <si>
    <t>Kang, Zhuangwei; An, Kyoungho; Gokhale, Aniruddha; Pazandak, Paul</t>
  </si>
  <si>
    <t>IC2E - A Comprehensive Performance Evaluation of Different Kubernetes CNI Plugins for Edge-based and Containerized Publish/Subscribe Applications.</t>
  </si>
  <si>
    <t>https://doi.org/10.1109/ic2e52221.2021.00017</t>
  </si>
  <si>
    <t>10.1109/ic2e52221.2021.00017</t>
  </si>
  <si>
    <t>Krause, Julius; Grüger, Heinrich; Gebauer, Lucie; Zheng, Xiaorong; Knobbe, Jens; Pügner, Tino; Kicherer, Anna; Gruna, Robin; Längle, Thomas; Beyerer, Jürgen</t>
  </si>
  <si>
    <t>Smartspectrometer—embedded optical spectroscopy for applications in agriculture and industry</t>
  </si>
  <si>
    <t>https://doi.org/10.3390/s21134476</t>
  </si>
  <si>
    <t>10.3390/s21134476</t>
  </si>
  <si>
    <t>The ongoing digitization of industry and agriculture can benefit significantly from optical spectroscopy. In many cases, optical spectroscopy enables the estimation of properties such as substance concentrations and compositions. Spectral data can be acquired and evaluated in real time, and the results can be integrated directly into process and automation units, saving resources and costs. Multivariate data analysis is needed to integrate optical spectrometers as sensors. Therefore, a spectrometer with integrated artificial intelligence (AI) called SmartSpectrometer and its interface is presented. The advantages of the SmartSpectrometer are exemplified by its integration into a harvesting vehicle, where quality is determined by predicting sugar and acid in grapes in the field.</t>
  </si>
  <si>
    <t>10.3390/s21175826</t>
  </si>
  <si>
    <t>Singh, Rashandeep; Angmo, Rigzin; Jha, Vinit; Singh, Parminder; Singh, Vijay Paul; Aggarwal, Naveen</t>
  </si>
  <si>
    <t>Internet of Things (IoT) Protocols, Communication Technologies, and Services in Industry</t>
  </si>
  <si>
    <t>https://doi.org/10.1109/icac3n53548.2021.9725410</t>
  </si>
  <si>
    <t>10.1109/icac3n53548.2021.9725410</t>
  </si>
  <si>
    <t>Emerging digital technologies have a great influence on industries with the revolution Internet of Things (IoT) that rapidly automates tasks and allows the inanimate physical objects to act without any human intervention. IoT promises to enhance humans' quality of life by connecting smart devices, allowing them to make smart decisions independently. The Industrial IoT (IIoT) or Industry 4.0 is growing exponentially which revolutionizes the operations of the industries. Currently, every manufacturer can adopt Industry 4.0, the effect of which makes IIoT industries more productive. In this paper, we have discussed the IoT protocols and communication technologies and the trending services of IoT in industries. In this paper, we prompt attention to the need to discuss IoT with the advancements in industry 4.0 that is followed by a survey on IoT data protocols, communication protocols. We also discuss the various trends related to this revolution industry including big data, artificial intelligence, cloud computing, and cyber-physical systems. Finally, the key points or the future enhancement of IoT are discussed.</t>
  </si>
  <si>
    <t>Ding, Chaoying; Yang, Ou; Ierapetritou, Marianthi</t>
  </si>
  <si>
    <t>Towards Digital Twin for Biopharmaceutical Processes: Concept and Progress</t>
  </si>
  <si>
    <t>https://doi.org/10.1007/978-3-031-45669-5_6</t>
  </si>
  <si>
    <t>10.1007/978-3-031-45669-5_6</t>
  </si>
  <si>
    <t>Li, Zihang; Hasegawa, Atsushi; Azumi, Takuya</t>
  </si>
  <si>
    <t>Autoware_Perf: A tracing and performance analysis framework for ROS 2 applications</t>
  </si>
  <si>
    <t>https://doi.org/10.1016/j.sysarc.2021.102341</t>
  </si>
  <si>
    <t>10.1016/j.sysarc.2021.102341</t>
  </si>
  <si>
    <t>10.3390/s21186225</t>
  </si>
  <si>
    <t>Al-Masri, Eyhab; Kalyanam, Karan Raj; Batts, John; Kim, Jonathan; Singh, Sharanjit; Vo, Tammy; Yan, Charlotte</t>
  </si>
  <si>
    <t>Investigating Messaging Protocols for the Internet of Things (IoT)</t>
  </si>
  <si>
    <t>https://doi.org/10.1109/access.2020.2993363</t>
  </si>
  <si>
    <t>10.1109/access.2020.2993363</t>
  </si>
  <si>
    <t>As the number of Internet of Things (IoT) devices proliferates, the magnitude and velocity of data continues to increase rapidly. IoT systems rely primarily on using messaging protocols for exchanging IoT data and there exists several protocols or frameworks that support distinct types of messaging patterns. Given that IoT devices typically have limited computational resources and processing power, choosing a lightweight, reliable, scalable, interoperable, extensible and secure messaging protocol becomes a very challenging task. As a result, it is not uncommon that IoT systems may employ multiple messaging protocols for supporting device heterogeneity and different message exchange patterns. In addition, basic similarities among existing several messaging protocols or frameworks that exist today for exchanging IoT data within IoT systems suggest the potential of interoperability. Given that IoT systems help facilitate the interconnectivity among distributed, heterogeneous entities, interoperability among existing messaging protocols will play an increasingly important role in simplifying the development and deployment of IoT systems. In this paper, we present a comprehensive review of the existing messaging protocols that can be used in deploying IoT systems. Throughout this paper, we highlight the protocols' distinctive approaches and applicability of using them across various IoT environments. In addition, we highlight challenges, strengths and weaknesses of these messaging protocols in the context of IoT.</t>
  </si>
  <si>
    <t>10.1016/j.iot.2023.100760</t>
  </si>
  <si>
    <t>Garcia-Ortiz, J.C.; Todoli-Ferrandis, David; Vera-Pérez, Jose; Santonja-Climent, Salvador; Sempere-Payá, Víctor-M.</t>
  </si>
  <si>
    <t>Design of a micro-service based Data Pool for device integration to speed up digitalization</t>
  </si>
  <si>
    <t>https://doi.org/10.1109/telfor48224.2019.8971346</t>
  </si>
  <si>
    <t>10.1109/telfor48224.2019.8971346</t>
  </si>
  <si>
    <t>The integration of heterogeneous systems and devices from different technological generations demands an easy and seamless way to exchange information. Gateways are essential to ensure the interoperability and operation of complex integrated infrastructures. Additional features such as resilience, cybersecurity and scalability may be needed depending on the application. This paper presents an enhanced gateway (Data Pool) based on a micro-service architecture that enables message brokerage and device integration for Industrial IoT applications, fulfilling these requirements.</t>
  </si>
  <si>
    <t>Li, Xue; Ge, Haotian; Huang, Bining</t>
  </si>
  <si>
    <t>Research on Unified Information Modeling and Cross-Protocol Real-Time Interaction Mechanisms for Multi-Energy Supply Systems in Green Buildings</t>
  </si>
  <si>
    <t>https://doi.org/10.3390/su172411230</t>
  </si>
  <si>
    <t>10.3390/su172411230</t>
  </si>
  <si>
    <t>&lt;jats:p&gt;Green buildings increasingly couple electrical, thermal, and hydrogen subsystems, yet these assets are typically monitored and controlled through separate standards and protocols. The resulting heterogeneous information models and communication stacks hinder millisecond-level coordination, plug-and-play integration, and resilient operation. To address this gap, we develop a unified information model and a cross-protocol real-time interaction mechanism based on extensions of IEC 61850. At the modeling level, we introduce new logical nodes and standardized data objects that describe electrical, thermal, and hydrogen devices in a single semantic space, supported by a global unit system and knowledge-graph-based semantic checking. At the communication level, we introduce a semantic gateway with adaptive mapping bridges IEC 61850 and legacy building protocols, while fast event messaging and 5G-enabled edge computing support deterministic low-latency control. The approach is validated on a digital-twin platform that couples an RTDS-based multi-energy system with a 5G test network. Experiments show device plug-and-play within 0.8 s, cross-protocol response-time differences below 50 ms, GOOSE latency under 5 ms, and critical-data success rates above 90% at a bit-error rate of 10−3. Under grid-fault scenarios, the proposed framework reduces voltage recovery time by about 60% and frequency deviation by about 70%, leading to more than 80% improvement in a composite resilience index compared with a conventional non-unified architecture. These results indicate that the framework provides a practical basis for interoperable, low-carbon, and resilient energy management in green buildings.&lt;/jats:p&gt;</t>
  </si>
  <si>
    <t>Paul, Sebastian; Scheible, Patrik</t>
  </si>
  <si>
    <t>ESORICS (2) - Towards Post-Quantum Security for Cyber-Physical Systems: Integrating PQC into Industrial M2M Communication.</t>
  </si>
  <si>
    <t>https://doi.org/10.1007/978-3-030-59013-0_15</t>
  </si>
  <si>
    <t>10.1007/978-3-030-59013-0_15</t>
  </si>
  <si>
    <t>The threat of a cryptographically relevant quantum computer contributes to an increasing interest in the field of post-quantum cryptography (PQC). Compared to existing research efforts regarding the integration of PQC into the Transport Layer Security (TLS) protocol, industrial communication protocols have so far been neglected. Since industrial cyber-physical systems (CPS) are typically deployed for decades, protection against such long-term threats is needed. In this work, we propose two novel solutions for the integration of post-quantum (PQ) primitives (digital signatures and key establishment) into the industrial protocol Open Platform Communications Unified Architecture (OPC UA): a hybrid solution combining conventional cryptography with PQC and a solution solely based on PQC. Both approaches provide mutual authentication between client and server and are realized with certificates fully compliant to the X.509 standard. Moreover, we implement the two solutions and measure and evaluate their performance across three different security levels. All selected algorithms (Kyber, Dilithium, and Falcon) are candidates for standardization by the National Institute of Standards and Technology (NIST). We show that Falcon is a suitable option—especially—when using floating-point hardware provided by our ARM-based evaluation platform. Our proposed hybrid solution provides PQ security for early adopters but comes with additional performance and communication requirements. Our solution solely based on PQC shows superior performance across all evaluated security levels in terms of handshake duration compared to conventional OPC UA but comes at the cost of increased sizes for handshake messages.</t>
  </si>
  <si>
    <t>Guo, Cheng; Yang, Shun; Thiede, Sebastian</t>
  </si>
  <si>
    <t>An Autonomous Edge Box System Architecture for Industrial IoT Applications</t>
  </si>
  <si>
    <t>https://doi.org/10.1109/indin58382.2024.10774355</t>
  </si>
  <si>
    <t>10.1109/indin58382.2024.10774355</t>
  </si>
  <si>
    <t>10.3390/app152312729</t>
  </si>
  <si>
    <t>Pantano, Matteo; Kamps, Tobias; Pizzocaro, Solomon; Pantano, Giorgio; Corno, Matteo; Savaresi, Sergio M.</t>
  </si>
  <si>
    <t>Methodology for Plant Specific Cultivation through a Plant Identification pipeline</t>
  </si>
  <si>
    <t>https://doi.org/10.1109/metroagrifor50201.2020.9277567</t>
  </si>
  <si>
    <t>10.1109/metroagrifor50201.2020.9277567</t>
  </si>
  <si>
    <t>Agriculture needs to optimization for satisfying the rising demands of food due to world population growth. An approach to this problem is digitization of agriculture through IT tools by creating digital twins. However, in the digital twin creation the uniqueness of the plant is lost, therefore, plant based agricultural cultivation cannot be performed. Hence, this paper proposes a methodology to assign an identification marker to plants in a crop using an image analysis pipeline. To show the effectiveness of the algorithm the proposed method is evaluated on the Rovitis robotic platform and compared with the crop ontology. The outcome of this work can be used in robotic agricultural platforms to address plants singularly thus optimizing their cultivation.</t>
  </si>
  <si>
    <t>Klaeger, Tilman; Gottschall, Sebastian; Oehm, Lukas</t>
  </si>
  <si>
    <t>Data Science on Industrial Data—Today’s Challenges in Brown Field Applications</t>
  </si>
  <si>
    <t>https://doi.org/10.3390/challe12010002</t>
  </si>
  <si>
    <t>10.3390/challe12010002</t>
  </si>
  <si>
    <t>Much research is done on data analytics and machine learning for data coming from industrial processes. In practical approaches, one finds many pitfalls restraining the application of these modern technologies especially in brownfield applications. With this paper, we want to show state of the art and what to expect when working with stock machines in the field. The paper is a review of literature found to cover challenges for cyber-physical production systems (CPPS) in brownfield applications. This review is combined with our own personal experience and findings gained while setting up such systems in processing and packaging machines as well as in other areas. A major focus in this paper is on data collection, which tends be more cumbersome than most people might expect. In addition, data quality for machine learning applications is a challenge once leaving the laboratory and its academic data sets. Topics here include missing ground truth or the lack of semantic description of the data. A last challenge covered is IT security and passing data through firewalls to allow for the cyber part in CPPS. However, all of these findings show that potentials of data driven production systems are strongly depending on data collection to build proclaimed new automation systems with more flexibility, improved human–machine interaction and better process-stability and thus less waste during manufacturing.</t>
  </si>
  <si>
    <t>Paul, Sebastian; Scheible, Patrik; Wiemer, Friedrich</t>
  </si>
  <si>
    <t>Towards post-quantum security for cyber-physical systems: Integrating PQC into industrial M2M communication</t>
  </si>
  <si>
    <t>https://doi.org/10.3233/jcs-210037</t>
  </si>
  <si>
    <t>10.3233/jcs-210037</t>
  </si>
  <si>
    <t>&lt;jats:p&gt; The threat of a cryptographically relevant quantum computer contributes to an increasing interest in the field of post-quantum cryptography (PQC). Compared to existing research efforts regarding the integration of PQC into the Transport Layer Security (TLS) protocol, industrial communication protocols have so far been neglected. Since industrial cyber-physical systems (CPS) are typically deployed for decades, protection against such long-term threats is needed. &lt;/jats:p&gt;&lt;jats:p&gt; In this work, we propose two novel solutions for the integration of post-quantum (PQ) primitives (digital signatures and key establishment) into the industrial protocol Open Platform Communications Unified Architecture (OPC UA): a hybrid solution combining conventional cryptography with PQC and a solution solely based on PQC. Both approaches provide mutual authentication between client and server and are realized with certificates fully compliant to the X.509 standard. We implement the two solutions and measure and evaluate their performance across three different security levels. All selected algorithms (Kyber, Dilithium, and Falcon) are candidates for standardization by the National Institute of Standards and Technology (NIST). We show that Falcon is a suitable option – especially – when using floating-point hardware provided by our ARM-based evaluation platform. Our proposed hybrid solution provides PQ security for early adopters but comes with additional performance and communication requirements. Our solution solely based on PQC shows superior performance across all evaluated security levels in terms of handshake duration compared to conventional OPC UA but comes at the cost of increased handshake sizes. &lt;/jats:p&gt;&lt;jats:p&gt; In addition to our performance evaluation, we provide a proof of security in the symbolic model for our two PQC-based variants of OPC UA. For this proof, we use the cryptographic protocol verifier ProVerif and formally verify confidentiality and authentication properties of our quantum-resistant variants. &lt;/jats:p&gt;</t>
  </si>
  <si>
    <t>10.1109/eecsi63442.2024.10776142</t>
  </si>
  <si>
    <t>Negri, Elisa; Berardi, Stefano; Fumagalli, Luca; Macchi, Marco</t>
  </si>
  <si>
    <t>MES-integrated digital twin frameworks</t>
  </si>
  <si>
    <t>https://doi.org/10.1016/j.jmsy.2020.05.007</t>
  </si>
  <si>
    <t>10.1016/j.jmsy.2020.05.007</t>
  </si>
  <si>
    <t>Monek, Gergő Dávid; Fischer, Szabolcs</t>
  </si>
  <si>
    <t>IIoT-Supported Manufacturing-Material-Flow Tracking in a DES-Based Digital-Twin Environment</t>
  </si>
  <si>
    <t>https://doi.org/10.3390/infrastructures8040075</t>
  </si>
  <si>
    <t>10.3390/infrastructures8040075</t>
  </si>
  <si>
    <t>&lt;jats:p&gt;Manufacturing processes can be cited as significant research areas when examining infrastructure systems and infrastructure, as they are inextricably linked to both. Examples include automobile manufacturing, the production of traffic signs, etc. Connecting and utilizing Industry 4.0 technologies and processing simulation solutions to address industry challenges, such as process optimization and fault detection, are gaining in popularity. Cyber-physical systems and digital twins connect the physical and cyber worlds to enable intelligent manufacturing capabilities, increased system flexibility, decreased manufacturing-cycle times, and improved quality. This paper presents a solution that improves the synchronization between the real (physical) and simulation (digital) layers, using discrete-event-driven simulations to create more efficient and accurate digital-twin environments. Using a combination of inexpensive commercial microcontrollers and an inertial-measurement-unit sensor to enhance a standard programmable logic controller process, a discrete-event-simulation-based digital layer is updated in real time to produce a live digital twin. The system can accurately identify and track products throughout the production cycle while simultaneously updating the digital twin in real time. Even independently, the algorithm running on the microcontroller can be used to gather the input parameters required for the simulation of production processes. The implemented environment can serve as a suitable testing ground for investigating the practical applicability of digital-twin solutions.&lt;/jats:p&gt;</t>
  </si>
  <si>
    <t>10.1109/access.2025.3580055</t>
  </si>
  <si>
    <t>Wen, Jinfeng; Chen, Zhenpeng; Zhao, Jianshu; Sarro, Federica; Ping, Haodi; Zhang, Ying; Wang, Shangguang; Liu, Xuanzhe</t>
  </si>
  <si>
    <t>&lt;i&gt;SCOPE&lt;/i&gt; : Performance Testing for Serverless Computing</t>
  </si>
  <si>
    <t>https://doi.org/10.1145/3717609</t>
  </si>
  <si>
    <t>10.1145/3717609</t>
  </si>
  <si>
    <t>&lt;jats:p&gt; Serverless computing is a popular cloud computing paradigm that has found widespread adoption across various online workloads. It allows software engineers to develop cloud applications as a set of functions (called &lt;jats:italic toggle="yes"&gt;serverless functions&lt;/jats:italic&gt; ). However, accurately measuring the performance (i.e., end-to-end response latency) of serverless functions is challenging due to the highly dynamic nature of the environment in which they run. To tackle this problem, a potential solution is to apply checks of performance testing techniques to determine how many repetitions of a given serverless function across a range of inputs are needed to cater to the performance fluctuation. However, the available literature lacks performance testing approaches designed explicitly for serverless computing. In this article, we propose the first serverless computing-oriented performance testing (SCOPE) approach. &lt;jats:italic toggle="yes"&gt;SCOPE&lt;/jats:italic&gt; takes into account the unique performance characteristics of serverless functions, such as their short execution durations and on-demand triggering. As such, &lt;jats:italic toggle="yes"&gt;SCOPE&lt;/jats:italic&gt; is designed as a fine-grained analysis approach. &lt;jats:italic toggle="yes"&gt;SCOPE&lt;/jats:italic&gt; incorporates the accuracy check and the consistency check to obtain the accurate and reliable performance of serverless functions. The evaluation shows that &lt;jats:italic toggle="yes"&gt;SCOPE&lt;/jats:italic&gt; provides testing results with 97.25% accuracy, 33.83 percentage points higher than the best currently available technique. Moreover, the superiority of &lt;jats:italic toggle="yes"&gt;SCOPE&lt;/jats:italic&gt; over the state-of-the-art holds on all functions that we study. &lt;/jats:p&gt;</t>
  </si>
  <si>
    <t>Peng, Ling; Yang, Zhijian; Ye, Xun; Xu, Wenjun; Li, Ruifang</t>
  </si>
  <si>
    <t>A digital twin approach for online reconfiguration of robotic manufacturing systems toward plug-and-produce</t>
  </si>
  <si>
    <t>https://doi.org/10.1080/0951192x.2025.2544550</t>
  </si>
  <si>
    <t>10.1080/0951192x.2025.2544550</t>
  </si>
  <si>
    <t>The digitalization of manufacturing is being developed with frequent changes in customer demands. This requires greater flexibility of manufacturing systems resulting in updates in types and quantities of field devices. However, traditional reconfiguration approaches ignore the perception of dynamic states in the actual manufacturing environment, and their deployment often happens offline unfulfilling the plug-and-produce (PnP) requirement. This paper focuses on the online reconfiguration approach of robotic manufacturing systems (RoMS). First, a digital twin-based modeling approach for reconfiguration of RoMS was proposed. Considering dynamic demands for the manufacturing capability of RoMS, a reconfiguration strategy for the digital twin model was specified. Then, a digital twin-based online reconfiguration optimization approach was proposed. An architecture that combines the reconfiguration optimization method and Open Platform Communications Unified Architecture (OPC UA) discovery service was designed. A multi-objective optimization model was developed for the reconfiguration problem of RoMS; an improved migrating birds optimization algorithm was designed to solve the problem. Finally, on-demand PnP functionality was realized through the OPC UA discovery service during the RoMS's real-time operation. The feasibility of the proposed approach was verified by a practical use case of RoMS, showing superior performance than other comparative optimization methods in terms of defined fitness function.</t>
  </si>
  <si>
    <t>10.1007/978-3-031-87499-4_21</t>
  </si>
  <si>
    <t>Sarasola, Telmo Fernández De Barrena; García, Ander; Ferrando, Juan Luis</t>
  </si>
  <si>
    <t>IIoT Protocols for Edge/Fog and Cloud Computing in Industrial AI</t>
  </si>
  <si>
    <t>https://doi.org/10.4018/ijcac.342128</t>
  </si>
  <si>
    <t>10.4018/ijcac.342128</t>
  </si>
  <si>
    <t>&lt;p&gt;Various industrial applications deal with high-frequency data. Traditionally, these systems have analyzed high-frequency data directly on the data source or at the commanding PLC. However, currently, Industry 4.0 technologies support new monitoring scenarios for high-frequency data monitoring where raw data is transmitted in soft-real time to an Edge/Fog or Cloud node for processing, enabling centralized computing. This demands efficient communication protocols capable of handling high-frequency, high-throughput data. This paper focuses on analyzing the performance of key IIoT (Industrial Internet of Things) messaging protocols—AMQP, MQTT, KAFKA, ZeroMQ, and OPCUA—to evaluate their suitability, in terms of latency and jitter, for transmitting high-frequency data within these new scenarios. The analysis reveals MQTT, AMQP, and ZeroMQ as top performers in Edge/Fog computing, while ZeroMQ exhibits the lowest latency and jitter in Cloud computing. Finally, a guideline for protocol selection is proposed, aiding industrial enterprises in protocol selection for specific AI use cases.&lt;/p&gt;</t>
  </si>
  <si>
    <t>Berndt, Maximilian; Krummacker, Dennis; Fischer, Christoph; Schotten, Hans D.</t>
  </si>
  <si>
    <t>Unified Multi-Modal Data Aggregation for Complementary Sensor Networks Applied for Localization</t>
  </si>
  <si>
    <t>https://doi.org/10.1109/vtc2022-spring54318.2022.9860496</t>
  </si>
  <si>
    <t>10.1109/vtc2022-spring54318.2022.9860496</t>
  </si>
  <si>
    <t>Technological trends in different domains have en-abled operators to integrate large numbers of sensors within their wireless communication networks. These sensors can provide data for many different fields of applications, e.g. process monitoring, eHealth or position feedback for closed loop control of autonomous vehicles. However, such systems often face the challenge to aggregate and process information from many distinct sources in a homogeneous and coherent manner. We propose a software architecture design that is based on any context management and message handling system. The general objective is to design a common interface for different information sources. We assume that by processing this data in conjunction it can be possible to obtain enhanced quality of information. The presented abstract architecture can enable the user to flexibly integrate different Information Anchors - active sensors or passive tags - within a comprehensive multi-modal, multi-domain data aggregation platform. By applying a system as proposed, it is possible to generate a pool of homogeneous data sets that can be used as a sound foundation for further analysis. We demonstrate the feasibility of the concept by presenting a possible realization of a system as described in form of an inter-operable multi-technology indoor localization system.</t>
  </si>
  <si>
    <t>Valera, Alvin C.; Cameron, Duncan E.</t>
  </si>
  <si>
    <t>Leveraging Hybrid Information Centric Networking for Broker-Free Publish/Subscribe in IoT</t>
  </si>
  <si>
    <t>https://doi.org/10.1109/icc45041.2023.10278792</t>
  </si>
  <si>
    <t>10.1109/icc45041.2023.10278792</t>
  </si>
  <si>
    <t>In many Internet of Things (IoT) applications, clients are "content-centric" in the sense that they are interested in obtaining content or data regardless of their physical source. This pattern is different from "host-centric" communications wherein clients connect to a particular server to access its resources. The content-centric nature of IoT require a new kind of message delivery support whereby a client can query for data, and obtain the data from any node that has a copy of that data. Publish/subscribe, often called pub/sub for short, is a messaging paradigm that can facilitate this new communication pattern. In this paper, we propose Framework for Lightweight Publish-Subscribe (FLIPS), a lightweight topic-based pub/sub for IoT that uses the Hybrid Information-Centric Network (hICN) stack for distributed, broker-free operation. We implemented Flips using the open-source hICN transport library and tested its operation through network emulation. Compared with Message Queuing Telemetry Transport (MQTT), Flips can provide similar reli-ability and lower latency especially in scenarios where caching can opportunistically be used.</t>
  </si>
  <si>
    <t>Bui, The Tri; Shin, Jin-Ho; Ngo, Ha Quang Thinh</t>
  </si>
  <si>
    <t>General Evaluation of EtherCAT-Based Techniques in Various Industrial Systems: Review and Applications</t>
  </si>
  <si>
    <t>https://doi.org/10.1007/978-3-031-58878-5_9</t>
  </si>
  <si>
    <t>10.1007/978-3-031-58878-5_9</t>
  </si>
  <si>
    <t>10.1109/eeeic/icpseurope54979.2022.9854539</t>
  </si>
  <si>
    <t>Saboia, Maira; Clark, Lillian; Thangavelu, Vivek; Edlund, Jeffrey A.; Otsu, Kyohei; Correa, Gustavo J.; Varadharajan, Vivek Shankar; Santamaria-Navarro, Angel; Touma, Thomas; Bouman, Amanda; Melikyan, Hovhannes; Pailevanian, Torkom; Kim, Sung-Kyun; Archanian, Avak; Vaquero, Tiago Stegun; Beltrame, Giovanni; Napp, Nils; Pessin, Gustavo; Agha-mohammadi, Ali-akbar</t>
  </si>
  <si>
    <t>ACHORD: Communication-Aware Multi-Robot Coordination With Intermittent Connectivity</t>
  </si>
  <si>
    <t>https://doi.org/10.1109/lra.2022.3193240</t>
  </si>
  <si>
    <t>10.1109/lra.2022.3193240</t>
  </si>
  <si>
    <t>Communication is an important capability for multi-robot exploration because (1) inter-robot communication (comms) improves coverage efficiency and (2) robot-to-base comms improves situational awareness. Exploring comms-restricted (e.g., subterranean) environments requires a multi-robot system to tolerate and anticipate intermittent connectivity, and to carefully consider comms requirements, otherwise mission-critical data may be lost. In this paper, we describe and analyze ACHORD (Autonomous &amp; Collaborative High-Bandwidth Operations with Radio Droppables), a multi-layer networking solution which tightly co-designs the network architecture and high-level decision-making for improved comms. ACHORD provides bandwidth prioritization and timely and reliable data transfer despite intermittent connectivity. Furthermore, it exposes low-layer networking metrics to the application layer to enable robots to autonomously monitor, map, and extend the network via droppable radios, as well as restore connectivity to improve collaborative exploration. We evaluate our solution with respect to the comms performance in several challenging underground environments including the DARPA SubT Finals competition environment. Our findings support the use of data stratification and flow control to improve bandwidth-usage.</t>
  </si>
  <si>
    <t>Wendt, Arne; Schüppstuhl, Thorsten</t>
  </si>
  <si>
    <t>A Solution to the Generalized ROS Hardware IO Problem - A Generic Modbus/TCP Device Driver for PLCs, Sensors and Actuators</t>
  </si>
  <si>
    <t>https://doi.org/10.1109/etfa45728.2021.9613662</t>
  </si>
  <si>
    <t>10.1109/etfa45728.2021.9613662</t>
  </si>
  <si>
    <t>Spitzer, Fabian; Froschauer, Roman; Schichl, Thomas</t>
  </si>
  <si>
    <t>ATLAS - A Generic Framework for Generation of Skill-Based Control Logic and Simulation Models for Intralogistics Applications</t>
  </si>
  <si>
    <t>https://doi.org/10.1109/etfa45728.2021.9613345</t>
  </si>
  <si>
    <t>10.1109/etfa45728.2021.9613345</t>
  </si>
  <si>
    <t>Ioana, Alexandru; Korodi, Adrian</t>
  </si>
  <si>
    <t>DDS and OPC UA Protocol Coexistence Solution in Real-Time and Industry 4.0 Context Using Non-Ideal Infrastructure.</t>
  </si>
  <si>
    <t>https://doi.org/10.3390/s21227760</t>
  </si>
  <si>
    <t>10.3390/s21227760</t>
  </si>
  <si>
    <t>Continuing the evolution towards Industry 4.0, the industrial communication protocols represent a significant topic of interest, as real-time data exchange between multiple devices constitute the pillar of Industrial Internet of Things (IIoT) scenarios. Although the legacy protocols are still persistent in the industry, the transition was initiated by the key Industry 4.0 facilitating protocol, the Open Platform Communication Unified Architecture (OPC UA). OPC UA has to reach the envisioned applicability, and it therefore has to consider coexistence with other emerging real-time oriented protocols in the production lines. The Data Distribution Service (DDS) will certainly be present in future architectures in some areas as robots, co-bots, and compact units. The current paper proposes a solution to evaluate the real-time coexistence of OPC UA and DDS protocols, functioning in parallel and in a gateway context. The purpose is to confirm the compatibility and feasibility between the two protocols alongside a general definition of criteria and expectations from an architectural point of view, pointing out advantages and disadvantages in a neutral manner, shaping a comprehensive view of the possibilities. The researched architecture is meant to comply with both performance comparison scenarios and interaction scenarios over a gateway application. Considering the industrial tendencies, the developed solution is applied using non-ideal infrastructures to provide a more feasible and faster applicability in the production lines.</t>
  </si>
  <si>
    <t>10.1109/icecet55527.2022.9873081</t>
  </si>
  <si>
    <t>Lin, Chin-Te; Lu, Hong-Ji</t>
  </si>
  <si>
    <t>An Intelligent Product-Driven Manufacturing System Using Data Distribution Service</t>
  </si>
  <si>
    <t>https://doi.org/10.1109/access.2024.3359228</t>
  </si>
  <si>
    <t>10.1109/access.2024.3359228</t>
  </si>
  <si>
    <t>As key components of smart factories, intelligent production machines are gradually becoming a major capital asset of companies in the market, offering connectivity, interoperability, and services. However, due to commercial and technological constraints, production machines rarely provide enough information for customers to develop data-driven applications. Therefore, this research proposes that intelligence should be built into them to assist in production control and to allow relevant data to be collected and made available for future use. In order to realize this proposal, in this paper, an operational paradigm for such systems is first outlined. Then, the states of workpieces in a production environment are classified, and the methods of generation, operation, and transfer of instances described. The next step is to build an intelligent product-driven manufacturing system using Data Distribution Service (DDS). Intelligent workpieces and machines collaborate to complete production tasks in such a system. In the course of this collaborative process, an intelligent workpiece continuously collects relevant data and packages it together for the customer on its transformation into a final product. The feasibility of this intelligent product-driven manufacturing system is examined by upgrading a classic manufacturing factory. In addition, the study explores the system architecture, the implementation of a classic system upgrade, the production data collection, and the intellectualization of data assets. In conclusion, this study's results will help machine builders expand their business models providing customers with production machines that carry data for advanced data-driven applications.</t>
  </si>
  <si>
    <t>Ghazi, Youness; Tabaa, Mohamed; Ennaji, Mohamed; Zaz, Ghita</t>
  </si>
  <si>
    <t>An Explainable Markov Chain-Machine Learning Sequential-Aware Anomaly Detection Framework for Industrial IoT Systems Based on OPC UA.</t>
  </si>
  <si>
    <t>https://doi.org/10.3390/s25196122</t>
  </si>
  <si>
    <t>10.3390/s25196122</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</si>
  <si>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t>
  </si>
  <si>
    <t>Laghari, Shams A.; Manickam, Selvakumar; Karuppayah, Shankar</t>
  </si>
  <si>
    <t>A Review on SECS/GEM: A Machine-to-Machine (M2M) Communication Protocol for Industry 4.0</t>
  </si>
  <si>
    <t>https://doi.org/10.18178/ijeetc.10.2.105-114</t>
  </si>
  <si>
    <t>10.18178/ijeetc.10.2.105-114</t>
  </si>
  <si>
    <t>&lt;jats:p&gt;Industry 4.0 has imminently emerged as the fourth industrial revolution. It garners emphasis primarily on the interaction between factory equipment and machines involved in entire value-chain activities for boosting efficiency and production with limited human intervention. The M2M communication protocols have gained significant prominence amidst sage minds in recent years, particularly in the manufacturing industries. Several M2M communication protocols have been developed for the industry, such as SECS/GEM, OPC UA, DDS, and MQTT. Among these protocols, SECS/GEM is a semiconductor’s equipment interface protocol for equipment-to-host data communications. It is not a modern, but decades-long protocol, and has been again brought to the fore by Industry 4.0. Thereupon, it was imperative to review amenability of SECS/GEM protocol in the context of adaptation of features depicted by industry 4.0, and limelight plethora of shortcomings and limitations. In this paper, comparisons of prominent features and limitations of the aforementioned M2M communication protocols in general and review of the SECS/GEM protocol in particular, have been made. Findings include deficiencies in security, point to point communication, discovery mechanism, fixed message format, interoperability, extendibility, and manual integration.&lt;/jats:p&gt;</t>
  </si>
  <si>
    <t>10.1109/access.2024.3449642</t>
  </si>
  <si>
    <t>Vyskočil, Jiří; Douda, Petr; Novák, Petr; Wally, Bernhard</t>
  </si>
  <si>
    <t>A Digital Twin-Based Distributed Manufacturing Execution System for Industry 4.0 with AI-Powered On-The-Fly Replanning Capabilities</t>
  </si>
  <si>
    <t>https://doi.org/10.3390/su15076251</t>
  </si>
  <si>
    <t>10.3390/su15076251</t>
  </si>
  <si>
    <t>&lt;jats:p&gt;Industry 4.0 smart production systems comprise industrial systems and subsystems that need to be integrated in such a way that they are able to support high modularity and reconfigurability of all system components. In today’s industrial production, manufacturing execution systems (MESs) and supervisory control and data acquisition (SCADA) systems are typically in charge of orchestrating and monitoring automated production processes. This article explicates an MES architecture that is capable of autonomously composing, verifying, interpreting, and executing production plans using digital twins and symbolic planning methods. To support more efficient production, the proposed solution assumes that the manufacturing process can be started with an initial production plan that may be relatively inefficient but quickly found by an AI. While executing this initial plan, the AI searches for more efficient alternatives and forwards better solutions to the proposed MES, which is able to seamlessly switch between the currently executed plan and the new plan, even during production. Further, this on-the-fly replanning capability is also applicable when newly identified production circumstances/objectives appear, such as a malfunctioning robot, material shortage, or a last-minute change to a customizable product. Another feature of the proposed MES solution is its distributed operation with multiple instances. Each instance can interpret its part of the production plan, dedicated to a location within the entire production site. All of these MES instances are continuously synchronized, and the actual global or partial (i.e., from the instance perspective) progress of the production is handled in real-time within one common digital twin. This article presents three main contributions: (i) an execution system that is capable of switching seamlessly between an original and a subsequently introduced alternative production plan, (ii) on-the-fly AI-powered planning and replanning of industrial production integrated into a digital twin, and (iii) a distributed MES, which allows for running multiple instances that may depend on topology or specific conditions of a real production plant. All of these outcomes are demonstrated and validated on a use-case utilizing an Industry 4.0 testbed, which is equipped with an automated transport system and several industrial robots. While our solution is tested on a lab-sized production system, the technological base is prepared to be scaled up to larger systems.&lt;/jats:p&gt;</t>
  </si>
  <si>
    <t>Poschmann, Hendrik; Brüggemann, Holger; Goldmann, Daniel</t>
  </si>
  <si>
    <t>Fostering End-of-Life Utilization by Information-driven Robotic Disassembly</t>
  </si>
  <si>
    <t>https://doi.org/10.1016/j.procir.2021.01.104</t>
  </si>
  <si>
    <t>10.1016/j.procir.2021.01.104</t>
  </si>
  <si>
    <t>Abstract Economic and ecological feasibility are the key factors for companies to engage in circular economy processes. Disassembly plays a major role in this environment, as it is one of the most complex and labor-intensive steps in end-of-life processing. For this reason, an automation of the disassembly in order to facilitate performing the necessary tasks is highly favorable. In this contribution, an agent-based robotic disassembly system, evolved from the innovation cluster “Recycling 4.0”, is presented. The proposed system features a novel information-driven control architecture, combining a superordinate, cloud-based knowledge base and comprehensive sensory perception. In pursuance to find an optimized utilization strategy for each part to be disassembled, various features, such as individual life-cycle data, material composition and optical rating are taken into account for an artificial intelligence based multi-criteria assessment in order to determine an appropriate end-of-life option for each of the part’s components. It is shown that the developed system is able to operate in a collaborative scenario of an electric vehicle traction-battery disassembly, deciding upon the level of disassembly for the end-of-life option chosen based on the available information, which is acquired through a system-wide interoperability standard. Being able to actively contribute to the overall knowledge base of the framework by processing validated product- and process-knowledge back to the knowledge base, the robotic system fosters a feasible progression towards closed-loop supply-chains in a circular economy and enables new market participants to engage in recycling operations.</t>
  </si>
  <si>
    <t>Herrnleben, Stefan; Leidinger, Maximilian; Lesch, Veronika; Prantl, Thomas; Grohmann, Johannes; Krupitzer, Christian; Kounev, Samuel</t>
  </si>
  <si>
    <t>ComBench: A Benchmarking Framework for Publish/Subscribe Communication Protocols Under Network Limitations</t>
  </si>
  <si>
    <t>https://doi.org/10.1007/978-3-030-92511-6_5</t>
  </si>
  <si>
    <t>10.1007/978-3-030-92511-6_5</t>
  </si>
  <si>
    <t>Mattera, Giulio; Yap, Emily W.; Polden, Joseph; Brown, Evan; Nele, Luigi; Van Duin, Stephen</t>
  </si>
  <si>
    <t>Utilising unsupervised machine learning and IoT for cost-effective anomaly detection in multi-layer wire arc additive manufacturing</t>
  </si>
  <si>
    <t>https://doi.org/10.1007/s00170-024-14648-8</t>
  </si>
  <si>
    <t>10.1007/s00170-024-14648-8</t>
  </si>
  <si>
    <t>10.1109/access.2024.3452468</t>
  </si>
  <si>
    <t>Raddatz, Hannes; Mahmoud, Eman; Holzke, Fabian; Danielis, Peter; Timmermann, Dirk; Golatowski, Frank</t>
  </si>
  <si>
    <t>ICPS - Evaluation and Extension of OPC UA Publish/Subscribe MQTT Binding</t>
  </si>
  <si>
    <t>https://doi.org/10.1109/icps48405.2020.9274696</t>
  </si>
  <si>
    <t>10.1109/icps48405.2020.9274696</t>
  </si>
  <si>
    <t>Currently, Open Platform Communication Unified Architecture (OPC UA) is nominated as a reference standard to meet all Industry 4.0 demands with one protocol, enabling an efficient communication between devices in industrial systems. Recently, OPC UA has been extended by a publish/subscribe pattern to support multicast communication since there is a need for an efficient data aggregation and distribution to cope with the increasing number of controllers, sensors, and measured values in industries. Message Queuing Telemetry Transport (MQTT) is the most widely used publish/subscribe communication protocol and is based on a central broker for message exchange. In this paper, the communication latency of OPC UA end devices exchanging data over MQTT as a broker-based middleware is investigated and compared to the client/server-based communication. In particular, we analyze the use case of one-to-many communication for a crane model from the material handling domain. We provide a prototype implementation of the OPC UA MQTT extension and our evaluation results show the reduced traffic overhead and communication latency compared to client/server-based communication.</t>
  </si>
  <si>
    <t>10.1109/access.2024.3361753</t>
  </si>
  <si>
    <t>Baroth, Timo; Dargaville, Tim R.; Dalton, Paul D.; Hutmacher, Dietmar W.</t>
  </si>
  <si>
    <t>Innovation Meets Accessibility in Melt Electrowriting 3D Printer Design: Continuous Process Monitoring and Automation via Modular Software and Hardware</t>
  </si>
  <si>
    <t>https://doi.org/10.1002/admt.202501073</t>
  </si>
  <si>
    <t>10.1002/admt.202501073</t>
  </si>
  <si>
    <t>&lt;jats:title&gt;ABSTRACT&lt;/jats:title&gt; &lt;jats:p&gt;Significant efforts have been made to develop printers, monitoring systems, and closed‐loop control to enhance the complex melt electrowriting (MEW) process. However, the lack of standardization and modularity hinders the adaptation and integration of previous advancements, slowing technological progress. To address these challenges, an innovative hardware design that incorporates multiple cameras and a rotating collector platform, combined with an adaptable software architecture based on a standard open communication protocol, is presented. The software modules are created using open‐source and widely recognized commercial scientific libraries and applications and are shared via GitHub. As a hardware platform, standard Cartesian kinematics are utilized and enhanced by a turntable collector. This design enables continuous in‐process monitoring with fixed cameras, while ensuring straightforward motion planning. The versatility of the hardware and software was validated through automated parameter studies and 3D printing of structures with intentionally introduced defects, generating large process data volumes and demonstrating in‐process print defect detection. The previously unreported impact of nonideal camera perspectives is investigated, and future directions for kinematic‐agnostic monitoring systems are outlined. Overall, this work aims to motivate engineering and application‐focused research communities to adopt modularity and interoperability. This enhances the accessibility and reproducibility of MEW, thereby facilitating its adoption.&lt;/jats:p&gt;</t>
  </si>
  <si>
    <t>Mathias, Selvine G.; Schmied, Sebastian; Grossmann, Daniel</t>
  </si>
  <si>
    <t>ANT/EDI40 - An Investigation on Database Connections in OPC UA Applications</t>
  </si>
  <si>
    <t>https://doi.org/10.1016/j.procs.2020.03.132</t>
  </si>
  <si>
    <t>10.1016/j.procs.2020.03.132</t>
  </si>
  <si>
    <t>Abstract Open Platform Communications - Unified Architecture (OPC UA) as a communication protocol has been one of the front running IoT enablers in recent years. Many use cases in manufacturing domains demonstrate the vast inter-operability and cross-platform connectivity strengths of OPC UA. However, to consolidate its position in the IoT world, OPC UA needs to be able to bridge certain gaps, like interconnections across multiple database engines over different networks. This paper aims to investigate aggregation dynamics of OPC UA consisting of multiple database servers from a specific environment such as manufacturing. Prevailing databases over restricted networks such as production floors cannot be accessed by respective clients outside the system. In these cases, OPC UA services can provide an a selective but imperative view of data from these databases to the clients. The investigations in this paper are demonstrated with two different implementations of databases related to manufacturing with OPC UA. These applications show that using OPC UA as a means of connection and distribution of information from databases can be an effective solution to a common data view of all connections not necessarily of factory floor network.</t>
  </si>
  <si>
    <t>Profanter, Stefan; Perzylo, Alexander; Rickert, Markus; Knoll, Alois</t>
  </si>
  <si>
    <t>A Generic Plug &amp; Produce System Composed of Semantic OPC UA Skills</t>
  </si>
  <si>
    <t>https://doi.org/10.1109/ojies.2021.3055461</t>
  </si>
  <si>
    <t>10.1109/ojies.2021.3055461</t>
  </si>
  <si>
    <t>Typical industrial workcells are composed of a plenitude of devices from various manufacturers, which rely on their own specific control interfaces. To reduce setup and reconfiguration times, a hardware-agnostic Plug &amp; Produce system is required. In this paper, we present a system architecture that uses generic and semantically augmented OPC UA skills for robots, tools, and other system components. Standardized skill interfaces and parameters facilitate flexible component interchange and automatic parametrization with a focus on reusability of skills across different platforms and domains. The hierarchical composition of such skills allows for additional abstraction through the grouping of functionalities. Through the extension of OPC UA discovery services, available skills are dynamically detected whenever a manufacturing system's component is updated. The introduced Plug &amp; Produce system is evaluated in multiple industrial workcells composed of robots, tool changer, electric parallel gripper, and vacuum gripper—all controlled via the proposed OPC UA skill interface. The evaluation of our system architecture demonstrates the applicability of the Plug &amp; Produce concept in the domain of robot-based industrial assembly. Although it is necessary to adapt existing hardware to comply with the semantic skill concept, the initial one-time effort yields reoccurring efficiency gains during system reconfiguration. In particular, small lot production benefits from reduced changeover times.</t>
  </si>
  <si>
    <t>10.1016/j.ijcip.2025.100827</t>
  </si>
  <si>
    <t>Huertos, Francisco Javier; Chicote, Beatriz; Masenlle, Manuel; Ayuso, Mikel</t>
  </si>
  <si>
    <t>CASE - A Novel Architecture for Cyber-Physical Production Systems in Industry 4.0</t>
  </si>
  <si>
    <t>https://doi.org/10.1109/case49439.2021.9551464</t>
  </si>
  <si>
    <t>10.1109/case49439.2021.9551464</t>
  </si>
  <si>
    <t>The Hyperconnected Architecture for High Cognitive Production Plants (HyperCOG) project aims at the process industry's complete digital transformation through an advanced Industrial Cyber-Physical Infrastructure. It is based on advanced technologies that allow a hyperconnected network of digital nodes to be created improving the classic automation hierarchy of communication layers. The nodes will collect data streams in real-time, offering cognitive sensing and information along with high performance computing capabilities making the process industry businesses solid in different scenarios. The system is validated in three fields of the process industry: steel, cement and chemical where optimization in the use of energy and raw materials is obtained, among other benefits.</t>
  </si>
  <si>
    <t>Arestova, Anna; Martin, Maximilian; Hielscher, Kai-Steffen; German, Reinhard</t>
  </si>
  <si>
    <t>A Service-Oriented Real-Time Communication Scheme for AUTOSAR Adaptive Using OPC UA and Time-Sensitive Networking.</t>
  </si>
  <si>
    <t>https://doi.org/10.3390/s21072337</t>
  </si>
  <si>
    <t>10.3390/s21072337</t>
  </si>
  <si>
    <t>The transportation industry is facing major challenges that come along with innovative trends like autonomous driving. Due to the growing amount of network participants, smart sensors, and mixed-critical data, scalability and interoperability have become key factors of cost-efficient vehicle engineering. One solution to overcome these challenges is the AUTOSAR Adaptive software platform. Its service-oriented communication methodology allows a standardized data exchange that is not bound to a specific middleware protocol. OPC UA is a communication standard that is well-established in modern industrial automation. In addition to its Client-Server communication pattern, the newly released Publish-Subscribe (PubSub) architecture promotes scalability. PubSub is designed to work in conjunction with Time-Sensitive Networking (TSN), a collection of standards that add real-time aspects to standard Ethernet networks. TSN allows services with different requirements to share a single physical network. In this paper, we specify an integration approach of AUTOSAR Adaptive, OPC UA, and TSN. It combines the benefits of these three technologies to provide deterministic high-speed communication. Our main contribution is the architecture for the binding between Adaptive Platform and OPC UA. With a prototypical implementation, we prove that a combination of OPC UA Client-Server and PubSub qualifies as a middleware solution for service-oriented communication in AUTOSAR.</t>
  </si>
  <si>
    <t>Solpan, Sevval; Kucuk, Kerem</t>
  </si>
  <si>
    <t>DDS-XRCE Standard Performance Evaluation of Different Communication Scenarios in IoT Technologies</t>
  </si>
  <si>
    <t>https://doi.org/10.4108/eetiot.v8i4.2691</t>
  </si>
  <si>
    <t>10.4108/eetiot.v8i4.2691</t>
  </si>
  <si>
    <t>&lt;jats:p&gt;Although the increasing number of technological products brings many solutions for Internet of Things (IoT) applications, it also causes some drawbacks, such as whether the product in question would run accordingly to a system structured to enable high-performance like Data Distribution Service (DDS). Therefore, the capabilities of the products must be defined to say that they are compatible enough. This paper aims to evaluate the performance of the DDS-XRCE standard while observing its working mechanism. As test scenarios, we benefit from three DDS-XRCE deployments that occurred due to the kind of receiver and sender, the path that packets follow, and the protocols used. Test conditions were set by switching stream modes, transport profiles, and limiting packet deliveries. We obtained the test environment by creating the DDS and DDS-XRCE objects using several eProsima implementations and tools for the standards. We monitored the network messages in two ways: 1) Using multiple Gnome Terminator terminals for observation via the human eye during testing. 2) Using Wireshark to save the information of the packets for further examination. We conducted 36 experiments focusing on latency, throughput, and packet loss. As a result of our study, the DDS-XRCE standard is deemed suitable for Internet of Things applications.&lt;/jats:p&gt;</t>
  </si>
  <si>
    <t>10.1016/j.jii.2025.101013</t>
  </si>
  <si>
    <t>Venkateswaran, Praveen; Benson, Kyle E.; Hsieh, Chia-Ying; Hsu, Cheng-Hsin; Mehrotra, Sharad; Venkatasubramanian, Nalini</t>
  </si>
  <si>
    <t>REAM: A Framework for Resource Efficient Adaptive Monitoring of Community Spaces</t>
  </si>
  <si>
    <t>https://doi.org/10.1016/j.pmcj.2021.101459</t>
  </si>
  <si>
    <t>10.1016/j.pmcj.2021.101459</t>
  </si>
  <si>
    <t>Spitzer, Fabian; Lindorfer, Rene; Froschauer, Roman; Hofmann, Michael; Ikeda, Markus</t>
  </si>
  <si>
    <t>ETFA - A generic Approach for the Industrial Application of Skill-based Engineering using OPC UA</t>
  </si>
  <si>
    <t>https://doi.org/10.1109/etfa46521.2020.9211872</t>
  </si>
  <si>
    <t>10.1109/etfa46521.2020.9211872</t>
  </si>
  <si>
    <t>Current trends in the context of Industry 4.0 attempt to minimize production costs and increase productivity. Nowadays control systems consist of components from various manufacturers. Therefore, it must be possible to easily connect these components without any platform specific interface definitions or software implementations. A first approach is the industry standard OPC UA, which enables the definition of hardware-independent interfaces of automation components (i.e. PLCs). Many manufacturers already start to integrate this standard into their products but unfortunately it only defines the transport layer of data and not which data is to be transported. Therefore, vendor-overlapping communication is only possible in case there is common understanding of how variables and functions are named and interpreted. A promising step towards this is to define skills as atomic unit for modeling and operating automation processes. Consequently the fixed mapping of skills and manufacturing stations is no more necessary during the engineering process. When applying skill-based engineering concepts it is only important to model and orchestrate skills that can accomplish the required tasks. The mapping between required and available skills can be done on the fly. Accordingly in this paper we propose an OPC UA-based multi-layered approach to orchestrate and execute manufacturing workflows using production task-based skills operated on flexibly linked and different hardware components (i.e. manufacturing stations).</t>
  </si>
  <si>
    <t>10.3390/s21041296</t>
  </si>
  <si>
    <t>10.1109/ecce55643.2024.10860879</t>
  </si>
  <si>
    <t>Nguyen, Quang-Duy; Bellot, Patrick; Petton, Pierre-Yves</t>
  </si>
  <si>
    <t>An OPC UA PubSub Implementation Approach for Memory-Constrained Sensor Devices</t>
  </si>
  <si>
    <t>https://doi.org/10.1109/isie51582.2022.9831548</t>
  </si>
  <si>
    <t>10.1109/isie51582.2022.9831548</t>
  </si>
  <si>
    <t>Open Platform Communications Unified Architecture (OPC UA) comprises 14 specifications to deploy an industrial system with reliability, security, and interoperability. While realizing this standard, the devices of the considering industrial system must have enough capabilities in computation and storage. It is a challenge in the Industrial Internet of Things (IIoT), a scenario in which field-level devices can be memory-constrained sensor devices. Tailoring OPC UA to fit such devices requires advanced programming skills; otherwise, system developers must simplify or remove some essential features of OPC UA. This paper presents another implementation approach to tailor OPC UA PubSub, a specification for the publish-subscribe messaging pattern, into memory-constrained sensor devices. This approach, titled OPC UA PubSub-C, proposes using a remote OPC UA server as a configurator to operate large-memory-footprint tasks for field-level devices.</t>
  </si>
  <si>
    <t>Lazzaro, Sara; Buccafurri, Francesco</t>
  </si>
  <si>
    <t>Achieving Accountability and Data Integrity in Message Queuing Telemetry Transport Using Blockchain and Interplanetary File System</t>
  </si>
  <si>
    <t>https://doi.org/10.3390/fi16070246</t>
  </si>
  <si>
    <t>10.3390/fi16070246</t>
  </si>
  <si>
    <t>&lt;jats:p&gt;Ensuring accountability and integrity in MQTT communications is important for enabling several IoT applications. This paper presents a novel approach that combines blockchain technology and the interplanetary file system (IPFS) to achieve non-repudiation and data integrity in the MQTT protocol. Our solution operates in discrete temporal rounds, during which the broker constructs a Merkle hash tree (MHT) from the messages received. Then the broker publishes the root on the blockchain and the MHT itself on IPFS. This mechanism guarantees that both publishers and subscribers can verify the integrity of the message exchanged. Furthermore, the interactions with the blockchain made by the publishers and the broker ensure they cannot deny having sent the exchanged messages. We provide a detailed security analysis, showing that under standard assumptions, the proposed solution achieves both data integrity and accountability. Additionally, we provided an experimental campaign to study the scalability and the throughput of the system. Our results show that our solution scales well with the number of clients. Furthermore, from our results, it emerges that the throughput reduction depends on the integrity check operations. However, since the frequency of these checks can be freely chosen, we can set it so that the throughput reduction is negligible. Finally, we provided a detailed analysis of the costs of our solution showing that, overall, the execution costs are relatively low, especially given the critical security and accountability benefits it guarantees. Furthermore, our analysis shows that the higher the number of subscribers in the system, the lower the costs per client in our solution. Again, this confirms that our solution does not present any scalability issues.&lt;/jats:p&gt;</t>
  </si>
  <si>
    <t>Rayhana, Rakiba; Xiao, Gaozhi; Liu, Zheng</t>
  </si>
  <si>
    <t>Fiber-Optic Sensing Technologies for Underground Pipeline Monitoring</t>
  </si>
  <si>
    <t>https://doi.org/10.1109/ojim.2025.3601251</t>
  </si>
  <si>
    <t>10.1109/ojim.2025.3601251</t>
  </si>
  <si>
    <t>Gruener, Sten; Koziolek, Heiko; Ruckert, Julius</t>
  </si>
  <si>
    <t>ICSA - Towards Resilient IoT Messaging: An Experience Report Analyzing MQTT Brokers</t>
  </si>
  <si>
    <t>https://doi.org/10.1109/icsa51549.2021.00015</t>
  </si>
  <si>
    <t>10.1109/icsa51549.2021.00015</t>
  </si>
  <si>
    <t>Many Internet-of-Things (IoT) applications for smart homes, connected factories, or car-to-car communication utilize broker-based publish/subscribe communication protocols, such as the MQTT protocol. Commercial IoT applications have high reliability requirements for messaging, as lost messages due to unstable Internet connections or node failures can harm devices or even human beings. MQTT brokers implement numerous architectural availability tactics, but former analyses of MQTT communication have mainly focused on performance measurements under stable conditions. We have created the MAYHEM resilience testing tool for MQTT brokers and applied it in various resilience experiments on different MQTT brokers (VerneMQ, Mosquitto, HiveMQ, EMQ X). We found that MQTT QoS level 0 is already robust against minor packet loss, that selected broker message persistency solutions can lead to lost messages, and that most clustered MQTT brokers favor availability and performance over communication integrity. The results can support IoT practitioners in architectural decisions and researchers as well as broker vendors in optimizing designs and implementations.</t>
  </si>
  <si>
    <t>Kannisto, Petri; Hästbacka, David; Gutiérrez, Teresa; Suominen, Olli; Vilkko, Matti; Craamer, Peter</t>
  </si>
  <si>
    <t>Plant-wide interoperability and decoupled, data-driven process control with message bus communication</t>
  </si>
  <si>
    <t>https://doi.org/10.1016/j.jii.2021.100253</t>
  </si>
  <si>
    <t>10.1016/j.jii.2021.100253</t>
  </si>
  <si>
    <t>Abstract Conventional industrial communication systems suffer from rigidness, inflexibility and lack of scalability. The environment is heterogeneous as the systems exchange data with a variety communication protocols, some of which are proprietary. This makes it laborious and expensive to reconfigure or upgrade the systems. As the solution, this article proposes a message-bus-based communication architecture to enable information exchange between systems regardless of their geographical location and position within the functional hierarchy of the plant. The architecture not only enables communication to cross the conventional physical borders but also provides scalability to growing data volumes and network sizes. As proofs of concept, the article presents a prototype in three environments: a copper smelter, a steel plant and a distillation column. The results suggest that the message-bus-based approach has potential to renew industrial communications, a core part of the fourth industrial revolution.</t>
  </si>
  <si>
    <t>Huertos, Francisco Javier; Masenlle, Manuel; Chicote, Beatriz; Ayuso, Mikel</t>
  </si>
  <si>
    <t>Hyperconnected Architecture for High Cognitive Production Plants</t>
  </si>
  <si>
    <t>https://doi.org/10.1016/j.procir.2021.11.285</t>
  </si>
  <si>
    <t>10.1016/j.procir.2021.11.285</t>
  </si>
  <si>
    <t>Anwar, Nizirwan; Praja, Arief Kusuma Among; Akbar, Habibullah; Adhikara, M. Fachruddin Arrozi; Rasjidin, Roesfiansjah; Adhy, Dewanto Rosian</t>
  </si>
  <si>
    <t>Review Literature Performance: Quality of Service from Internet of Things for Transportation System</t>
  </si>
  <si>
    <t>https://doi.org/10.1109/iccsai53272.2021.9609761</t>
  </si>
  <si>
    <t>10.1109/iccsai53272.2021.9609761</t>
  </si>
  <si>
    <t>Bejarano, Ronal; Paakkonen, Roope; Blech, Jan Olaf; Peake, Ian; Herrmann, Peter; Vyatkin, Valeriy</t>
  </si>
  <si>
    <t>ETFA - Assessing Long Distance Communication Alternatives for the Remote Control of AGVs</t>
  </si>
  <si>
    <t>https://doi.org/10.1109/etfa46521.2020.9211954</t>
  </si>
  <si>
    <t>10.1109/etfa46521.2020.9211954</t>
  </si>
  <si>
    <t>Remote monitoring and control of factory equipment promises a more streamlined and therefore less expensive system operation and maintenance. The geographical distance between a factory and its control center, however, may influence the Quality of Service parameters of the network connections which might stymie the overall control process. To get a better understanding of these potential issues and their impact, we conducted a series of measurements over varying distances for the remote control, operation and simulation of Automated Guided Vehicles (AGVs) that are often used in modern factory environments. To achieve these tests, we defined three communication patterns reflecting local and remote connections as well as the usage of cloud-based services. Applying these patterns, we connected the Factory of the Future at the Aalto University in Finland with the VxLab at the RMIT University in Australia and the Microsoft Azure cloud in the Netherlands. This allowed us to measure important Quality of Service networking parameters for the communication over short, medium, and very long distances. In this paper, we present first empirical results and discuss their impact on the remote control of AGVs.</t>
  </si>
  <si>
    <t>Liu, Chunwei; Paparrizos, John; Elmore, Aaron J.</t>
  </si>
  <si>
    <t>AdaEdge: A Dynamic Compression Selection Framework for Resource Constrained Devices</t>
  </si>
  <si>
    <t>https://doi.org/10.1109/icde60146.2024.00124</t>
  </si>
  <si>
    <t>10.1109/icde60146.2024.00124</t>
  </si>
  <si>
    <t>Böhm, Stefan-Andreas</t>
  </si>
  <si>
    <t>IOT Companion - AI Approaches to Optimize Human-Machine Collaboration in Manufacturing Facilities with IoT-Ready Machinery</t>
  </si>
  <si>
    <t>https://doi.org/10.1145/3423423.3423471</t>
  </si>
  <si>
    <t>10.1145/3423423.3423471</t>
  </si>
  <si>
    <t>Modern production facilities are becoming increasingly complex, as companies battle to meet the increasingly customer-specific demands with shorter lead times and higher efficiency. For the employees in the factory, who often bear the brunt of making short-term process decisions, this complexity is becoming unmanageable. The PhD project presented in the following aims to decrease the complexity of modern manufactory facilities by means of artificial intelligence. The focus is on product data analysis and manufactory process planning. Different approaches of artificial intelligence for use in a Self-Adapting Smart System (SASS) are to be investigated.</t>
  </si>
  <si>
    <t>Gandouzi, Ghayth; Belhadj, Imen; Hammadi, Moncef; Aifaoui, Nizar; Choley, Jean-Yves</t>
  </si>
  <si>
    <t>Recent Development Techniques on Digital Twins for Manufacturing: State of the Art</t>
  </si>
  <si>
    <t>https://doi.org/10.1109/itsis56166.2022.10118420</t>
  </si>
  <si>
    <t>10.1109/itsis56166.2022.10118420</t>
  </si>
  <si>
    <t>Industry 4.0 is the trend of today's industry. It integrates many new technologies such as Big data, Artificial Intelligence, Internet of Things, Cloud Computing, etc. One of the main important areas that are affected by this revolution is the manufacturing sectors. These technologies exist in the industrial field, and they have already served to upgrade the manufacturing process and to put it on the path of digitalization. Therefore, a new concept for smart manufacturing systems that are currently in use, who is the Digital Twin (DT) for manufacturing. It is a virtual reflection of a real element. It can be used to check the flexibility of the manufacturing layout, reproduce complex manufacturing systems and evaluate production efficiency in real time. The DT system allows us to test virtual scenarios, optimize and improve working conditions. It predict also what will happen in the real world. The application of DTs for small and medium-sized enterprises (SMEs) is an important task. It has many advantages to improve the real-time status of machines and products. It ensures also, the continuity between the different areas of industry. The deployment of this concept in the manufacturing sector of an SME, requires the identification of techniques already deployed in the literature. In this paper, the main techniques used in the four layers of DTs, such as the cyber layer, the computing layer, physical layer, and the service layer are reviewed in detail. Their requirements and proposed solutions are also discussed. Another focus, is to provide a framework for the development of DTs for SMEs. On the basis of this framework, we focus on minimizing the costs of digitization. In future works, we aim to implement the proposed framework.</t>
  </si>
  <si>
    <t>Jayasekara, Deepesh; Lai, Nai Yeen Gavin; Wong, Kok-Hoong; Pawar, Kulwant S.; Zhu, Yingdan</t>
  </si>
  <si>
    <t>Level of automation (LOA) in aerospace composite manufacturing: Present status and future directions towards industry 4.0</t>
  </si>
  <si>
    <t>https://doi.org/10.1016/j.jmsy.2021.10.015</t>
  </si>
  <si>
    <t>10.1016/j.jmsy.2021.10.015</t>
  </si>
  <si>
    <t>10.3390/en14102818</t>
  </si>
  <si>
    <t>Pinto, Tiago</t>
  </si>
  <si>
    <t>Towards Wireless ADAS - Retrofitting IoT for Increased Safety</t>
  </si>
  <si>
    <t>Koziolek, Heiko; Burger, Andreas; Abdulla, P. P.; Rückert, Julius; Sonar, Shardul; Rodriguez, Pablo</t>
  </si>
  <si>
    <t>ECSA - Dynamic Updates of Virtual PLCs Deployed as Kubernetes Microservices</t>
  </si>
  <si>
    <t>https://doi.org/10.1007/978-3-030-86044-8_1</t>
  </si>
  <si>
    <t>10.1007/978-3-030-86044-8_1</t>
  </si>
  <si>
    <t>Industrial control systems (e.g. programmable logic controllers, PLC or distributed control systems, DCS) cyclically execute control algorithms to automated production processes. Nowadays, for many applications their deployment is moving from dedicated embedded controllers into more flexible container environments, thus becoming “Virtual PLCs”. It is difficult to update such containerized Virtual PLCs during runtime by switching to a newer instance, which requires transferring internal state. Former research has only proposed dynamic update approaches for single embedded controllers, while other work introduced special Kubernetes (K8s) state replication approaches, which did not support cyclic real-time applications. We propose a dynamic update mechanism for Virtual PLCs deployed as K8s microservices. This approach is based on a purpose-built K8s Operator and allows control application updates without halting the production processes. Our experimental validation shows that the approach can support the internal state transfer of large industrial control applications (100.000 state variables) within only 15% of the available cycle slack time. Therefore, the approach creates vast opportunities for updating applications on-the-fly and migrating them between nodes in a cloud-native fashion.</t>
  </si>
  <si>
    <t>Andrei, Gavrilov; Marlen, Bergaliyev; Sergey, Tinyakov; Krinkin, Kirill</t>
  </si>
  <si>
    <t>Industrial Messaging Middleware: Standards and Performance Evaluation</t>
  </si>
  <si>
    <t>https://doi.org/10.1109/aict50176.2020.9368846</t>
  </si>
  <si>
    <t>10.1109/aict50176.2020.9368846</t>
  </si>
  <si>
    <t>In our world due to rapid development of automotive systems, robotic systems and increasing amounts of data the question is what are the requirements for data transfer software or middleware. This document describes and compares main standards that are used in various systems of the industry. The analysis of opportunities which every standard provides is carried out. In this work, there were developed methods for testing some data transfer characteristics and tested two DDS implementations and one AMQP in inter-process communication.</t>
  </si>
  <si>
    <t>10.3390/en19010148</t>
  </si>
  <si>
    <t>10.3390/en15072518</t>
  </si>
  <si>
    <t>Bauer, Heiner; Hoppner, Sebastian; Iatrou, Chris Paul; Charania, Zohra; Hartmann, Stephan; Rehman, Saif Ur; Dixius, Andreas; Ellguth, Georg; Walter, Dennis; Uhlig, Johannes; Neumarker, Felix; Berthel, M.; Stolba, Marco; Kelber, Florian; Urbas, Leon; Mayr, Christian</t>
  </si>
  <si>
    <t>Hardware Implementation of an OPC UA Server for Industrial Field Devices</t>
  </si>
  <si>
    <t>https://doi.org/10.1109/tvlsi.2021.3117401</t>
  </si>
  <si>
    <t>10.1109/tvlsi.2021.3117401</t>
  </si>
  <si>
    <t>Industrial plants suffer from a high degree of complexity and incompatibility in their communication infrastructure, caused by a wild mix of proprietary technologies. This prevents transformation toward Industry 4.0 and the Industrial Internet of Things. Open platform communications unified architecture (OPC UA) is a standardized protocol that addresses these problems with uniform and semantic communication across all levels of the hierarchy. However, its adoption in embedded field devices, such as sensors and actuators, is still lacking due to prohibitive memory and power requirements of software implementations. We have developed a dedicated hardware engine that offloads processing of the OPC UA protocol and enables the realization of compact and low-power field devices with OPC UA support. As part of a proof-of-concept embedded system, we have implemented this engine in a 22-nm FDSOI technology, representing the first ASIC implementation of an OPC UA server. We measured performance, power consumption, and memory footprint of our test chip and compared it with a software implementation based on open62541 and a Raspberry Pi 2B. Our OPC UA hardware engine is 50 times more energy efficient and only requires 36 KiB of memory. The complete system consumes only 24 mW under full load, making it suitable for low-power embedded applications.</t>
  </si>
  <si>
    <t>Ho, Min-Huang; Lai, Ming-Yi; Liu, Yung-Tien</t>
  </si>
  <si>
    <t>Implementation of DDS Cloud Platform for Real-Time Data Acquisition of Sensors for a Legacy Machine</t>
  </si>
  <si>
    <t>https://doi.org/10.3390/electronics11132096</t>
  </si>
  <si>
    <t>10.3390/electronics11132096</t>
  </si>
  <si>
    <t>&lt;jats:p&gt;Industry 4.0 (I4.0) is a multidisciplinary engineering principle combing the IoT (Internet of things), big data, and cloud computing to cope with the dynamic changing industry. In this paper, the DDS (data distribution service) communication protocol was employed to implement a cloud platform for data acquisition from various sensors on a precision legacy machine tool including an accelerometer and sound, temperature, brightness, and humidity sensors. The sensor signals were acquired using Raspberry Pi as the edge device, then published to the cloud using the DDS application, and stored in the MySQL database. Using the Django web server, the acquired sensor signals could be shown in real time on the webpage via a combination of MQTT and Node-RED. In addition, the motion displacement of the machine tool detected by the encoder could be recorded through the edge device for further performance examination. With the proposed DDS cloud platform, it is demonstrated that a legacy machine can enable sensing and communication abilities such that the development of a smart machine is achievable for future I4.0 application.&lt;/jats:p&gt;</t>
  </si>
  <si>
    <t>Koziolek, Heiko; Grüner, Sten; Ruckert, Julius</t>
  </si>
  <si>
    <t>ECSA - A Comparison of MQTT Brokers for Distributed IoT Edge Computing</t>
  </si>
  <si>
    <t>https://doi.org/10.1007/978-3-030-58923-3_23</t>
  </si>
  <si>
    <t>10.1007/978-3-030-58923-3_23</t>
  </si>
  <si>
    <t>Many enterprise IoT application scenarios, such as connected cars, smart cities, and cloud-connected industrial plants require distributed MQTT brokers to achieve high scalability and availability. With a market of over 20 MQTT brokers, it is hard for software architects to make a good selection. Existing MQTT comparisons often include only non-distributed brokers, focus exclusively on performance, or are difficult to generalize. We compared three distributed MQTT brokers for performance, scalability, resilience, security, extensibility, and usability in an enterprise IoT scenario deployed to an edge gateway cluster. We found that EMQX provided the best performance (28K msg/s), while only HiveMQ showed no message loss in our test scenario. VerneMQ offers similar features as the other brokers but is fully available as open source. The paper includes decision guidance for software architects, listing six major decision points regarding MQTT brokers.</t>
  </si>
  <si>
    <t>Bances, Enrique; Schneider, Urs; Siegert, Jörg; Bauernhansl, Thomas</t>
  </si>
  <si>
    <t>Exoskeletons Towards Industrie 4.0: Benefits and Challenges of the IoT Communication Architecture</t>
  </si>
  <si>
    <t>https://doi.org/10.1016/j.promfg.2020.02.087</t>
  </si>
  <si>
    <t>10.1016/j.promfg.2020.02.087</t>
  </si>
  <si>
    <t>Abstract The volatility and flexibility of a production line in a smart factory demands for high dynamics during the assembly tasks and repetitive movements in an un-ergonomic body posture. Hence, the workers are exposed to the danger of developing work-related musculoskeletal disorders (MSDs). Previous studies have reported that exoskeletons help to reduce fatigue and prevent injuries during lifting, carrying, pushing, pulling, and overheadpositions tasks, improving productivity in manufacturing industry. However, no studies have reported the advantages of digital integration of an exoskeletons network in a smart factory. This paper gives an overview of benefits and challenges regarding the connectivity of exoskeletons within a smart factory. Moreover, it describes the communication architecture of a cyber-physical exoskeleton network. Finally, an experimental test of fog computing structure was conducted based on IoT messaging protocols, allowing real-time data analytics for benefits of the manufacturing process.</t>
  </si>
  <si>
    <t>10.1145/3600160.3605179</t>
  </si>
  <si>
    <t>10.1007/978-981-19-2184-1_2</t>
  </si>
  <si>
    <t>10.3390/en18225894</t>
  </si>
  <si>
    <t>10.1109/speedam53979.2022.9842109</t>
  </si>
  <si>
    <t>Iatrou, Chris Paul; Bauer, Heiner; Graube, Markus; Hoppner, Sebastian; Rahm, Julian; Urbas, Leon</t>
  </si>
  <si>
    <t>ETFA - Hard Real-Time Capable OPC UA Server as Hardware Peripheral for Single Chip IoT Systems</t>
  </si>
  <si>
    <t>https://doi.org/10.1109/etfa.2019.8868968</t>
  </si>
  <si>
    <t>10.1109/etfa.2019.8868968</t>
  </si>
  <si>
    <t>The fast semantics project examines the use of the OPC Unified Architecture (OPC UA) in embedded industrial systems and proposes the design of a customizable, hard real time capable OPC UA Intellectual Property Core (IP Core) for single chip computing plattforms. This allows using OPC UA in both novel energy efficient sensor applications and in state of the art field devices. These single chip OPC UA servers form the semantic data sources for future applications such as cloud based added value services or machine learning applications. This article presents the design alternatives and first synthesis results for the implementation of OPC UA servers in embedded systems.</t>
  </si>
  <si>
    <t>Fojcik, Marcin; Sande, Olav; Fojcik, Martyna Katarzyna; Bødal, Are Sjåstad; Haavik, Tor Erik; Kalstad, Kristoffer Hjartholm; Sittlinger, Bjørnar Brask; Steinholm, Torbjørn Ryland</t>
  </si>
  <si>
    <t>ICCCI (2) - Some Solutions for Improving OPC UA Performance</t>
  </si>
  <si>
    <t>https://doi.org/10.1007/978-3-030-28374-2_22</t>
  </si>
  <si>
    <t>10.1007/978-3-030-28374-2_22</t>
  </si>
  <si>
    <t>The need to exchange more data in industry is growing. Automation requires more and more data to adapt technology to industrial needs correctly. This is visible in both industry (Factory 4.0) and in the Internet of Things (IoT). All these data are produced, transferred, processed and stored for further use. An affordable communication system that permits all of the necessary operations to be performed quickly and reliably is needed. One of the proposals is OPC UA. Unfortunately, there are many situations in which OPC UA is not efficient for various reasons. One of them is the lack of real-time communication in OPC UA. Another situation that is not suited for OPC UA is the setup of the server and incoming data.</t>
  </si>
  <si>
    <t>Kang, SungKu; Jin, Ran; Deng, Xinwei; Kenett, Ron S.</t>
  </si>
  <si>
    <t>Challenges of modeling and analysis in cybermanufacturing: a review from a machine learning and computation perspective.</t>
  </si>
  <si>
    <t>https://doi.org/10.1007/s10845-021-01817-9</t>
  </si>
  <si>
    <t>10.1007/s10845-021-01817-9</t>
  </si>
  <si>
    <t>In Industry 4.0, smart manufacturing is facing its next stage, cybermanufacturing, founded upon advanced communication, computation, and control infrastructure. Cybermanufacturing will unleash the potential of multi-modal manufacturing data, and provide a new perspective called computation service, as a part of service-oriented architecture (SOA), where on-demand computation requests throughout manufacturing operations are seamlessly satisfied by data analytics and machine learning. However, the complexity of information technology infrastructure leads to fundamental challenges in modeling and analysis under cybermanufacturing, ranging from information-poor datasets to a lack of reproducibility of analytical studies. Nevertheless, existing reviews have focused on the overall architecture of cybermanufacturing/SOA or its technical components (e.g., communication protocol), rather than the potential bottleneck of computation service with respect to modeling and analysis. In this paper, we review the fundamental challenges with respect to modeling and analysis in cybermanufacturing. Then, we introduce the existing efforts in computation pipeline recommendation, which aims at identifying an optimal sequence of method options for data analytics/machine learning without time-consuming trial-and-error. We envision computation pipeline recommendation as a promising research field to address the fundamental challenges in cybermanufacturing. We also expect that computation pipeline recommendation can be a driving force to flexible and resilient manufacturing operations in the post-COVID-19 industry.</t>
  </si>
  <si>
    <t>Schwinger, W.; Kapsammer, E.; Retschitzegger, W.; Pröll, B.; Graf, D.; Baumgartner, N.; Plöckinger, V.; Schönböck, J.</t>
  </si>
  <si>
    <t>»Relationships are Key« A Semantic Relationship Awareness Framework for Operational Technology Monitoring</t>
  </si>
  <si>
    <t>https://doi.org/10.1007/s42979-024-03071-1</t>
  </si>
  <si>
    <t>10.1007/s42979-024-03071-1</t>
  </si>
  <si>
    <t>&lt;jats:title&gt;Abstract&lt;/jats:title&gt;&lt;jats:p&gt;Critical infrastructures in areas like road traffic management naturally rely on the broad use of&lt;jats:italic&gt;"Operational Technology (OT)"&lt;/jats:italic&gt;to ensure efficient and safe&lt;jats:italic&gt;road traffic monitoring (RTM)&lt;/jats:italic&gt;through&lt;jats:italic&gt;"OT objects"&lt;/jats:italic&gt;, like sensors and actuators, whereby monitoring OT itself&lt;jats:italic&gt;("OTM")&lt;/jats:italic&gt;is evenly crucial. OTM is highly challenging, not least due to&lt;jats:italic&gt;massive heterogeneity of OT, immense complexity and size&lt;/jats:italic&gt;, and&lt;jats:italic&gt;omnipresence of evolution&lt;/jats:italic&gt;. As a consequence, knowledge about&lt;jats:italic&gt;interdependencies between OT objects&lt;/jats:italic&gt;in form of&lt;jats:italic&gt;semantic relationships&lt;/jats:italic&gt;is often outdated or simply not available. Thus, in case of incidents, detection of cause and effect in the sense of a&lt;jats:italic&gt;situational picture of OT&lt;/jats:italic&gt;is missing. In order to counteract this fundamental deficiency, we aim to&lt;jats:italic&gt;automatically discover semantic relationships between OT objects&lt;/jats:italic&gt;, to build up an&lt;jats:italic&gt;ontological knowledge base&lt;/jats:italic&gt;as prerequisite for achieving&lt;jats:italic&gt;OT situation awareness&lt;/jats:italic&gt;. Thereby, the contribution of this paper is threefold. First, a systematic exploration of the induced challenges is provided, derived from an&lt;jats:italic&gt;in-depth analysis of real-world OT message logs&lt;/jats:italic&gt;in the area of RTM. Based on that, we sketch out a research roadmap, thereby guiding the identification of existing concepts and technologies appearing to be useful for realizing a&lt;jats:italic&gt;framework for semantic relationship awareness&lt;/jats:italic&gt;, being the crucial pre-step for achieving OT situation awareness. Finally, a first&lt;jats:italic&gt;proof-of-concept prototype&lt;/jats:italic&gt;is put forward, complemented by an evaluation of its applicability and a detailed comparison to related approaches.&lt;/jats:p&gt;</t>
  </si>
  <si>
    <t>Lehmhus, Dirk</t>
  </si>
  <si>
    <t>Advances in Metal Casting Technology: A Review of State of the Art, Challenges and Trends—Part II: Technologies New and Revived</t>
  </si>
  <si>
    <t>https://doi.org/10.3390/met14030334</t>
  </si>
  <si>
    <t>10.3390/met14030334</t>
  </si>
  <si>
    <t>&lt;jats:p&gt;The present text is the second part of an editorial written for a Special Issue entitled Advances in Metal Casting Technology [...]&lt;/jats:p&gt;</t>
  </si>
  <si>
    <t>Dittmann, Sören; Zhang, Pengxiang; Glodde, Arne; Dietrich, Franz</t>
  </si>
  <si>
    <t>Towards a scalable implementation of digital twins - A generic method to acquire shopfloor data</t>
  </si>
  <si>
    <t>https://doi.org/10.1016/j.procir.2021.01.069</t>
  </si>
  <si>
    <t>10.1016/j.procir.2021.01.069</t>
  </si>
  <si>
    <t>Abstract New strategies in factory management focus on shopfloor data as a mean to achieve more flexible mass productions. In reality, the value adding usage of smart manufacturing approaches depends on the effort it takes to provide sensor and actuator data for further analysis. The concept of digital twins, that are based on a physical, a virtual and a communication component, promises a scalable solution to read and standardize shopfloor data. So far, there exists no generic method describing the implementation of the data acquisition as part of the communication component of digital twins. This contribution therefore focusses on necessary steps to consider when realizing a scalable data acquisition and examines how existing standards and open source solutions can support the implementation. The first part of the paper derives the necessary steps for acquiring shopfloor data. It starts by defining the architecture and aim of digital twins. Afterwards, a method to implement the generic data acquisition of digital twins is introduced. The approach is inspired by the Plug-and-Produce paradigm of the control engineering field and is adapted to the concepts of data acquisition and management. The second part examines the technical implementation of the proposed method. Identified approaches from a literature review are structured within the generic method. This describes the realization of the individual steps but also systematically differentiates existing approaches to build Digital Twins. With the aim of creating scalable architectures, a special focus is set on available open source solutions and standards when presenting the implementation part of the generic method.</t>
  </si>
  <si>
    <t>Koziolek, Heiko; Burger, Andreas; Platenius-Mohr, Marie; Ruckert, Julius; Mendoza, Francisco; Braun, Roland</t>
  </si>
  <si>
    <t>Automated industrial IoT‐device integration using the OpenPnP reference architecture</t>
  </si>
  <si>
    <t>https://doi.org/10.1002/spe.2765</t>
  </si>
  <si>
    <t>10.1002/spe.2765</t>
  </si>
  <si>
    <t>&lt;jats:title&gt;Summary&lt;/jats:title&gt;&lt;jats:p&gt;Distributed control systems are currently evolving towards industrial Internet of Things (IoT) systems communicating fully using Internet protocols. This creates opportunities for streamlining costly commissioning processes, which today require substantial manual work for installing, configuring, and integrating thousands of actuators and sensors. The vision of “plug‐and‐produce” control systems has been pursued for more than 15 years, but existing approaches fell short regarding configuration tasks and vendor neutrality. This paper introduces the standards‐based IoT reference architecture OpenPnP, which allows largely automating the configuration and integration tasks of industrial commissioning processes. The architecture includes a number of design and technology decisions and the required implementation can be scaled down to resource‐constrained industrial devices. This paper demonstrates how OpenPnP can reduce configuration and integration efforts up to 90% in typical settings, while potentially scaling well up to tens of thousands of communicated signals. Practitioners can orient their implementations towards OpenPnP, therefore potentially enabling “plug‐and‐produce” in many thousands of control systems.&lt;/jats:p&gt;</t>
  </si>
  <si>
    <t>10.1049/cps2.70025</t>
  </si>
  <si>
    <t>Schwinger, Wieland; Kapsammer, Elisabeth; Retschitzegger, Werner; Pröll, Birgit; Graf, David; Baumgartner, Norbert; Schönböck, Johannes; Zaunmair, H.</t>
  </si>
  <si>
    <t>Towards Automating Semantic Relationship Awareness in Operational Technology Monitoring</t>
  </si>
  <si>
    <t>https://doi.org/10.1007/978-981-99-8296-7_39</t>
  </si>
  <si>
    <t>10.1007/978-981-99-8296-7_39</t>
  </si>
  <si>
    <t>Runge, Maxim; Reiche, Leif-Thore; Niemann, Karl-Heinz; Fay, Alexander</t>
  </si>
  <si>
    <t>Universal energy information model for industrial communication</t>
  </si>
  <si>
    <t>https://doi.org/10.1109/etfa52439.2022.9921557</t>
  </si>
  <si>
    <t>10.1109/etfa52439.2022.9921557</t>
  </si>
  <si>
    <t>With the use of an energy management system in an industrial company according to ISO 50001, a step-by-step increase in energy efficiency can be achieved. The realization of energy monitoring and load management functions requires programs on edge devices or PLCs to acquire the data, adapt the data type or scale the values of the energy information. In addition, the energy information must be mapped to communication interfaces (e.g. based on OPC UA) in order to convey this energy information to the energy management application. The development of these energy management programs is associated with a high engineering effort, because the field devices from the heterogeneous field level do not provide the energy information in standardized semantics. To mitigate this engineering effort, a universal energy data information model (UEIM) is developed and presented in this paper.</t>
  </si>
  <si>
    <t>Chen, Mingkai; Lu, Hang; Xu, Xinmian; Tang, Xiao-Wei; Fan, Qiang; Lou, Chong</t>
  </si>
  <si>
    <t>Novel Deep Packet Compression For Industrial Internet of Things</t>
  </si>
  <si>
    <t>https://doi.org/10.1109/gcwkshps56602.2022.10008589</t>
  </si>
  <si>
    <t>10.1109/gcwkshps56602.2022.10008589</t>
  </si>
  <si>
    <t>Nowadays, Industrial Internet of Things (IIoT) has been considered as a promising technology to provide data acquisition for Industry 4.0. However, packet compression in IIoT still exists multi-protocol heterogeneity, lack of robustness, compression ratio to be improved and some other issues. Inspired by the above reasons, in this paper we investigate a novel deep packet compression for IIoT in order to reduce redundant data while maintaining high robustness. For one thing, facing to protocol heterogeneity, we propose Universal Dynamic Ethernet Header Compression (UDEHC) to embrace five major protocols. For another, we provide Generalized Deduplication using Static Dictionary (GDSD) scheme to obtain 16-20% compression improvement and high reliability. Extensive simulation results are provided to validate the theoretical analysis and demonstrate the effectiveness in wireless circumstance.</t>
  </si>
  <si>
    <t>Zhou, Junhong; Wang, Yu; Chua, Yong Quan</t>
  </si>
  <si>
    <t>Machine OEE Monitoring and Analysis for a Complex Manufacturing Environment</t>
  </si>
  <si>
    <t>https://doi.org/10.1109/iciea48937.2020.9248351</t>
  </si>
  <si>
    <t>10.1109/iciea48937.2020.9248351</t>
  </si>
  <si>
    <t>OEE (overall equipment effectiveness) is a well-established KPI metrics to measure the equipment effectiveness. OEE has been widely used for many industry as a quantitative tool for measuring productivity. The biggest challenge in the OEE implementation is due to the complexity of the plant with many variety of machines. In this paper, we present a unified OEE data collection method that is able to connect both brown field legacy machines and green field machines. An integrated OEE monitoring system architecture is proposed for large scale of implementation. A case study demonstrates the successful implementation of the OEE system for the productivity improvement.</t>
  </si>
  <si>
    <t>Strelkovskaya, Irina; Zolotukhin, Roman</t>
  </si>
  <si>
    <t>Research the Traffic Characteristics of MQTT and DDS Protocols in Low-bandwidth Radio Networks</t>
  </si>
  <si>
    <t>https://doi.org/10.1109/ukrmico52950.2021.9716615</t>
  </si>
  <si>
    <t>10.1109/ukrmico52950.2021.9716615</t>
  </si>
  <si>
    <t>This paper researches the traffic characteristics of Message Queuing Telemetry Transport and Data Distribution Service protocols from the Object Management Group consortium in low-bandwidth radio networks based on ultra and very high frequency radio stations. The data has been obtained of the number of service packets, the number of lost packets, the maximum size of information packets, the actual amount of information and service data and the time of connection between the nodes of the Message Queuing Telemetry Transport and Data Distribution Service protocols.</t>
  </si>
  <si>
    <t>Riyanto, Aloisius Genza Pratama; Fuadi, Azam Zamhuri; Murti, Muhammad Ary</t>
  </si>
  <si>
    <t>Andon System using Industrial IoT for Controlled Production Line by conventional PLC</t>
  </si>
  <si>
    <t>Bellavista, Paolo; Garbugli, Andrea</t>
  </si>
  <si>
    <t>Cloud Continuum Digital Twins: Architectures of Solution, Open Technical Challenges, and Lessons Learned</t>
  </si>
  <si>
    <t>https://doi.org/10.1007/978-3-031-75387-9_4</t>
  </si>
  <si>
    <t>10.1007/978-3-031-75387-9_4</t>
  </si>
  <si>
    <t>González-Herbón, Raúl; González-Mateos, Guzmán; Rodríguez-Ossorio, José R; Domínguez, Manuel; Alonso, Serafín; Fuertes, Juan J</t>
  </si>
  <si>
    <t>An Approach to Develop Digital Twins in Industry.</t>
  </si>
  <si>
    <t>https://doi.org/10.3390/s24030998</t>
  </si>
  <si>
    <t>10.3390/s24030998</t>
  </si>
  <si>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</si>
  <si>
    <t>Barbosa, William S.; Gioia, Mariana M.; Natividade, Veronica; Wanderley, Renan F. F.; Chaves, Marcelo R.; Gouvea, Felipe C.; Gonçalves, Flavia M.</t>
  </si>
  <si>
    <t>Industry 4.0: examples of the use of the robotic arm for digital manufacturing processes</t>
  </si>
  <si>
    <t>https://doi.org/10.1007/s12008-020-00714-4</t>
  </si>
  <si>
    <t>10.1007/s12008-020-00714-4</t>
  </si>
  <si>
    <t>The use of robots for pick and place, welding, subtractive and additive manufacturing are spreading at the last years with the concept of industry 4.0. This paper presents all modifications, adjusts and applications of a KUKA KR16 robotic arm at PUC-Rio, using the robot at different forms (e.g. milling machine, styrofoam cutting machine, pick and place machine). The purpose is to demonstrate how a robot arm can be used by applying the concepts of industry 4.0, 3D printing techniques, milling and other tools, with the aim to verify the impact of these transformations and uses for engineering and industry in general.</t>
  </si>
  <si>
    <t>Pascal, Carlos; Lipovanu, Iuliana</t>
  </si>
  <si>
    <t>ICSTCC - Rule-based extension through IoT for a robotized application</t>
  </si>
  <si>
    <t>https://doi.org/10.1109/icstcc50638.2020.9259709</t>
  </si>
  <si>
    <t>10.1109/icstcc50638.2020.9259709</t>
  </si>
  <si>
    <t>This paper presents a rule-based method to solve a collision issue for a manipulator robot. The proposed approach applies a set of rules on the information received from a visual system to find the dependency between parts. It uses the notion of intersection of segments and graph dependency to find which object is safe for gripping and in which order. The communication among robot, visual system, and the developed module is obtained through an IoT system extension. The applicability of the proposed method is validated by the means of a real manufacturing system.</t>
  </si>
  <si>
    <t>Research of Automated Control Systems Development Based on "Publish-Subscribe" Technology Over Low-Bandwidth Radio Networks</t>
  </si>
  <si>
    <t>https://doi.org/10.1007/978-3-031-16368-5_13</t>
  </si>
  <si>
    <t>10.1007/978-3-031-16368-5_13</t>
  </si>
  <si>
    <t>Chojecki, Paul; Strazdas, Dominykas; Przewozny, David; Gard, Niklas; Runde, Detlef; Hoerner, Niklas; Al-Hamadi, Ayoub; Eisert, Peter; Bosse, Sebastian</t>
  </si>
  <si>
    <t>Assessing the Value of Multimodal Interfaces: A Study on Human-Machine Interaction in Weld Inspection Workstations.</t>
  </si>
  <si>
    <t>https://doi.org/10.3390/s23115043</t>
  </si>
  <si>
    <t>10.3390/s23115043</t>
  </si>
  <si>
    <t>Multimodal user interfaces promise natural and intuitive human-machine interactions. However, is the extra effort for the development of a complex multisensor system justified, or can users also be satisfied with only one input modality? This study investigates interactions in an industrial weld inspection workstation. Three unimodal interfaces, including spatial interaction with buttons augmented on a workpiece or a worktable, and speech commands, were tested individually and in a multimodal combination. Within the unimodal conditions, users preferred the augmented worktable, but overall, the interindividual usage of all input technologies in the multimodal condition was ranked best. Our findings indicate that the implementation and the use of multiple input modalities is valuable and that it is difficult to predict the usability of individual input modalities for complex systems.</t>
  </si>
  <si>
    <t>Jensen, Marc P.; Uckelmann, Dieter</t>
  </si>
  <si>
    <t>Standards für das Internet der Dinge: Heterogenität, Interoperabilität und Herausforderungen</t>
  </si>
  <si>
    <t>https://doi.org/10.3139/104.112245</t>
  </si>
  <si>
    <t>10.3139/104.112245</t>
  </si>
  <si>
    <t>&lt;jats:title&gt;Kurzfassung&lt;/jats:title&gt; &lt;jats:p&gt;Die digitale Transformation von Unternehmen wird nicht zuletzt durch das Internet der Dinge unterstützt. Eine besondere Herausforderung für die vernetzte Produktionswirtschaft ist eine übergeordnete Verknüpfung der einzelnen IT-Systeme und ein standardisierter Austausch von Daten zwischen den Akteuren. Nebenher entstehen immer größere Datenmengen. Für Unternehmen birgt dieser Informationsschatz ein großes Potenzial, wenn diese Daten im richtigen Kontext interpretiert und zusammengefügt werden können. Forschung und Industrie haben bereits verschiedene Technologien entwickelt und unterschiedliche Ansätze vorgestellt. Jedoch stellen die unterschiedlichen Anforderungen der einzelnen IoT-Domänen einen einheitlichen Informationsaustausch und standardisierte Datenmodelle noch immer vor Hindernisse.&lt;/jats:p&gt;</t>
  </si>
  <si>
    <t>10.1109/access.2023.3279504</t>
  </si>
  <si>
    <t>Hanna, Sebastian; Rohjans, Sebastian; Heeren, Philipp; Rolink, Johannes</t>
  </si>
  <si>
    <t>Supporting the Requirements-Based Selection of Suitable Communication Protocols in Smart Grids</t>
  </si>
  <si>
    <t>https://doi.org/10.1109/isgt-europe54678.2022.9960466</t>
  </si>
  <si>
    <t>10.1109/isgt-europe54678.2022.9960466</t>
  </si>
  <si>
    <t>The implementation of the smart grid and the related use cases requires the interaction of a wide variety of systems from many manufacturers. The selection of suitable communication protocols is a key factor in achieving the necessary interoperability and avoiding vendor lock-ins. Considering the large number of possible protocols, this selection process is becoming increasingly difficult and time-consuming. To simplify and accelerate this process, the use of a morphological box is presented. The partial aspects defined in the morphological box are chosen in such a way that they can describe both the requirements of a use case and the possibilities of the protocol under assessment. Applying the box eventually results in reusable profiles that allow the comparison of use cases and protocols in a quick and simple way. The utilization is demonstrated by evaluating the MQTT protocol for the realization of a given use case.</t>
  </si>
  <si>
    <t>Guerra-Zubiaga, David A.; Aksu, Murat; Richards, Gershom; Kuts, Vladimir</t>
  </si>
  <si>
    <t>Integrating Digital Twin Software Solutions with Collaborative Industrial Systems: A Comprehensive Review for Operational Efficiency</t>
  </si>
  <si>
    <t>https://doi.org/10.3390/app15137049</t>
  </si>
  <si>
    <t>10.3390/app15137049</t>
  </si>
  <si>
    <t>&lt;jats:p&gt;The integration of digital twin software solutions with industrial collaborative robotics applications has gained significant attention due to its potential to enhance operational efficiency in various industries. The authors of this paper provide a comprehensive review of the literature, analyzing the benefits, challenges, and opportunities associated with this unification. The research methodology incorporates both quantitative and qualitative analyses of relevant scholarly articles, case studies, and industry reports. The study identifies research gaps and challenges, including data management, security, scalability, interoperability, and transitioning simulations to digital twins. To address these gaps, the authors explore published frameworks for effectively integrating digital twin software solutions with industrial collaborative robotics applications. An important challenge is to define some tools to develop a digital twin. This paper explores the tools implemented by other researchers to develop a digital twin. The findings of this research contribute to a deeper understanding of the combination of digital twins and collaborative robots, paving the way for improved operational efficiency and informed decision-making.&lt;/jats:p&gt;</t>
  </si>
  <si>
    <t>Puder, Andreas; Schindewolf, Marc; Sax, Eric</t>
  </si>
  <si>
    <t>Ontology-Based Service Composition for Interoperable and Modular Medical Devices</t>
  </si>
  <si>
    <t>https://doi.org/10.1109/cbms58004.2023.00321</t>
  </si>
  <si>
    <t>10.1109/cbms58004.2023.00321</t>
  </si>
  <si>
    <t>Since interoperability between medical devices is becoming mandatory in the Operating Room (OR), manufacturer-independent communication standards following a Plug and Play (PnP) approach are on the rise. Medical devices such as Operating Room tables (OR tables) are also reconfigurable and modular systems following a PnP approach. But enabling a networked system with multiple reconfigurable medical devices in a highly regulated and safety-critical area requires a continuous architecture with clear semantics. Thus, we propose an ontology-based service composition in a Service-Oriented architecture (SOA) for modular and interoperable medical devices that ensures unified semantics. Therefore, we use an OR table that is connected to other devices in an OR as an example.</t>
  </si>
  <si>
    <t>Homay, Aydin; Chrysoulas, Christos; Watt, Tess; Wollschlaege, Martin; de Sousa, Mario; Maglaras, Leandros</t>
  </si>
  <si>
    <t>Broker-Less OPC UA PubSub Communication Model Performance Analysis</t>
  </si>
  <si>
    <t>https://doi.org/10.1109/ict62760.2024.10606025</t>
  </si>
  <si>
    <t>10.1109/ict62760.2024.10606025</t>
  </si>
  <si>
    <t>Scordino, Claudio; Marino, Angela Gonzalez; Fons, Francesc</t>
  </si>
  <si>
    <t>Hardware Acceleration of Data Distribution Service (DDS) for Automotive Communication and Computing</t>
  </si>
  <si>
    <t>https://doi.org/10.1109/access.2022.3213664</t>
  </si>
  <si>
    <t>10.1109/access.2022.3213664</t>
  </si>
  <si>
    <t>The increasing growth in complexity of vehicles' functionalities is driving a technological shift in the design of software architectures in the automotive industry. Traditional signal-oriented networking is being replaced by service-oriented communications enabled by a new generation of Electronic Control Units (ECUs). The growing interest for full-fledged middlewares can be supported by these powerful ECUs. However, the new capabilities come at a non-negligible cost, which conflicts with the need to design a cost-effective solution that allows for meeting aggressive budget goals in a high volume market like automotive. In this paper, we illustrate how a significant part of the functionalities of a powerful middleware like Data Distribution Service (DDS) can be effectively implemented through hardware accelerators. We show that our approach can guarantee high performance while minimizing system complexity at the software level (e.g. AUTOSAR) by shifting painful or inefficient software implementations of QoS policies directly to hardware. This, in turn, allows to build cost-effective solutions suitable for next-generation automotive systems.</t>
  </si>
  <si>
    <t>Komenda, Titanilla; Garcia, Jorge Blesa; Schelle, Maximilian; Leber, Felix; Brandstötter, Mathias</t>
  </si>
  <si>
    <t>Sustainable Utilization of Industrial Robotic Systems by Facilitating Programming Through a Human and Process Centred Declarative Approach</t>
  </si>
  <si>
    <t>https://doi.org/10.1007/978-3-031-15602-1_9</t>
  </si>
  <si>
    <t>10.1007/978-3-031-15602-1_9</t>
  </si>
  <si>
    <t>10.1109/ice2cpt66440.2025.11340410</t>
  </si>
  <si>
    <t>10.3390/en18143796</t>
  </si>
  <si>
    <t>Laghari, Sham-ul-Arfeen; Manickam, Selvakumar; Al-Ani, Ayman; Rehman, Shafiq Ul; Karuppayah, Shankar</t>
  </si>
  <si>
    <t>SECS/GEMsec: A Mechanism for Detection and Prevention of Cyber-Attacks on SECS/GEM Communications in Industry 4.0 Landscape</t>
  </si>
  <si>
    <t>https://doi.org/10.1109/access.2021.3127515</t>
  </si>
  <si>
    <t>10.1109/access.2021.3127515</t>
  </si>
  <si>
    <t>Guimarães, Carlos Solon S.; de Andrade, Maiko; De Avila, Flávio Rocha; de Oliveira Gomes, Victor Emmanuel; Nardelli, Vitor Camargo</t>
  </si>
  <si>
    <t>IoT Architecture for Interoperability and Monitoring of Industrial Nodes</t>
  </si>
  <si>
    <t>https://doi.org/10.1016/j.promfg.2020.11.052</t>
  </si>
  <si>
    <t>10.1016/j.promfg.2020.11.052</t>
  </si>
  <si>
    <t>Abstract Rapid advances in industrialization methods with information and communication technologies, sensor networking, ubiquitous computing, and more recently the Internet of Things, have spurred progress in developing the next generation of manufacturing technology. This article addresses the problem of incompatibility between the components required by the automation and robotics industry. The architecture model and implementation responds to the needs identified by the industry, facilitating interoperability and measurability of industrial technologies. In the industry value chain, monitoring for intelligent maintenance plays a key role, that of maintaining productive availability and allowing the use of assets throughout their life cycle, at the lowest operational cost. Based on the advances in frameworks and middleware defined by robotics software, a IoT architecture for Industrial environments (IIoT) is proposed, based on reference models for Industry 4.0, which provides edge layers for field devices, fog for gateways and supervisors, and cloud for business logic and services according to the devices or industrial nodes. The validation for IIoT architecture presents the results of experimental analysis of sensor tests applied in a manufacturing environment to enable integration and sharing of resources. Finally, we discuss the real contributions of research to the high cohesion and low coupling of the architecture based on interoperability between the industrial nodes.</t>
  </si>
  <si>
    <t>Stumm, Sven; Krishnan, Ajith; Brell-Cokcan, Sigrid</t>
  </si>
  <si>
    <t>Konfigurierbare Arbeitsräume und Robotik als Basis der Automatisierung in der Vorfertigung des Bauwesens</t>
  </si>
  <si>
    <t>https://doi.org/10.1007/978-3-658-42544-9_13</t>
  </si>
  <si>
    <t>10.1007/978-3-658-42544-9_13</t>
  </si>
  <si>
    <t>Sahba, Rezvaneh; Radfar, Reza; Ghatari, Ali Rajabzadeh; Ebrahimi, Alireza</t>
  </si>
  <si>
    <t>Development of Industry 4.0 predictive maintenance architecture for broadcasting chain</t>
  </si>
  <si>
    <t>https://doi.org/10.1016/j.aei.2021.101324</t>
  </si>
  <si>
    <t>10.1016/j.aei.2021.101324</t>
  </si>
  <si>
    <t>Cui, Yesheng; Kara, Sami; Chan, Ka Ching</t>
  </si>
  <si>
    <t>Manufacturing big data ecosystem: A systematic literature review</t>
  </si>
  <si>
    <t>https://doi.org/10.1016/j.rcim.2019.101861</t>
  </si>
  <si>
    <t>10.1016/j.rcim.2019.101861</t>
  </si>
  <si>
    <t>Abstract 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t>
  </si>
  <si>
    <t>Tightiz, Lilia; Yang, Hyo-Sik</t>
  </si>
  <si>
    <t>A Comprehensive Review on IoT Protocols’ Features in Smart Grid Communication</t>
  </si>
  <si>
    <t>https://doi.org/10.3390/en13112762</t>
  </si>
  <si>
    <t>10.3390/en13112762</t>
  </si>
  <si>
    <t>Since the smart grid deals with a large mass of data and critical missions, it requires ubiquitous, reliable, and real-time communication. The Internet of Things (IoT) technology, which has the potential of connecting all objects over the globe through the Internet, excels in providing robust information transmission infrastructure in the smart grid. There are a multitude of possible protocols, standards, and configurations for communication in the smart grid. A commonly applied communication standard IEC 61850 recommends the use of Manufacturing Message Specification (MMS) protocol for communication in Local Area Network (LAN) and eXtensible Messaging and Presence Protocol (XMPP) in Wide Area Network (WAN). However, a plethora of research on this topic compares the behavior of other IoT protocols and standard recommendations in the smart grid. On the other hand, the sky-rocketing penetration of Renewable Energy Sources (RES), especially in the form of micro grid, transformed the central control structure of the smart grid into a distributed style called Multi-Agent Systems (MAS). This new approach defined new communication requirements and more particular IoT protocol characteristic requirements. However, a limited number of the existing studies have considered IoT protocol characteristic requirements of the smart grid and its new control structures. In this paper, we initially investigate the communication requirements of the smart grid and introduce all IoT protocols and their specifications. We analyze IoT protocol characteristics and performances in the smart grid through literature review based on the smart grid communication requirements. In this approach, we highlight weak points of these practices making them fail to acquire the holistic guidelines in utilizing proper IoT protocol that can meet the smart grid environment interaction requirements. Using the existing facilities, the public Internet, we follow the arrangement of cost-effective high penetration communication requirements for new structures of the smart grid, i.e., the MAS and multi-micro grid. In this case, we consider IoT protocol Quality of Services (QoS) requirements, especially in the case of security and reliability, to satisfy stakeholders, namely utilities and prosumers. Addressing effective elements in applying IoT in the smart grid’s future trends is another contribution to this paper.</t>
  </si>
  <si>
    <t>Kunndra, Chetanya; Choudhary, Arjun; Kaur, Jaspreet; Mathur, Prashant</t>
  </si>
  <si>
    <t>VAIDS: A Hybrid Deep Learning Model to Detect Intrusions in MQTT Protocol Enabled Networks</t>
  </si>
  <si>
    <t>https://doi.org/10.1007/978-3-031-53085-2_18</t>
  </si>
  <si>
    <t>10.1007/978-3-031-53085-2_18</t>
  </si>
  <si>
    <t>Paul, Sebastian; Guerin, Esther</t>
  </si>
  <si>
    <t>ETFA - Hybrid OPC UA: Enabling Post-Quantum Security for the Industrial Internet of Things</t>
  </si>
  <si>
    <t>https://doi.org/10.1109/etfa46521.2020.9212112</t>
  </si>
  <si>
    <t>10.1109/etfa46521.2020.9212112</t>
  </si>
  <si>
    <t>Cyber-physical systems (CPS) are considered a crucial part for providing connectivity in industrial environments. However, the recent increase in connectivity has led to an extended attack vector. Therefore, it is important that CPS are secured against current and — due to their long life span — also against future threats, such as quantum computers. The security of present communication can be broken once a sufficiently powerful quantum computer is available. To protect against this attack vector, applications and protocols should start utilizing quantum-resistant primitives. One approach that maintains common security guarantees and protects against quantum computer attacks is to use hybrid constructions: a combination of classically secure and quantum-resistant schemes. In this work, we propose a hybrid key exchange mechanism for the industrial communication protocol Open Platform Communications Unified Architecture (OPC UA). We describe four distinct instantiations based on selected quantum-resistant key encapsulation mechanisms (KEMs), namely NewHope, NTRU, CRYSTALS-Kyber, and Saber. We implement our resulting quantum-resistant modifications of OPC UA on two different ARM based platforms and present detailed performance footprints. Finally, we show the feasibility of employing hybrid quantum-resistant key exchange within OPC UA preserving industrial communication against future threats.</t>
  </si>
  <si>
    <t>Becker, T.; Keber, J.; Seewig, J.</t>
  </si>
  <si>
    <t>Voraussagende Instandhaltung an einer Kaltumformpresse auf Basis eines nachgerüsteten Zustandsüberwachungskonzepts</t>
  </si>
  <si>
    <t>https://doi.org/10.1007/978-3-658-48078-3_6</t>
  </si>
  <si>
    <t>10.1007/978-3-658-48078-3_6</t>
  </si>
  <si>
    <t>Detzner, Peter; Gödeke, Jana; Tönning, Lars; Laskowski, Patrick; Hörstrup, Maximilian; Stolz, Oliver; Brehler, Marius; Kerner, Sören</t>
  </si>
  <si>
    <t>SOLA: A Decentralized Communication Middleware Developed with ns-3</t>
  </si>
  <si>
    <t>https://doi.org/10.1145/3592149.3592151</t>
  </si>
  <si>
    <t>10.1145/3592149.3592151</t>
  </si>
  <si>
    <t>The transformation from static production facilities into a flexible and decentralized cyber-physical production system (CPPS) is part of the current ongoing Industry 4.0. A CPPS will enable and support communication between people, machines and virtual objects, e.g., as material flow or products, alike. However, communication in CPPS relies often on centralized approaches using a message broker or is not considered at all. We present in this paper the decentralized communication middleware called SOLA with an emphasis on, but not limited to, CPPS. SOLA uses the inherent given capability to communicate of participating nodes and eliminates the need for a central instance. A structured overlay network is created and managed, which appears to its users as a single coherent system. The main building blocks of SOLA are the management overlay and the event dissemination. Within this building blocks, no single peer has a global view and all operations are based on each peer's local view. The local view represents some selected links to a subset of all peers in the network. In addition to this, we also present how SOLA was developed with the help of the discrete-event simulator ns-3. Finally, we also show how we have used ns-3 to simulate a self-organizing material flow where participants use SOLA to communicate.</t>
  </si>
  <si>
    <t>Ben Kebaier, Nour; Geib, Benedikt; Lyczkowski, Eike; Venanzi, Riccardo; Barth, Mike</t>
  </si>
  <si>
    <t>Real-Time Performance Evaluation of Containerized Virtual PLCs: A Comparative Study of Docker and Podman for Industrial Automation</t>
  </si>
  <si>
    <t>https://doi.org/10.1109/camad67323.2025.11229890</t>
  </si>
  <si>
    <t>10.1109/camad67323.2025.11229890</t>
  </si>
  <si>
    <t>Kasper, Lukas; Birkelbach, Felix; Schwarzmayr, Paul; Steindl, Gernot; Ramsauer, Daniel; Hofmann, René</t>
  </si>
  <si>
    <t>Toward a Practical Digital Twin Platform Tailored to the Requirements of Industrial Energy Systems</t>
  </si>
  <si>
    <t>https://doi.org/10.3390/app12146981</t>
  </si>
  <si>
    <t>10.3390/app12146981</t>
  </si>
  <si>
    <t>&lt;jats:p&gt;Digitalization and concepts such as digital twins (DT) are expected to have huge potential to improve efficiency in industry, in particular, in the energy sector. Although the number and maturity of DT concepts is increasing, there is still no standardized framework available for the implementation of DTs for industrial energy systems (IES). On the one hand, most proposals focus on the conceptual side of components and leave most implementation details unaddressed. Specific implementations, on the other hand, rarely follow recognized reference architectures and standards. Furthermore, most related work on DTs is done in manufacturing, which differs from DTs in energy systems in various aspects, regarding, for example, multiple time-scales, strong nonlinearities and uncertainties. In the present work, we identify the most important requirements for DTs of IES. We propose a DT platform based on the five-dimensional DT modeling concept with a low level of abstraction that is tailored to the identified requirements. We address current technical implementation barriers and provide practical solutions for them. Our work should pave the way to standardized DT platforms and the efficient encapsulation of DT service engineering by domain experts. Thus, DTs could be easy to implement in various IES-related use cases, host any desired models and services, and help get the most out of the individual applications. This ultimately helps bridge the interdisciplinary gap between the latest research on DTs in the domain of computer science and industrial automation and the actual implementation and value creation in the traditional energy sector.&lt;/jats:p&gt;</t>
  </si>
  <si>
    <t>10.1109/naps58826.2023.10318551</t>
  </si>
  <si>
    <t>10.1109/comst.2025.3534828</t>
  </si>
  <si>
    <t>Ong, Kevin Shen Hoong; Wang, Wenbo; Hieu, Nguyen Quang; Niyato, Dusit; Friedrichs, Thomas</t>
  </si>
  <si>
    <t>Predictive Maintenance Model for IIoT-Based Manufacturing: A Transferable Deep Reinforcement Learning Approach</t>
  </si>
  <si>
    <t>https://doi.org/10.1109/jiot.2022.3151862</t>
  </si>
  <si>
    <t>10.1109/jiot.2022.3151862</t>
  </si>
  <si>
    <t>The Industrial Internet of Things (IIoT) is crucial for accurately assessing the state of complex equipment in order to perform predictive maintenance (PdM) successfully. However, existing IIoT-based PdM frameworks do not consider the influence of various practical yet complex system factors, such as the real-time production states, machine health, and maintenance manpower resources. For this reason, we propose a generic PdM optimization framework to assist maintenance teams in prioritizing and resolving maintenance task conflicts under real-world manufacturing conditions. Specifically, the PdM framework aims to jointly optimize the edge-based machine network uptime and the allocation of manpower resources in a stochastic IIoT-enabled manufacturing environment using the model-free deep reinforcement learning (DRL) methods. Since DRL requires a significant amount of training data, we propose and demonstrate the use of the transfer learning (TL) method to assist DRL in learning more efficiently by incorporating expert demonstrations, termed TL with demonstrations (TLDs). TLD reduces training wall time by 58% compared to baseline methods, and we conduct numerous experiments to illustrate the performance, robustness, and scalability of TLD. Finally, we discuss the general benefits and limitations of the proposed TL method, which are not well addressed in the existing literature but could be beneficial to both researchers and industry practitioners.</t>
  </si>
  <si>
    <t>Zhang, Qinglei; Liu, Qinghao; Duan, Jianguo; Qin, Jiyun</t>
  </si>
  <si>
    <t>Research on Teleoperated Virtual Reality Human-Robot Five-Dimensional Collaboration System.</t>
  </si>
  <si>
    <t>https://doi.org/10.3390/biomimetics8080605</t>
  </si>
  <si>
    <t>10.3390/biomimetics8080605</t>
  </si>
  <si>
    <t>In the realm of industrial robotics, there is a growing challenge in simplifying human-robot collaboration (HRC), particularly in complex settings. The demand for more intuitive teleoperation systems is on the rise. However, optimizing robot control interfaces and streamlining teleoperation remains a formidable task due to the need for operators to possess specialized knowledge and the limitations of traditional methods regarding operational space and time constraints. This study addresses these issues by introducing a virtual reality (VR) HRC system with five-dimensional capabilities. Key advantages of our approach include: (1) real-time observation of robot work, whereby operators can seamlessly monitor the robot's real-time work environment and motion during teleoperation; (2) leveraging VR device capabilities, whereby the strengths of VR devices are harnessed to simplify robot motion control, significantly reducing the learning time for operators; and (3) adaptability across platforms and environments: our system effortlessly adapts to various platforms and working conditions, ensuring versatility across different terminals and scenarios. This system represents a significant advancement in addressing the challenges of HRC, offering improved teleoperation, simplified control, and enhanced accessibility, particularly for operators with limited prior exposure to robot operation. It elevates the overall HRC experience in complex scenarios.</t>
  </si>
  <si>
    <t>Runge, Maxim; Reiche, Leif-Thore; Niemann, Karl-Heinz; Fay, Alexander; Würger, Andreas</t>
  </si>
  <si>
    <t>Requirements for an energy data information model for a communication-independent device description</t>
  </si>
  <si>
    <t>https://doi.org/10.1109/etfa45728.2021.9613401</t>
  </si>
  <si>
    <t>10.1109/etfa45728.2021.9613401</t>
  </si>
  <si>
    <t>Czwick, Cordula; Anderl, Reiner</t>
  </si>
  <si>
    <t>Cyber-physical twins - definition, conception and benefit</t>
  </si>
  <si>
    <t>https://doi.org/10.1016/j.procir.2020.01.070</t>
  </si>
  <si>
    <t>10.1016/j.procir.2020.01.070</t>
  </si>
  <si>
    <t>Abstract Despite the advances of the digitalization, predictions of the condition of components cannot be made accurately. During the production process, data is collected and connected with a certain component. A further utilization does not take place in most cases. Cyber-physical twins enable a customized acquisition of real-time data within the whole product life cycle and a user-oriented usage of this data for simulations to gain a certain benefit. Therefore, precise information of the actual state of a component can be achieved. This paper deals with the definition and conception of cyber-physical twins. Furthermore, benefits of cyber-physical twins are discussed.</t>
  </si>
  <si>
    <t>Profanter, Stefan; Breitkreuz, Ari; Rickert, Markus; Knoll, Alois</t>
  </si>
  <si>
    <t>ETFA - A Hardware-Agnostic OPC UA Skill Model for Robot Manipulators and Tools</t>
  </si>
  <si>
    <t>https://doi.org/10.1109/etfa.2019.8869205</t>
  </si>
  <si>
    <t>10.1109/etfa.2019.8869205</t>
  </si>
  <si>
    <t>The current trend to lot-size-one production requires reduced integration effort and easy reuse of available devices inside the production line. These devices have to offer a uniform interface to fulfill these requirements.This paper presents a hardware-agnostic skill model using the semantic modeling capabilities of OPC UA. The model provides a standardized interface to hardware or software functionality while offering an intuitive way of grouping multiple skills to a higher hierarchical abstraction.Our skill model is based on OPC UA Programs and modeled as an open source NodeSet. We hereby focus on the reusability of the skills for many different domains. The model is evaluated by controlling three different industrial robots and their tools through the same skill interface. The evaluation shows that our generic OPC UA skill model can be used as a standardized control interface for device and software components in industrial manufacturing. With our solution new components can easily be exchanged without changing the interface. This is not only true for industrial robots, but for any device which provides a controllable functionality.</t>
  </si>
  <si>
    <t>Gupta, Sandeep; Sacchetti, Tommaso; Crispo, Bruno</t>
  </si>
  <si>
    <t>End-to-End Encryption for Securing Communications in Industry 4.0</t>
  </si>
  <si>
    <t>https://doi.org/10.1109/menacomm57252.2022.9998272</t>
  </si>
  <si>
    <t>10.1109/menacomm57252.2022.9998272</t>
  </si>
  <si>
    <t>In Industry 4.0 (I4.0), reliable data sharing between multiple entities is profoundly significant for both the business-level and the manufacturing operations-level collaboration. Eventually, machine-to-machine (M2M) communication technology can be a key underlying technology for I4.0, where devices (e.g., sensors, actuators, and gateways) can exchange information with each other autonomously, ensuring data confidentiality and integrity. In this paper, we propose a transparent message level end-to-end encryption layer for Message Queue Telemetry Transport (MQTT). We exploit Ciphertext-Policy Attribute-based encryption (CP-ABE) that is implemented using the Fast Attribute Message Encryption (FAME) CP-ABE scheme. We also evaluate the time and space performance of the FAME CP-ABE scheme.</t>
  </si>
  <si>
    <t>Fojcik, Marcin; Cupek, Rafal; Ziebinski, Adam; Sande, Olav; Fojcik, Martyna Katarzyna</t>
  </si>
  <si>
    <t>ICCCI (2) - Quality of Service in Real-Time OPC UA Applications</t>
  </si>
  <si>
    <t>https://doi.org/10.1007/978-3-030-28374-2_21</t>
  </si>
  <si>
    <t>10.1007/978-3-030-28374-2_21</t>
  </si>
  <si>
    <t>There are many different requirements for communications systems and therefore the types of communications systems in the modern world. There are also special requirements in automation. It is not only necessary to provide data exchange to monitor and control the processes but also to gather, store and process all of the data to optimise production as well. There are different requirements for the amount of data, for the delivery time and for the semantic relationships between the measurements. Although there are some standards, none of these is good enough as yet. One of those standards is OPC UA. Unfortunately, in many practical situations, OPC UA is also regarded as not being good enough to be used. The issues are primarily about the time parameters – the client does not always receive the information in the specified time. In this paper, the authors will present some of the limitations and give some suggestions for improving the time parameters of OPC UA systems in practical applications.</t>
  </si>
  <si>
    <t>Putpuek, Narongsak; Putpuek, Apiradee; Phawandee, Sansern</t>
  </si>
  <si>
    <t>Performance Evaluation of OPC UA and MQTT for ETAT Smart Lab (ESL)</t>
  </si>
  <si>
    <t>https://doi.org/10.1109/incit60207.2023.10413160</t>
  </si>
  <si>
    <t>10.1109/incit60207.2023.10413160</t>
  </si>
  <si>
    <t>The Eastern Economic Corridor (EEC) serves as a key and central strategic initiative within the broader Thailand 4.0 framework. The ETAT project aims to establish dedicated engineering education and training centers for participating universities, providing essential support and skills development opportunities for engineers and young professionals. As one of the project partners, Rajabhat Rajanagarindra University (RRU) has undertaken the development of the ETAT Smart Lab to design a smart agricultural system that incorporates the Internet of Things (IoT), programmable logic controllers (PLCs), and Raspberry Pi. In this study, we focus on the ETAT Smartlab environment, specifically on the task of transferring data from RS-485 Modbus sensors to the PLCnext platform using both OPC UA and MQTT protocols. Our method for evaluating performance in this context focuses on measuring the time stamp differences between the source and destination endpoints. The research shows that the OPC UA protocol provides superior performance for transmitting sensor data to ETAT Smart Lab.</t>
  </si>
  <si>
    <t>10.1109/piicon56320.2022.10045172</t>
  </si>
  <si>
    <t>Froschauer, Roman; Kurschl, Werner; Wolfartsberger, Josef; Pimminger, Sebastian; Lindorfer, Rene; Blattner, Jakob</t>
  </si>
  <si>
    <t>A Human-Centered Assembly Workplace For Industry: Challenges and Lessons Learned</t>
  </si>
  <si>
    <t>https://doi.org/10.1016/j.procs.2021.01.166</t>
  </si>
  <si>
    <t>10.1016/j.procs.2021.01.166</t>
  </si>
  <si>
    <t>Abstract The increasing complexity of adapting established assembly processes to fast changing market demands is challenging European industry. Especially for highly individual products the automation of each assembly step is not feasible for both technical and economic reasons. Humans and machines have to work cooperatively in future factories. Like new programming methods for machines, human workers have to be trained for such changed situations. Therefore, this paper presents challenges and lessons learned from a 4-year research project dealing with the reduction of training effort for assembly processes by researching easily configurable, digital assistive systems. These digital assistive systems arranged on a novel ‘human centered workplace’ range from product-specific work instructions shown on a display and augmented reality solutions for training to collaborative robots. The overall architecture comprises a fully integrated software eco-system for engineering and operating assistive systems, a prototypical assembly station as well as a corresponding transformation process.</t>
  </si>
  <si>
    <t>Dahl, Martin; Eros, Endre; Hanna, Atieh; Bengtsson, Kristofer; Fabian, Martin; Falkman, Petter</t>
  </si>
  <si>
    <t>ETFA - Control components for Collaborative and Intelligent Automation Systems</t>
  </si>
  <si>
    <t>https://doi.org/10.1109/etfa.2019.8869112</t>
  </si>
  <si>
    <t>10.1109/etfa.2019.8869112</t>
  </si>
  <si>
    <t>Collaborative and intelligent automation systems need intelligent control systems. Some of this intelligence exist on a per-component basis in the form of vision, sensing, motion, and path planning algorithms. To fully take advantage of this intelligence, also the coordination of subsystems need to exhibit intelligence. While there exist middleware solutions that eases communication, development, and reuse of such subsystems, for example the Robot Operating System (ROS), good coordination also requires knowledge about how control is supposed to be performed, as well as expected behavior of the subsystems. This paper introduces lightweight components that wraps ROS2 nodes into composable control components from which an intelligent control system can be built. The ideas are implemented on a use case involving collaborative robots with on-line path planning, intelligent tools, and human operators.</t>
  </si>
  <si>
    <t>10.1007/978-3-031-95705-5_8</t>
  </si>
  <si>
    <t>10.1007/978-981-97-3562-4_20</t>
  </si>
  <si>
    <t>10.1016/b978-0-443-14066-2.00007-4</t>
  </si>
  <si>
    <t>Didden, Jeroen B.H.C.; Dang, Quang-Vinh; Adan, Ivo</t>
  </si>
  <si>
    <t>A semi-decentralized control architecture for high-mix-low-volume factories in Industry 4.0</t>
  </si>
  <si>
    <t>https://doi.org/10.1016/j.mfglet.2021.09.005</t>
  </si>
  <si>
    <t>10.1016/j.mfglet.2021.09.005</t>
  </si>
  <si>
    <t>Abstract Industry 4.0 introduces a shift towards a more decentralized planning and control architecture in order to combat the changing production environment. Hence, this paper presents a semi-decentralized control architecture for the high-mix-low-volume industry to improve production planning and control. The proposed architecture consists of three components: the ERP system, a global control unit, and shop floor planning. The system’s performance is improved through better use of knowledge and creation of virtual manufacturing cells on the shop floor, allowing for better control in case of uncertainties or changes within product mix and volume.</t>
  </si>
  <si>
    <t>Wang, Jian; Xie, Chuang; Dong, Ce</t>
  </si>
  <si>
    <t>Frame analysis based real time related indicators measurement of industrial ethernet Powerlink</t>
  </si>
  <si>
    <t>https://doi.org/10.1109/iaecst57965.2022.10061863</t>
  </si>
  <si>
    <t>10.1109/iaecst57965.2022.10061863</t>
  </si>
  <si>
    <t>The protocol Powerlink which is one of real-time Ethernet protocols included in the Standard IEC FDIS61784-2, has been widely used for the communication of both IO devices in industrial fields and drives for motor control applications to provide deterministic data transmission. When the Powerlink network is running in the industrial field environment, the online measurement of time related indicators is an appropriate method to evaluate the performance of the network in real time and detect communication faults between devices. In this paper, several time related indicators are proposed and analyzed to estimate the real time performance of the network when all devices get into the operate state. Further more, an efficient method to measure the proposed indicators based on frame analysis is presented and implemented on a PC-based monitor station that stores all the frames which transfer in the network and contain timestamp added by an FPGA-based probe. The measurement method is tested on a real network consisting of one master node and two slave nodes, and some experimental results are presented.</t>
  </si>
  <si>
    <t>Freitas, Luis; Sobowale, Adeniyi; Lima, Ana; Marujo, Pedro; Machado, José</t>
  </si>
  <si>
    <t>OPC-UA in Digital Twins—A Performance Comparative Analysis</t>
  </si>
  <si>
    <t>https://doi.org/10.1007/978-3-031-61575-7_11</t>
  </si>
  <si>
    <t>10.1007/978-3-031-61575-7_11</t>
  </si>
  <si>
    <t>Girke, Felix; Harmann, René; Kaigom, Eric Guiffo</t>
  </si>
  <si>
    <t>Systems of Digital Twins and Physical Systems: Interoperability, Decentralization, and Mobility in Robotic Applications</t>
  </si>
  <si>
    <t>https://doi.org/10.1109/mmar62187.2024.10680793</t>
  </si>
  <si>
    <t>10.1109/mmar62187.2024.10680793</t>
  </si>
  <si>
    <t>Levin, Thiago B.; Oliveira, João Miguel; Sousa, Ricardo B.; Silva, Manuel F.; Parreira, Bruno S.; Sobreira, Héber Miguel; Mendonça, Hélio Sousa</t>
  </si>
  <si>
    <t>Image and Command Transmission Over the 5G Network for Teleoperation of Mobile Robots</t>
  </si>
  <si>
    <t>https://doi.org/10.1109/robot61475.2024.10797434</t>
  </si>
  <si>
    <t>10.1109/robot61475.2024.10797434</t>
  </si>
  <si>
    <t>He, Sen; Kim, In Kee; Wang, Wei</t>
  </si>
  <si>
    <t>A Study of Java Microbenchmark Tail Latencies</t>
  </si>
  <si>
    <t>https://doi.org/10.1145/3578245.3584690</t>
  </si>
  <si>
    <t>10.1145/3578245.3584690</t>
  </si>
  <si>
    <t>As Java microbenchmarks are great at profiling the performance of essential code elements, they are widely adopted for Java performance testing. Performance testing using Java microbenchmarks is composed of two phases: the warmup phase and the steady phase. Usually, testing results from the warmup phase are discarded because of the highly fluctuating performance caused by the optimization of Java Virtual Machine. The performance results collected during the steady phase are used for performance evaluation as they are assumed to be more stable. However, according to our study, severe performance fluctuations also occur during the steady phase, which leads to long tail latencies. Long tail latencies constitute a big problem in modern Java systems (of course, other systems and applications) as they hurt the user experience by prolonging the overall execution time.</t>
  </si>
  <si>
    <t>Bode, Vincent; Trinitis, Carsten; Schulz, Martin; Buettner, David; Preclik, Tobias</t>
  </si>
  <si>
    <t>Adopting User-Space Networking for DDS Message-Oriented Middleware</t>
  </si>
  <si>
    <t>https://doi.org/10.1109/percom59722.2024.10494460</t>
  </si>
  <si>
    <t>10.1109/percom59722.2024.10494460</t>
  </si>
  <si>
    <t>Due to the flexibility it offers, publish-subscribe messaging middleware is a popular choice in Industrial IoT (IIoT) applications. The Data Distribution Service (DDS) is a widely used industry standard for these systems with a focus on versatility and extensibility, implemented by multiple vendors and present in myriad deployments across industries like aerospace, healthcare and industrial automation. However, many IoT scenarios require real-time capabilities for deployments with rigid timing, reliability and resource constraints, while publish-subscribe mechanisms currently rely on components that are not strictly real-time capable, such as the Linux networking stack, making it hard to provide robust performance guarantees without large safety margins. In order to make publish-subscribe approaches viable and efficient also in such real-time scenarios, we introduce userspace DDS networking transport extensions, allowing us to fasttrack the communication hot path by bypassing the Linux kernel. For this purpose, we extend the best-performing vendor implementation from a previous study, CycloneDDS, to include modules for two widespread user-space networking technologies, the Data Plane Development Kit (DPDK) and the eXpress Data Path (XDP), and we evaluate their performance benefits against four existing DDS implementations (OpenDDS, RTI Connext, FastDDS and CycloneDDS). The CycloneDDS-DPDK and CycloneDDS-XDP extensions offer a performance benefit of 31% and 18% reduced mean latency, respectively, as well as an increase in bandwidth and sample rate throughput of up to 59%, while reducing the latency bound by at least 94%, demonstrating the performance and dependability advantages of circumventing the kernel for real-time communications.</t>
  </si>
  <si>
    <t>10.1109/access.2022.3209698</t>
  </si>
  <si>
    <t>Contreras, Juan David; García, José Isidro; Gomez, Julian</t>
  </si>
  <si>
    <t>WEA - Maintenance Management of an Additive Manufacturing System Based on the I4.0 Model.</t>
  </si>
  <si>
    <t>https://doi.org/10.1007/978-3-030-86702-7_26</t>
  </si>
  <si>
    <t>10.1007/978-3-030-86702-7_26</t>
  </si>
  <si>
    <t>Currently, novel industrial organizations have emerged supported by the Industry 4.0 model. This digital transformation encourages a technological integration where addictive manufacturing plays a resale role. In this sense, this work focuses on the definition of an addictive manufacturing industrial environment under the Industry 4.0 model that integrates a value-based platform. The model presented strengthens maintenance management allowing new scenarios, such as: self-maintenance and remote maintenance.</t>
  </si>
  <si>
    <t>10.1109/mcom.001.2200568</t>
  </si>
  <si>
    <t>Leander, Björn; Čaušević, Aida; Hansson, Hans; Lindström, Tomas</t>
  </si>
  <si>
    <t>Evaluation of an OPC UA-Based Access Control Enforcement Architecture</t>
  </si>
  <si>
    <t>https://doi.org/10.1007/978-3-031-54204-6_7</t>
  </si>
  <si>
    <t>10.1007/978-3-031-54204-6_7</t>
  </si>
  <si>
    <t>Castillo-Sánchez, José-Borja; González-Parada, Eva; Cano-García, José-Manuel</t>
  </si>
  <si>
    <t>A novel testbed for evaluating ROS 2 robot swarm wireless communications</t>
  </si>
  <si>
    <t>https://doi.org/10.1109/melecon56669.2024.10608676</t>
  </si>
  <si>
    <t>10.1109/melecon56669.2024.10608676</t>
  </si>
  <si>
    <t>Jo, Daeil; Kwon, Yongjin</t>
  </si>
  <si>
    <t>Generation of Critical Information and Sharing Mechanism for Multi-Robot Mission Success</t>
  </si>
  <si>
    <t>https://doi.org/10.1109/access.2025.3600319</t>
  </si>
  <si>
    <t>10.1109/access.2025.3600319</t>
  </si>
  <si>
    <t>10.1109/comst.2023.3305468</t>
  </si>
  <si>
    <t>He, Sen; Liu, Tianyi; Lama, Palden; Lee, Jaewoo; Kim, In Kee; Wang, Wei</t>
  </si>
  <si>
    <t>Performance Testing for Cloud Computing with Dependent Data Bootstrapping</t>
  </si>
  <si>
    <t>https://doi.org/10.1109/ase51524.2021.9678687</t>
  </si>
  <si>
    <t>10.1109/ase51524.2021.9678687</t>
  </si>
  <si>
    <t>To effectively utilize cloud computing, cloud practice and research require accurate knowledge of the performance of cloud applications. However, due to the random performance fluctuations, obtaining accurate performance results in the cloud is extremely difficult. To handle this random fluctuation, prior research on cloud performance testing relied on a non-parametric statistic tool called bootstrapping to design their stop criteria. However, in this paper, we show that the basic bootstrapping employed by prior work overlooks the internal dependency within cloud performance test data, which leads to inaccurate performance results.We then present Metior, a novel automated cloud performance testing methodology, which is designed based on statistical tools of block bootstrapping, the law of large numbers, and autocorrelation. These statistical tools allow Metior to properly consider the internal dependency within cloud performance test data. They also provide better coverage of cloud performance fluctuation and reduce the testing cost. Experimental evaluation on two public clouds showed that 98% of Metior's tests could provide performance results with less than 3% error. Metior also significantly outperformed existing cloud performance testing methodologies in terms of accuracy and cost – with up to 14% increase in the accurate test count and up to 3.1 times reduction in testing cost.</t>
  </si>
  <si>
    <t>Gan, Yiming; Bo, Yu; Tian, Boyuan; Xu, Leimeng; Hu, Wei; Liu, Shaoshan; Liu, Qiang; Zhang, Yanjun; Tang, Jie; Zhu, Yuhao</t>
  </si>
  <si>
    <t>HPCA - Eudoxus: Characterizing and Accelerating Localization in Autonomous Machines Industry Track Paper</t>
  </si>
  <si>
    <t>https://doi.org/10.1109/hpca51647.2021.00074</t>
  </si>
  <si>
    <t>10.1109/hpca51647.2021.00074</t>
  </si>
  <si>
    <t>We develop and commercialize autonomous machines, such as logistic robots and self-driving cars, around the globe. A critical challenge to our—and any—autonomous machine is accurate and efficient localization under resource constraints, which has fueled specialized localization accelerators recently. Prior acceleration efforts are point solutions in that they each specialize for a specific localization algorithm. In real-world commercial deployments, however, autonomous machines routinely operate under different environments and no single localization algorithm fits all the environments. Simply stacking together point solutions not only leads to cost and power budget overrun, but also results in an overly complicated software stack.This paper demonstrates our new software-hardware co-designed framework for autonomous machine localization, which adapts to different operating scenarios by fusing fundamental algorithmic primitives. Through characterizing the software framework, we identify ideal acceleration candidates that contribute significantly to the end-to-end latency and/or latency variation. We show how to co-design a hardware accelerator to systematically exploit the parallelisms, locality, and common building blocks inherent in the localization framework. We build, deploy, and evaluate an FPGA prototype on our next-generation self-driving cars. To demonstrate the flexibility of our framework, we also instantiate another FPGA prototype targeting drones, which represent mobile autonomous machines. We achieve about $2 \times$ speedup and $4 \times$ energy reduction compared to widely-deployed, optimized implementations on general-purpose platforms.</t>
  </si>
  <si>
    <t>Cabrera, Erwin J. Sacoto; Palaguachi, Sonia; León-Paredes, Gabriel A.; Gallegos-Segovia, Pablo L.; Bravo-Quezada, Omar Gustavo</t>
  </si>
  <si>
    <t>Industrial Communication Based on MQTT and Modbus Communication Applied in a Meteorological Network</t>
  </si>
  <si>
    <t>https://doi.org/10.1007/978-3-030-63665-4_3</t>
  </si>
  <si>
    <t>10.1007/978-3-030-63665-4_3</t>
  </si>
  <si>
    <t>In this paper, we propose an architecture to enable hierarchical sensors networks that use MQTT protocol for sensors data acquisition to interact with the MODBUS protocol to send information to the SCADA system. The proposed architecture is implemented in three stages. In the first stage, we configure the MQTT protocol in sensors. In the second stage, we configure the middleware to transport the data to the SCADA system by MODBUS protocol. And in the third stage, the SCADA system is implemented. We conclude that the architecture proposed is feasible to hierarchical sensor networks that used the MQTT protocol and interacted with MODBUS industrial networks.</t>
  </si>
  <si>
    <t>YUCESAN, Ongun; ÖZKİL, Altan; ÖZBEK, Efe</t>
  </si>
  <si>
    <t>A Reliability Assessment of an Industrial Communication Protocol on a Windows OS Embedded PC for an Oil Rig Control Application</t>
  </si>
  <si>
    <t>https://doi.org/10.53525/jster.971534</t>
  </si>
  <si>
    <t>10.53525/jster.971534</t>
  </si>
  <si>
    <t>The reliability is an important criterion for the applications. Especially when there are humans involved in activity. There are limited number of works addressing the reliability concerns of a digital industrial plant scenario with machine to machine (M2M) communications. Results on a windows embedded platform are rare as well. In this paper, we investigate the suitability of such devices for presenting the data of a digital oil rig to the humans. There can be two types of reads. A simple one regarding current values of observed variables. Also a period of their occurrences can be recalled, referred to as an Historic read. For the review made by Geological teams for residues of ore, an algorithm can consider both techniques. Our observations indicate: the simple reads are more resilient than the historical ones that represent a data past of a readable variable.</t>
  </si>
  <si>
    <t>Pohlmann, Joshwa; Matthe, Maximilian; Kronauer, Tobias; Auerbach, Paul; Fettweis, Gerhard</t>
  </si>
  <si>
    <t>ROS2-based Small-Scale Development Platform for CCAM Research Demonstrators</t>
  </si>
  <si>
    <t>https://doi.org/10.1109/vtc2022-spring54318.2022.9860981</t>
  </si>
  <si>
    <t>10.1109/vtc2022-spring54318.2022.9860981</t>
  </si>
  <si>
    <t>This work proposes an architecture and platform for researching and demonstrating use-cases for connected cars based on small-scale vehicles. The proposal bridges the gap between a lab setup to test individual algorithms and deployments on real cars. It allows researchers to communicate their results with a small-scale indoor demonstrator. The platform employs ROS2 and MicroROS to allow for a modular and scalable hardware and software setup. Moreover, it allows running all control algorithms in a graphical simulation to ease development of complex scenarios. We successfully apply the platform to build a demonstrator for a platooning use-case and point out limitations such as lacking photorealism of the simulation and limited processing power of the platform. Our results indicate that using a well-designed platform and architecture can significantly reduce required effort for implementing connected cars use-cases.</t>
  </si>
  <si>
    <t>Soderi, Mirco; Kamath, Vignesh; Morgan, Jeff; Breslin, John G.</t>
  </si>
  <si>
    <t>Advanced Analytics as a Service in Smart Factories</t>
  </si>
  <si>
    <t>https://doi.org/10.1109/sami54271.2022.9780768</t>
  </si>
  <si>
    <t>10.1109/sami54271.2022.9780768</t>
  </si>
  <si>
    <t>A key aspect of Intelligent Manufacturing is the interface between the Edge and Fog layers on one side and the Cloud on the other side. Once that some data extraction and cleaning has been performed in the (logical and/or physical) nearby of the production line, it is necessary to move to the Cloud where distributed data and parallel computations make it possible to train and use Machine Learning models. For a wide range of applications, it is also necessary to restructure and reconfigure the computation network over the time, reacting to relevant events at real-time. This can be achieved (i) by making the network and all of its components fully configurable through API calls, (ii) by using containerization technologies, and (iii) by relying on graphical user interfaces for development, data visualization, monitoring, and interaction. In this work, an architecture for a computation network is presented that (i) spreads across the Edge, Fog and Cloud layers, (ii) is fully configurable through API calls, and (iii) is based on Docker, Node-RED, MQTT, Scala, Spark, and Cloud storage technologies such as Hadoop. Two proofs of concept are presented: a clustering-based alerter, and a demo environment plus a Postman collection including over 600 API calls to demonstrate how the proposed architecture enables Big Data stream transformations and analytics as a Service.</t>
  </si>
  <si>
    <t>Yoo, Yoon-Sik; Newaz, S.H. Shah; Lee, Il-Woo</t>
  </si>
  <si>
    <t>Developing a Real-time OPC UA based Aggregated Monitoring System for Small-scale Distributed Energy Resources among Microgrids</t>
  </si>
  <si>
    <t>https://doi.org/10.1109/ictc52510.2021.9620859</t>
  </si>
  <si>
    <t>10.1109/ictc52510.2021.9620859</t>
  </si>
  <si>
    <t>Towards post-quantum security for cyber-physical systems: Integrating PQC into industrial M2M communication1</t>
  </si>
  <si>
    <t>10.1109/smartgridcomm60555.2024.10738025</t>
  </si>
  <si>
    <t>Kang, Zhuangwei; Canady, Robert; Dubey, Abhishek; Gokhale, Aniruddha; Shekhar, Shashank; Sedlacek, Matous</t>
  </si>
  <si>
    <t>A Study of Publish/Subscribe Middleware Under Different IoT Traffic Conditions</t>
  </si>
  <si>
    <t>https://doi.org/10.1145/3429881.3430109</t>
  </si>
  <si>
    <t>10.1145/3429881.3430109</t>
  </si>
  <si>
    <t>Publish/Subscribe (pub/sub) semantics are critical for IoT applications due to their loosely coupled nature. Although OMG DDS, MQTT, and ZeroMQ are mature pub/sub solutions used for IoT, prior studies show that their performance varies significantly under different load conditions and QoS configurations, which makes middleware selection and configuration decisions hard. Moreover, the load conditions and role of QoS settings in prior comparison studies are not comprehensive and well-documented. To address these limitations, we (1) propose a set of performance-related properties for pub/sub middleware and investigate their support in DDS, MQTT, and ZeroMQ; (2) perform systematic experiments under three representative, lab-based real-world IoT use cases; and (3) improve DDS performance by applying three of our proposed QoS properties. Empirical results show that DDS has the most thorough QoS support, and more reliable performance in most scenarios. In addition, its Multicast, TurboMode, and AutoThrottle QoS policies can effectively improve DDS performance in terms of throughput and latency.</t>
  </si>
  <si>
    <t>Ioana, Alexandru; Korodi, Adrian; Silea, Ioan</t>
  </si>
  <si>
    <t>Automotive IoT Ethernet-Based Communication Technologies Applied in a V2X Context via a Multi-Protocol Gateway.</t>
  </si>
  <si>
    <t>https://doi.org/10.3390/s22176382</t>
  </si>
  <si>
    <t>10.3390/s22176382</t>
  </si>
  <si>
    <t>The architectural approach for complex communication systems must adapt quickly and take into consideration the increasing set of requirements for every industrial field. The automotive domain is evolving toward the electrification era, with massive technological transformations being realized on all architectural, hardware, and software levels. The legacy usage of exclusively microcontrollers is altered by adopting microprocessors with extended functionalities, reshaping the development structure. Although new hardware capabilities are available and Ethernet communication protocols can contribute to a new range of use-cases for intra-car or for vehicle-to-X (V2X) communication, the implications of using multiple protocols that cover different types of requirements, in the same architecture, are not fully determined. The importance of establishing clear expectations for intelligent communication systems considering various technological and architectural factors is significant for future improvements. In the current paper, we examine the compatibility and real-time responsiveness capabilities, in a diverse, service-oriented architecture, for the major automotive IoT Ethernet-based communication technologies. The feasibility analysis is materialized in a multi-protocol gateway solution that facilitates data exchange between entities with different technological origins. Scalable Service-Oriented Middleware over IP (SOME/IP) is considered the relevant protocol in the automotive domain, alongside the Data Distribution Service (DDS), which combines automotive and IoT applicability. The enhanced Communication Abstraction Layer (eCAL) middleware is added to the mix as an alternative solution for future communication scenarios. The obtained results confirm the compatibility between the targeted technologies, offering a clear understanding regarding the limits of a complex multi-protocol communication system. The defined service-oriented architecture offers efficient data exchanges in a gateway context, also allowing the exploration of the real-time capabilities.</t>
  </si>
  <si>
    <t>10.1109/isgteurope64741.2025.11305604</t>
  </si>
  <si>
    <t>Rincon, David Arias-Cachero; Celik, Ali Ekber; Zhang, Weifan; Rodriguez, Ignacio; Yavuz, Sirma Çekirdek; Mogensen, Preben</t>
  </si>
  <si>
    <t>An Operational 5G Edge Cloud-Controlled Robotic Cell Environment Based on MQTT and OPC UA</t>
  </si>
  <si>
    <t>https://doi.org/10.1109/icar58858.2023.10406936</t>
  </si>
  <si>
    <t>10.1109/icar58858.2023.10406936</t>
  </si>
  <si>
    <t>This paper presents the design and implementation of a wireless robotic cell environment based on 5G and edge-cloud technologies. In the process, different control communication protocols and architectures concerning the MQTT and OPC UA IIoT standards are considered based on available reference implementations. The industrial-grade robotic cell is evaluated in operational conditions with a focus on the specifics of the underlying control communication effects, as well as on the impact on the industrial manufacturing use case. The experimental results demonstrated the effectiveness of the wireless 5G edge-cloud operation using both MQTT and OPC UA protocols, providing the required flexibility and reconfigurability, at expenses of an 8-9% increased production cycle time, as compared to the wired Ethernet reference.</t>
  </si>
  <si>
    <t>Mäule, Johannes; Kutzler, Tobias; Leich, Thomas; Schäfer, Denes; Richter, Christian</t>
  </si>
  <si>
    <t>Unified Namespace and Asset Administration Shell: A Winning Combination for Digital Production</t>
  </si>
  <si>
    <t>https://doi.org/10.1109/etfa61755.2024.10710821</t>
  </si>
  <si>
    <t>10.1109/etfa61755.2024.10710821</t>
  </si>
  <si>
    <t>Ðorđević, Milica; Albonico, Michel; Lewis, Grace A.; Malavolta, Ivano; Lago, Patricia</t>
  </si>
  <si>
    <t>Computation offloading for ground robotic systems communicating over WiFi – an empirical exploration on performance and energy trade-offs</t>
  </si>
  <si>
    <t>https://doi.org/10.1007/s10664-023-10351-6</t>
  </si>
  <si>
    <t>10.1007/s10664-023-10351-6</t>
  </si>
  <si>
    <t>&lt;jats:title&gt;Abstract&lt;/jats:title&gt;&lt;jats:sec&gt;&lt;jats:title&gt;Context&lt;/jats:title&gt;&lt;jats:p&gt;Robotic systems are known to perform computation-intensive tasks with limited computational resources and battery life. Such systems might benefit from offloading heavy workloads to the Cloud; however, in some cases, this implies high network traffic that degrades performance and energy consumption.&lt;/jats:p&gt;&lt;/jats:sec&gt;&lt;jats:sec&gt;&lt;jats:title&gt;Goal&lt;/jats:title&gt;&lt;jats:p&gt;In this study, we aim at evaluating the impact of different computation offloading strategies on performance and energy consumption in the context of autonomous robots.&lt;/jats:p&gt;&lt;/jats:sec&gt;&lt;jats:sec&gt;&lt;jats:title&gt;Method&lt;/jats:title&gt;&lt;jats:p&gt;We conduct two controlled experiments involving a robotic mission based on the Turtlebot3 robot and ROS 1. The mission consists of three tasks that are recurrent in robotics and good candidates for computation offloading in research, namely, SLAM mapping, navigation stack, and object recognition. Each of the tasks is either executed on board or offloaded in a full-factorial experiment design. The obtained measures are then statistically analyzed.&lt;/jats:p&gt;&lt;/jats:sec&gt;&lt;jats:sec&gt;&lt;jats:title&gt;Results&lt;/jats:title&gt;&lt;jats:p&gt;The results show that offloading the object recognition task causes a more significant decrease in resource utilization and energy consumption than both SLAM mapping and navigation. However, object recognition affects the volume of network traffic significantly to the extent that it can easily cause network congestion.&lt;/jats:p&gt;&lt;/jats:sec&gt;&lt;jats:sec&gt;&lt;jats:title&gt;Conclusions&lt;/jats:title&gt;&lt;jats:p&gt;In the context of our experiments (&lt;jats:italic&gt;i.e.,&lt;/jats:italic&gt;those involving small-scale ground ROS-based mobile robots operating under WiFi networks), offloading object recognition is beneficial in terms of performance and energy consumption. Nevertheless, large network bandwidth needs to be available for object recognition offloading. While the image resolution and frame rate have a significant impact on not only the network traffic but also energy consumption and performance, these parameters need to be carefully set so that the results of this task can be always received in time, which is particularly crucial in real-time systems.&lt;/jats:p&gt;&lt;/jats:sec&gt;</t>
  </si>
  <si>
    <t>Ferreira da Silva, Rafael; Abolhasani, Milad; Antonopoulos, Dionysios A.; Biven, Laura; Coffee, Ryan; Foster, Ian T.; Hamilton, Leslie; Jha, Shantenu; Mayer, Theresa; Mintz, Benjamin; Moore, Robert G.; Nimer, Salahudin; Paulson, Noah; Shin, Woong; Suter, Frédéric; Taheri, Mitra; Taufer, Michela; Washburn, Newell R.</t>
  </si>
  <si>
    <t>A Grassroots Network and Community Roadmap for Interconnected Autonomous Science Laboratories for Accelerated Discovery</t>
  </si>
  <si>
    <t>https://doi.org/10.1145/3750720.3757292</t>
  </si>
  <si>
    <t>10.1145/3750720.3757292</t>
  </si>
  <si>
    <t>10.1109/greentech52845.2022.9772034</t>
  </si>
  <si>
    <t>Fuertes, Juan J.; González-Herbón, Raúl; Rodríguez-Ossorio, José R.; González-Mateos, Guzmán; Alonso, Serafín; Morán, Antonio</t>
  </si>
  <si>
    <t>Guidelines to develop demonstration models on industry 4.0 for engineering training</t>
  </si>
  <si>
    <t>https://doi.org/10.1080/0951192x.2023.2189308</t>
  </si>
  <si>
    <t>10.1080/0951192x.2023.2189308</t>
  </si>
  <si>
    <t>Industrial digitization is currently a great challenge which involves continuous advances in technologies such as automation, robotics, internet of things, cloud computing, big data, virtual and augmented reality or cybersecurity. Only those companies able to adapt and with qualified workers will be competitive. Therefore, it is necessary to design new environments to train students and workers in these enabling technologies. In this paper, a set of guidelines is proposed to develop a demonstration model on Industry 4.0. Following these guidelines, an existing manufacturing industrial system, based on an electro-pneumatic cell for classifying pieces, is updated to the Industry 4.0 paradigm. The result is an Industry 4.0 demonstration model where enabling technologies are added in an integrated way. In this manner, students do not only train in each technology, but also understand the interactions between them. In the academic year 2020/21, this demonstration model has been used by engineering students in a subject of a master's degree. Impressions and comments from students about the structure and management of the environment, as well as the influence on their learning process are collected and discussed.</t>
  </si>
  <si>
    <t>10.3390/app132312573</t>
  </si>
  <si>
    <t>Hale, Steven J.; Chaplin, William J.; Davies, G. R.; Elsworth, Yvonne</t>
  </si>
  <si>
    <t>A next generation upgraded observing platform for the automated Birmingham Solar Oscillations Network (BiSON)</t>
  </si>
  <si>
    <t>https://doi.org/10.1117/12.2561282</t>
  </si>
  <si>
    <t>10.1117/12.2561282</t>
  </si>
  <si>
    <t>The Birmingham Solar Oscillations Network (BiSON) is a collection of ground-based automated telescopes observing oscillations of the Sun. The network has been operating since the early 1990s. We present development work on a prototype next generation observation platform, BiSON:NG, based almost entirely on inexpensive off-the-shelf components, and where the footprint is reduced to a size that can be inexpensively installed on the roof of an existing building. Continuous development is essential in ensuring that automated networks such as BiSON are well placed to observe the next solar cycle and beyond.</t>
  </si>
  <si>
    <t>Buccafurri, Francesco; De Angelis, Vincenzo; Lazzaro, Sara</t>
  </si>
  <si>
    <t>MQTT-I: Achieving End-to-End Data Flow Integrity in MQTT</t>
  </si>
  <si>
    <t>https://doi.org/10.1109/tdsc.2024.3358630</t>
  </si>
  <si>
    <t>10.1109/tdsc.2024.3358630</t>
  </si>
  <si>
    <t>MQTT has become the de facto standard in the IoT. Although standard MQTT lacks built-in security features, several proposals have been made to address this gap. Unfortunately, no existing proposal aims to offer end-to-end data flow integrity in the threat model of untrusted broker. Consider that, the broker has a privileged role, since it is in the middle of communication between publishers and subscribers. Our paper attempts to bridge this gap by introducing a new protocol called MQTT-I, which achieves end-to-end data flow integrity. Our solution is inspired by approaches based on Merkle Hash Trees, commonly used in the context of outsourced data to guarantee data integrity. Our solution aligns with the specific nature of MQTT, in which: (1) publishers and subscribers dynamically join and leave the system, (2) the decoupling principle holds, meaning that publishers and subscribers do not establish any form of agreement, and (3) data, whose integrity should be protected, are multi-topic streams. Moreover, the proposed solution allows us to find the right balance between performance and security. We perform both theoretical and experimental analysis to demonstrate that the introduced security features come with an acceptable overhead in terms of computational and energy cost.</t>
  </si>
  <si>
    <t>Alam, Shahedul; Atmojo, Udayanto Dwi; Blech, Jan Olaf; Lastra, Jose L. Martinez</t>
  </si>
  <si>
    <t>ICPS - A REST and HTTP-based Service Architecture for Industrial Facilities</t>
  </si>
  <si>
    <t>https://doi.org/10.1109/icps48405.2020.9274792</t>
  </si>
  <si>
    <t>10.1109/icps48405.2020.9274792</t>
  </si>
  <si>
    <t>In this paper we present work on a REST-API-based Service Oriented Architecture. Web-based services communicate with each other using the HTTP protocol. Services are hierarchically composed to form different service tiers. Furthermore, we present some empirical results regarding latency and performance in the context of our Factory of the Future Lab for flexible, reconfigurable manufacturing solutions.</t>
  </si>
  <si>
    <t>10.1109/access.2025.3571881</t>
  </si>
  <si>
    <t>Anjaria, Kushal</t>
  </si>
  <si>
    <t>Introduction to Sustainable Enterprise Resource Planning (S-ERP) in Industry 4.0</t>
  </si>
  <si>
    <t>https://doi.org/10.1007/978-981-96-7734-4_1</t>
  </si>
  <si>
    <t>10.1007/978-981-96-7734-4_1</t>
  </si>
  <si>
    <t>Golatowski, Frank; Raddatz, Hannes; Holzke, Fabian; Janchivnyambuu, Enkhtuvshin; Danielis, Peter; Timmermann, Dirk</t>
  </si>
  <si>
    <t>ICPS - An OPC UA-based Crane Model Using Time-Sensitive Networking Technology</t>
  </si>
  <si>
    <t>https://doi.org/10.1109/icps48405.2020.9274709</t>
  </si>
  <si>
    <t>10.1109/icps48405.2020.9274709</t>
  </si>
  <si>
    <t>Current control processes in the material handling domain are generally not automated but require manual human intervention. However, the ongoing development towards the Industry 4.0 involves new models and concepts and hence more and more automated control functions will become necessary. That is, devices such as cranes in the material handling domain will become smarter and will also be networked to a larger extent. However, it will be required that control messages passed to the cranes through a network, possibly shared with other traffic, are guaranteed to arrive in time. In this paper, we present an OPC UA-based model of an overhead travelling crane as part of a material handling scenario. The crane can be controlled by a crane remote controller, which we model as well. We use time-sensitive networking technology to ensure deterministic communication between the crane remote controller and the crane. To demonstrate the crane movement, we illustrate it in a simulation before we prove the deterministic communication in a real testbed.</t>
  </si>
  <si>
    <t>10.1016/j.egyr.2023.05.184</t>
  </si>
  <si>
    <t>Buccafurri, Francesco; de Angelis, Vincenzo; Lazzaro, Sara</t>
  </si>
  <si>
    <t>MQTT-A: A Broker-Bridging P2P Architecture to Achieve Anonymity in MQTT</t>
  </si>
  <si>
    <t>https://doi.org/10.1109/jiot.2023.3264019</t>
  </si>
  <si>
    <t>10.1109/jiot.2023.3264019</t>
  </si>
  <si>
    <t>The demand for privacy in the current digital era is continuously growing. This is particularly true in the context of IoT, in which huge amounts of data are handled. Communication anonymity is a fundamental requirement when high privacy levels should be guaranteed. On the other hand, very little attention has been devoted to this problem in the past scientific literature, when referring to MQTT, which is the de-facto standard for IoT communication. In this paper, we try to cover this gap. Specifically, we propose a new protocol, called MQTT-A, which extends the MQTT bridging mechanism to support the anonymity of both publishers and subscribers. This task is accomplished through the P2P collaboration of intermediate bridge brokers, which forward the requests of clients so that the final broker cannot understand the actual source/destination. Moreover, an anonymity-preserving topic discovery mechanism is provided, which allows clients to discover available topics and associated brokers, preventing client identification. Importantly, all the MQTT-A messages are exchanged by leveraging standard MQTT primitives and the bridging mechanism natively offered by MQTT. This allows us not to require changes in the standard MQTT infrastructure. To validate the performance of our solution, we performed a deep experimental campaign by deploying the bridge brokers on cloud platforms in various countries of the world. The experimental validation shows that, the price of latency we have to pay because of the trade-off with anonymity is quite reasonable. Moreover, no significant impact on goodput occurs in the case of good network conditions.</t>
  </si>
  <si>
    <t>Alcaraz, Cristina; Lopez, Javier</t>
  </si>
  <si>
    <t>Digital Twin: A Comprehensive Survey of Security Threats</t>
  </si>
  <si>
    <t>https://doi.org/10.1109/comst.2022.3171465</t>
  </si>
  <si>
    <t>10.1109/comst.2022.3171465</t>
  </si>
  <si>
    <t>Industry 4.0 is having an increasingly positive impact on the value chain by modernizing and optimizing the production and distribution processes. In this streamline, the digital twin (DT) is one of the most cutting-edge technologies of Industry 4.0, providing simulation capabilities to forecast, optimize and estimate states and configurations. In turn, these technological capabilities are encouraging industrial stakeholders to invest in the new paradigm, though an increased focus on the risks involved is really needed. More precisely, the deployment of a DT is based on the composition of technologies such as cyber-physical systems, the Industrial Internet of Things, edge computing, virtualization infrastructures, artificial intelligence and big data. However, the confluence of all these technologies and the implicit interaction with the physical counterpart of the DT in the real world generate multiple security threats that have not yet been sufficiently studied. In that context, this paper analyzes the current state of the DT paradigm and classifies the potential threats associated with it, taking into consideration its functionality layers and the operational requirements in order to achieve a more complete and useful classification. We also provide a preliminary set of security recommendations and approaches that can help to ensure the appropriate and trustworthy use of a DT.</t>
  </si>
  <si>
    <t>P.S., Akshatha; Dilip Kumar, S.M.; K.R., Venugopal</t>
  </si>
  <si>
    <t>MQTT Implementations, Open Issues, and Challenges: A Detailed Comparison and Survey</t>
  </si>
  <si>
    <t>https://doi.org/10.2174/2210327913666221216152446</t>
  </si>
  <si>
    <t>10.2174/2210327913666221216152446</t>
  </si>
  <si>
    <t>&lt;jats:sec&gt;&lt;jats:title&gt;Abstract:&lt;/jats:title&gt;&lt;jats:p&gt;MQTT is an open standard protocol promoted by OASIS and ISO, which allows devices to transport messages using the publish/subscribe model. MQTT is more prevalent than other application layer protocols of the Internet of Things (IoT) due to its lightweight nature, low bandwidth usage, application demand, etc. It is easy and straightforward to use the protocol, making it optimal for communication in resource-constrained situations such as machine-to-machine (M2M), Wireless Sensor Networks (WSNs), and in IoT circumstances in which the actuator and sensor nodes connect with applications through the MQTT message broker. A few review papers on MQTT protocol are available in the literature that focuses on broker details, comparison of IoT protocols, and limitations. In this paper, an overview of MQTT, existing survey work on MQTT, publication statistics, MQTT protocol performance evaluation, applications of MQTT, security issues of MQTT, comparison between MQTT and MQTT-SN, tools available or MQTT and available MQTT brokers to provide service are discussed. Graphs and comparison tables are presented to show the outcomes of the application and performance evaluation. The scope of this review paper is also to contribute a novel taxonomy of application layer protocols, their merits and demerits, correlation of MQTT with other application layer protocols, existing works of MQTT protocol to improve reliability, efficiency, security, issues, and challenges in MQTT, as well as future directions of MQTT.&lt;/jats:p&gt;&lt;/jats:sec&gt;</t>
  </si>
  <si>
    <t>Caiza, Gustavo; Sanz, Ricardo</t>
  </si>
  <si>
    <t>10.1109/sami63904.2025.10883298</t>
  </si>
  <si>
    <t>10.1109/access.2025.3623834</t>
  </si>
  <si>
    <t>Lacroix, Sylvain; Eynard, Benoit; Le Duigou, Julien; Godart, Xavier; Danjou, Christophe</t>
  </si>
  <si>
    <t>Distributed Approach for Integration in Industrial Systems</t>
  </si>
  <si>
    <t>https://doi.org/10.1007/978-3-031-25182-5_12</t>
  </si>
  <si>
    <t>10.1007/978-3-031-25182-5_12</t>
  </si>
  <si>
    <t>DDS Implementations as Real-Time Middleware – A Systematic Evaluation</t>
  </si>
  <si>
    <t>https://doi.org/10.1109/rtcsa58653.2023.00030</t>
  </si>
  <si>
    <t>10.1109/rtcsa58653.2023.00030</t>
  </si>
  <si>
    <t>Publish-subscribe messaging has seen increased adoption in the context of timing critical applications, with multiple frameworks integrating publish-subscribe middleware into their ecosystem. The Data Distribution Service (DDS) is a standard for pub-sub systems that has gained traction, through e.g. the adoption in ROS2, with multiple vendors distributing their implementations of the standard. However, while DDS is being used in a real-time context, the examined implementations are not strictly real-time capable and therefore cannot provide hard timing guarantees to the application. Still, users are looking to take advantage of the flexibility offered by DDS in close-to real-time use cases, raising the question of how well DDS implementations can provide soft real-time reliability assurances. We use DDS-Perf, a novel cross-vendor benchmarking tool for impartial performance analysis of DDS implementations, to examine how reliably four vendors (OpenDDS, RTI Connext, Fast-DDS and CycloneDDS) can deliver real-time-like performance under different scenarios. From a typical out-of-the-box setup, we offer a guide to users for tuning performance/reliability and examine problems users might encounter trying to satisfy real-time constraints. The vendor implementations are tested against a range of experiments to evaluate operating performance under favorable and adverse conditions. Overall, we find that OpenDDS has the worst performance out-of-the-box and after calibration, while FastDDS and CycloneDDS offer the best performance, which is comparable to user-space networking technologies in the average case but with a much higher worst-case latency bound.</t>
  </si>
  <si>
    <t>Cibrario Bertolotti, Ivan; Durante, Luca; Cambiaso, Enrico</t>
  </si>
  <si>
    <t>Analyzing Impact and Systemwide Effects of the SlowROS Attack in an Industrial Automation Scenario</t>
  </si>
  <si>
    <t>https://doi.org/10.3390/fi17040167</t>
  </si>
  <si>
    <t>10.3390/fi17040167</t>
  </si>
  <si>
    <t>&lt;jats:p&gt;The ongoing adoption of Robot Operating Systems (ROSs) not only for research-oriented projects but also for industrial applications demands a more thorough assessment of its security than in the past. This paper highlights that a key ROS component—the ROS Master—is indeed vulnerable to a novel kind of Slow Denial of Service (slow DoS) attack, the root reason of this vulnerability being an extremely high idle connection timeout. The effects of vulnerability exploitation have been evaluated in detail by means of a realistic test bed, showing how it leads to a systemwide and potentially dangerous disruption of ROS system operations. Moreover, it has been shown how some basic forms of built-in protection of the Linux kernel can be easily circumvented, and are therefore ineffective against this kind of threat.&lt;/jats:p&gt;</t>
  </si>
  <si>
    <t>Buerkle, Achim; Matharu, Harveen; Al-Yacoub, Ali; Lohse, Niels; Bamber, Thomas; Ferreira, Pedro</t>
  </si>
  <si>
    <t>An adaptive human sensor framework for human–robot collaboration</t>
  </si>
  <si>
    <t>https://doi.org/10.1007/s00170-021-08299-2</t>
  </si>
  <si>
    <t>10.1007/s00170-021-08299-2</t>
  </si>
  <si>
    <t>&lt;jats:title&gt;Abstract&lt;/jats:title&gt; &lt;jats:p&gt;Manufacturing challenges are increasing the demands for more agile and dexterous means of production. At the same time, these systems aim to maintain or even increase productivity. The challenges risen from these developments can be tackled through human–robot collaboration (HRC). HRC requires effective task distribution according to each party’s distinctive strengths, which is envisioned to generate synergetic effects. To enable a seamless collaboration, the human and robot require a mutual awareness, which is challenging, due to the human and robot “speaking” different languages as in analogue and digital. This challenge can be addressed by equipping the robot with a model of the human. Despite a range of models being available, data-driven models of the human are still at an early stage. For this purpose, this paper proposes an adaptive human sensor framework, which incorporates objective, subjective, and physiological metrics, as well as associated machine learning. Thus, it is envisioned to adapt to the uniqueness and dynamic nature of human behavior. To test the framework, a validation experiment was performed, including 18 participants, which aims to predict perceived workload during two scenarios, namely a manual and an HRC assembly task. Perceived workloads are described to have a substantial impact on a human operator’s task performance. Throughout the experiment, physiological data from an electroencephalogram (EEG), an electrocardiogram (ECG), and respiration sensor was collected and interpreted. For subjective metrics, the standardized NASA Task Load Index was used. Objective metrics included task completion time and number of errors/assistance requests. Overall, the framework revealed a promising potential towards an adaptive behavior, which is ultimately envisioned to enable a more effective HRC.&lt;/jats:p&gt;</t>
  </si>
  <si>
    <t>Dieterle, Davor Joachim; Mäkiö, Elena</t>
  </si>
  <si>
    <t>Artificial Intelligence on the Shop Floor: A Comprehensive Review of Literature</t>
  </si>
  <si>
    <t>https://doi.org/10.2139/ssrn.6098259</t>
  </si>
  <si>
    <t>10.2139/ssrn.6098259</t>
  </si>
  <si>
    <t>Gambo, Muhammad Liman; Danasabe, Abubakar; Almadani, Basem; Aliyu, Farouq; Aliyu, Abdulrahman; Al-Nahari, Esam</t>
  </si>
  <si>
    <t>A Systematic Literature Review of DDS Middleware in Robotic Systems</t>
  </si>
  <si>
    <t>https://doi.org/10.3390/robotics14050063</t>
  </si>
  <si>
    <t>10.3390/robotics14050063</t>
  </si>
  <si>
    <t>&lt;jats:p&gt;The increasing demand for automation has led to the complexity of the design and operation of robotic systems. This paper presents a systematic literature review (SLR) focused on the applications and challenges of Data Distribution Service (DDS)-based middleware in robotics from 2006 to 2024. We explore the pivotal role of DDS in facilitating efficient communication across heterogeneous robotic systems, enabling seamless integration of actuators, sensors, and computational elements. Our review identifies key applications of DDS in various robotic domains, including multi-robot coordination, real-time data processing, and cloud–edge–end fusion architectures, which collectively enhance the performance and scalability of robotic operations. Furthermore, we identify several challenges associated with implementing DDS in robotic systems, such as security vulnerabilities, performance and scalability requirements, and the complexities of real-time data transmission. By analyzing recent advancements and case studies, we provide insights into the potential of DDS to overcome these challenges while ensuring robust and reliable communication in dynamic environments. This paper aims to contribute to the transformative impact of DDS-based middleware in robotics, offering a comprehensive overview of its benefits, applications, and security implications. Our findings underscore the necessity for continued research and development in this area, paving the way for more resilient and intelligent robotic systems that operate effectively in real-world scenarios. This review not only fills existing gaps in the literature but also serves as a foundational resource for researchers and practitioners seeking to leverage DDS in the design and implementation of next-generation robotic solutions.&lt;/jats:p&gt;</t>
  </si>
  <si>
    <t>Al-Shareeda, Mahmood A.; Manickam, Selvakumar; Laghari, Shams A.; Jaisan, Ashish</t>
  </si>
  <si>
    <t>Replay-Attack Detection and Prevention Mechanism in Industry 4.0 Landscape for Secure SECS/GEM Communications</t>
  </si>
  <si>
    <t>https://doi.org/10.3390/su142315900</t>
  </si>
  <si>
    <t>10.3390/su142315900</t>
  </si>
  <si>
    <t>&lt;jats:p&gt;Starting from the First Industrial Revolution to the current and Fourth Industrial Revolution (or Industry 4.0), various industrial machines are present in the market and manufacturing companies. As standardized protocols have become increasingly popular, more utilities are switching to Internet Protocol (IP)-based systems for wide-area communication. SECS/GEM is one of the standards that permit industries to collect information directly from the machines, either using RS323 or TCP/IP communication. TCP/IP communication is becoming more critical than ever, especially given our accelerated digital transformation and increasing reliance on communication technologies. The growth of IT is accelerating with cyberthreats as well. In contrast, security features in the SECS/GEM protocol may be neglected by some companies as it is only used in factories and not mostly used in the outside world. However, communication of SECS/GEM is highly susceptible to various cyberattacks. This paper analyzes the potential replay-attack cyberattacks that can occur on a SECS/GEM system. In replay attacks, this paper supposes an adversary that wants to damage an operation-based control system in an ongoing condition. The adversary has the ability to capture messages to watch and record their contents for a predetermined amount of time, record them, and then replay them while attacking in order to inject an exogenous control input undetected. The paper’s objectives are to prove that SECS/GEM communication is vulnerable to cyberattack and design a detection mechanism to protect SECS/GEM communications from replay attacks. The methodology implements a simulation of the replay-attack mechanism on SECS/GEM communication. The results indicate that the design mechanism detected replay attacks against SECS/GEM communications and successfully prevented them.&lt;/jats:p&gt;</t>
  </si>
  <si>
    <t>Lee, Changdae; Kim, Namhyeok; Hong, Seungho</t>
  </si>
  <si>
    <t>Toward Industrial IoT: Integrated Architecture of an OPC UA Synergy Platform</t>
  </si>
  <si>
    <t>https://doi.org/10.1109/access.2021.3135432</t>
  </si>
  <si>
    <t>10.1109/access.2021.3135432</t>
  </si>
  <si>
    <t>Recently, the manufacturing industry has revolutionized with 'smart manufacturing' and 'Industry 4.0', and with the development of the Industrial Internet of Things (IIoT), increasing number of physical objects can access network services. However, critical issues such as real-time communication, interoperability, and interlinking of internet and industrial devices are yet to be addressed. These issues arise from the problem of interconnectivity between smart manufacturing systems and non-semantic industrial equipment. Therefore, we referred to ISO/IEC 30141, a standard IoT reference architect document, to solve the interconnection problem and bridge the gap between the Internet and industry. Furthermore, we proposed a four-domain integrated architecture that divides the manufacturing system into user, cloud service, sensing controlling, and device domains. The proposed architecture is validated by constructing the applicable industrial pick-and-place testbed for the manufacturing system. Thus, this testbed can serve as guideline to examine the state of the art of the OPC UA PubSub based protocol in addition to several other types of protocol approaches.</t>
  </si>
  <si>
    <t>Ashiwal, Virendra; Majumder, Mainak; Zoitl, Alois</t>
  </si>
  <si>
    <t>Evaluation of Middleware Technologies for the PLC-Service Bus in IEC 61499</t>
  </si>
  <si>
    <t>https://doi.org/10.1109/etfa52439.2022.9921536</t>
  </si>
  <si>
    <t>10.1109/etfa52439.2022.9921536</t>
  </si>
  <si>
    <t>To address current challenges of production systems such as increased number of product variants, batch size one, and shorter product life cycle, they need to be modular, loosely coupled, and more adaptable than ever. A PLC-Service bus architecture has been proposed to improve the modularity and adaptability of a PLC-software. The architecture enables software components of PLC-software to interact via middleware in a loosely coupled manner. Previous work identified a catalog of message integration patterns for PLC-software, and IEC 61499 was proposed to implement the architecture. The current version of the IEC 61499 standard does not fully support all message integration patterns from the catalog.Therefore, this paper first identifies suitable middleware technologies for IEC 61499 and, later, based on the requirements of the PLC-Service bus architecture, evaluates them to propose the suitable middleware technologies.</t>
  </si>
  <si>
    <t>10.1080/02564602.2025.2601599</t>
  </si>
  <si>
    <t>10.3390/s23218840</t>
  </si>
  <si>
    <t>10.1007/978-981-97-7921-5_2</t>
  </si>
  <si>
    <t>Eudoxus: Characterizing and Accelerating Localization in Autonomous Machines.</t>
  </si>
  <si>
    <t>We develop and commercialize autonomous machines, such as logistic robots and self-driving cars, around the globe. A critical challenge to our -- and any -- autonomous machine is accurate and efficient localization under resource constraints, which has fueled specialized localization accelerators recently. Prior acceleration efforts are point solutions in that they each specialize for a specific localization algorithm. In real-world commercial deployments, however, autonomous machines routinely operate under different environments and no single localization algorithm fits all the environments. Simply stacking together point solutions not only leads to cost and power budget overrun, but also results in an overly complicated software stack. This paper demonstrates our new software-hardware co-designed framework for autonomous machine localization, which adapts to different operating scenarios by fusing fundamental algorithmic primitives. Through characterizing the software framework, we identify ideal acceleration candidates that contribute significantly to the end-to-end latency and/or latency variation. We show how to co-design a hardware accelerator to systematically exploit the parallelisms, locality, and common building blocks inherent in the localization framework. We build, deploy, and evaluate an FPGA prototype on our next-generation self-driving cars. To demonstrate the flexibility of our framework, we also instantiate another FPGA prototype targeting drones, which represent mobile autonomous machines. We achieve about 2x speedup and 4x energy reduction compared to widely-deployed, optimized implementations on general-purpose platforms.</t>
  </si>
  <si>
    <t>10.1109/tia.2023.3305341</t>
  </si>
  <si>
    <t>Park, Andrew T.; Peck, Nathaniel; Dill, Richard; Hodson, Douglas D.; Grimaila, Michael R.; Henry, Wayne C.</t>
  </si>
  <si>
    <t>Quantifying DDS-cerberus network control overhead</t>
  </si>
  <si>
    <t>https://doi.org/10.1007/s11227-022-04770-3</t>
  </si>
  <si>
    <t>10.1007/s11227-022-04770-3</t>
  </si>
  <si>
    <t>&lt;jats:title&gt;Abstract&lt;/jats:title&gt;&lt;jats:p&gt;Securing distributed device communication is critical because the private industry and the military depend on these resources. One area that adversaries target is the middleware, which is the medium that connects different systems. This paper evaluates a novel security layer, DDS-Cerberus (DDS-C), that protects in-transit data and improves communication efficiency on data-first distribution systems. This research contributes a distributed robotics operating system testbed and designs a multifactorial performance-based experiment to evaluate DDS-C efficiency and security by assessing total packet traffic generated in a robotics network. The performance experiment follows a 2:1 publisher to subscriber node ratio, varying the number of subscribers and publisher nodes from three to eighteen. By categorizing the network traffic from these nodes into either &lt;jats:italic&gt;data message&lt;/jats:italic&gt;, &lt;jats:italic&gt;security&lt;/jats:italic&gt;, or &lt;jats:italic&gt;discovery+&lt;/jats:italic&gt; with Quality of Service (QoS) best effort and reliable, the mean &lt;jats:italic&gt;security&lt;/jats:italic&gt; traffic from DDS-C has minimal impact to Data Distribution Service (DDS) operations compared to other network traffic. The results reveal that applying DDS-C to a representative distributed network robotics operating system network does not impact performance.&lt;/jats:p&gt;</t>
  </si>
  <si>
    <t>10.1515/9783111612034-011</t>
  </si>
  <si>
    <t>Wen, Long; Rickert, Markus; Pan, Fengjunjie; Lin, Jianjie; Knoll, Alois</t>
  </si>
  <si>
    <t>Bare-Metal vs. Hypervisors and Containers: Performance Evaluation of Virtualization Technologies for Software-Defined Vehicles</t>
  </si>
  <si>
    <t>https://doi.org/10.1109/iv55152.2023.10186789</t>
  </si>
  <si>
    <t>10.1109/iv55152.2023.10186789</t>
  </si>
  <si>
    <t>Software-defined vehicles (SDV) play an important role in future electrical and electronic (E&amp;E) architectures. Their increased flexibility compared to traditional architectures is a crucial factor in the rapid development cycles of autonomous driving. Containerization and virtualization are two key technologies that enable rapid software installation and updates under the SDV framework. These two technologies have been widely adopted in cloud computing, but their performance and suitability in intelligent vehicles still has to be evaluated. In this work, we look at generic performance experiments of containerization and virtualization on both embedded and general-purpose computer systems regarding CPU, memory, network, and disk. We further investigate the impact of virtualization and containerization on the Autoware framework to evaluate scenarios that are close to real-world automotive applications. Additionally, we evaluate performance by splitting the Autoware framework into several dependent service parts, which are installed in separate containers. Extensive experimental results show that virtualization and containerization have no significant performance drop with 0-5% loss compared to a bare-metal setup in terms of CPU, memory, and network. However, both technologies suffer dramatic performance degradation on the disk side, losing 5-15% in containers and 35% in virtualization.</t>
  </si>
  <si>
    <t>Scully, Christopher W.; Johnson, Connor; Ferguson, Jonas; Bajkowski, Trevor; Keller, James M.; Scott, Grant J.; Carley, Samantha S.; Price, Stanton</t>
  </si>
  <si>
    <t>Evaluating robot operating system's capabilities across distributed containerized systems</t>
  </si>
  <si>
    <t>https://doi.org/10.1117/12.3013892</t>
  </si>
  <si>
    <t>10.1117/12.3013892</t>
  </si>
  <si>
    <t>In the pursuit of research into autonomous systems, Robot Operating System (ROS) has become a de facto standard for both its functionality and extensibility. ROS has helped to provide standardized systems for common challenges such as communication, localization, and mapping. While ROS has historically been successful on these fronts, due to the prominence of containerization and micro-service architecture, ROS has had its usage shift to have resources run on containers leveraging distributed communication capabilities. While its distributed communication capabilities are present, we seek to better appreciate the efficacy of ROS in a distributed context by evaluating its impact on performance. To evaluate the impact of performance, we've leveraged the KITTI dataset to provide reproducible information streams that have both visible and LiDAR where we will evaluate mapping throughput to compare performance. Our metrics evaluate three methods of containerized ROS development: 1) A singular container with all relevant processing on a single machine, 2) Multiple containers on a single machine where processing is separated by logical task, and 3) Multiple containers where each process is in a domain-specific container distributed across a cluster of systems. Based on our comparison of performance across these paradigms, we believe these results will help better inform developers and researchers on the trade-offs given by ROS in a micro-service architecture.</t>
  </si>
  <si>
    <t>Brecko, Alexander; Burda, Filip; Papcun, Peter; Kajati, Erik</t>
  </si>
  <si>
    <t>Applicability of OPC UA and REST in Edge Computing</t>
  </si>
  <si>
    <t>https://doi.org/10.1109/sami54271.2022.9780849</t>
  </si>
  <si>
    <t>10.1109/sami54271.2022.9780849</t>
  </si>
  <si>
    <t>In the last few years, the Internet of Things has expanded so much that it has been necessary to transfer part of the decision-making process from the cloud back to the local network. This article aims to design and implement an edge device at the edge of the network close to the data source to reduce latency. The edge device, in this case, will be a Raspberry Pi 3. The role of the edge device will be to manage and monitor the status of laboratory models and display model data to the client who will query these models. In this paper, the industrial protocol OPC UA and REST will be tested and compared. These will be used for communication with the edge device.</t>
  </si>
  <si>
    <t>10.3390/app11167363</t>
  </si>
  <si>
    <t>Ho, Min-Huang; Yen, Huang-Chu; Lai, Ming-Yi; Liu, Yung-Tien</t>
  </si>
  <si>
    <t>Implementation of DDS Cloud Platform for Real-time Data Acquisition of Sensors</t>
  </si>
  <si>
    <t>https://doi.org/10.1109/ispacs51563.2021.9650986</t>
  </si>
  <si>
    <t>10.1109/ispacs51563.2021.9650986</t>
  </si>
  <si>
    <t>The Industry 4.0 (I4.0) is a multi-disciplinary engineering by combing the IoT, big data, and cloud computing to cope well with the dynamic changing industry. In this paper, the DDS (Data distribution service) communication protocol is employed to implement a cloud platform for data acquisition of various sensors including accelerometer, sound, temperature, brightness, and humility, etc. The sensor signals acquired by the ESP32 microcontroller (MCU) are collected by the Raspberry Pi serving as the edge device and then published with the DDS application to the cloud and stored to the MySQL database. With the Django web server, the sensor signals acquired are real-time shown on the webpage. It is expected that the proposed DDS cloud platform can be applied to a legacy machine to enable sensing and communication abilities such that the development of smart machine is achievable.</t>
  </si>
  <si>
    <t>Digital Twin for Monitoring an Industrial Process Using Augmented Reality</t>
  </si>
  <si>
    <t>https://doi.org/10.23919/cisti54924.2022.9820356</t>
  </si>
  <si>
    <t>10.23919/cisti54924.2022.9820356</t>
  </si>
  <si>
    <t>A Digital Twin (DT) is a virtual representation of a physical object which plays an important role in the digital transformation of industry, where an important requirement for intelligent manufacturing is cyber-physical integration. One of the objectives is to improve the performance of the real system using the information generated in the virtual part. The present paper shows the development of a low-cost DT used for monitoring the state of the process and the product development using augmented reality (AR) and free software for its configuration and programming. The design was tested in the MPS 500 classification station, which is a modular production station that has industrial sensors and actuators and was controlled with a Raspberry Pi (RPi) board responsible for sending data to the Firebase cloud to further show the DT in real-time in a mobile phone. Results show that with the help of the DT and AR, it is possible to automate industrial processes and monitor them from different places, collecting and analyzing data to achieve the implementation of solutions based on the data generated by the DT, enabling a greater level of digitalization and information to increase the efficiency and reliability of the processes.</t>
  </si>
  <si>
    <t>10.1109/csr57506.2023.10224964</t>
  </si>
  <si>
    <t>Zhang, Jiaqiang; Keramat, Farhad; Yu, Xianjia; Hernández, Daniel Montero; Queralta, Jorge Peña; Westerlund, Tomi</t>
  </si>
  <si>
    <t>Distributed Robotic Systems in the Edge-Cloud Continuum with ROS 2: a Review on Novel Architectures and Technology Readiness</t>
  </si>
  <si>
    <t>https://doi.org/10.1109/fmec57183.2022.10062523</t>
  </si>
  <si>
    <t>10.1109/fmec57183.2022.10062523</t>
  </si>
  <si>
    <t>Robotic systems are more connected, networked, and distributed than ever. New architectures that comply with the de facto robotics middleware standard, ROS 2, have recently emerged to fill the gap in terms of hybrid systems deployed from edge to cloud. This paper reviews new architectures and technologies that enable containerized robotic applications to seamlessly run at the edge or in the cloud. We also overview systems that include solutions from extension to ROS 2 tooling to the integration of Kubernetes and ROS 2. Another important trend is robot learning, and how new simulators and cloud simulations are enabling, e.g., large-scale reinforcement learning or distributed federated learning solutions. This has also enabled deeper integration of continuous interaction and continuous deployment (CI/CD) pipelines for robotic systems development, going beyond standard software unit tests with simulated tests to build and validate code automatically. We discuss the current technology readiness and list the potential new application scenarios that are becoming available. Finally, we discuss the current challenges in distributed robotic systems and list open research questions in the field.</t>
  </si>
  <si>
    <t>10.1016/j.rser.2022.112423</t>
  </si>
  <si>
    <t>Wen, Long; Zhang, Yu; Rickert, Markus; Lin, Jianjie; Pan, Fengjunjie; Knoll, Alois</t>
  </si>
  <si>
    <t>Cloud-Native Fog Robotics: Model-Based Deployment and Evaluation of Real-Time Applications</t>
  </si>
  <si>
    <t>https://doi.org/10.1109/lra.2024.3504243</t>
  </si>
  <si>
    <t>10.1109/lra.2024.3504243</t>
  </si>
  <si>
    <t>Tufek, Nilay</t>
  </si>
  <si>
    <t>Semantic Information Extraction from Multi-modal Technical Document</t>
  </si>
  <si>
    <t>https://doi.org/10.23919/cisti58278.2023.10211635</t>
  </si>
  <si>
    <t>10.23919/cisti58278.2023.10211635</t>
  </si>
  <si>
    <t>Industrial Standards such as OPC UA, IEC, IEEE standards etc., are the core of industrial automation as they enable an interoperable industrial ecosystem. These standards describe semantics that should be implemented by the machines that claim to follow them. However, these semantics are defined in textual format in the standard, which makes it challenging to verify the compliance of a standard-compliant machine description against the semantics defined in the standard. This hinders the interoperability between machines from different vendors. However, in the context of Industry 4.0, it is crucial to enable interoperability between machines and, thus, an open ecosystem to ensure industrial automation. Therefore, there is an urgent need to extract and formalize the semantics from the industry standards to facilitate the compliance verification of machine descriptions against industry standards. Currently, no comprehensive method is described in the state-of-the-art to address this issue. In this thesis, we investigate how to solve the problem of (semi-)automatically extracting and formalizing semantics from the industrial standard technical specifications using Semantic Web Technologies (SWT), Natural Language Processing (NLP), Machine Learning (ML) and knowledge-based information extraction methods. Mainly we focus on (i) Named Entity Recognition on the text of the technical documents; (ii) binary and multi-class rule (constraint) classification on limited annotated specific textual data; (iii) information extraction from tables, and (iv) finding the contextual similarity between the information from the text and the tables of the same document. We use OPC UA Companion Specifications as the first use case.</t>
  </si>
  <si>
    <t>Nast, Michael; Raddatz, Hannes; Rother, Benjamin; Golatowski, Frank; Timmermann, Dirk</t>
  </si>
  <si>
    <t>A Survey and Comparison of Publish/Subscribe Protocols for the Industrial Internet of Things (IIoT)</t>
  </si>
  <si>
    <t>https://doi.org/10.1145/3567445.3571107</t>
  </si>
  <si>
    <t>10.1145/3567445.3571107</t>
  </si>
  <si>
    <t>Publish/subscribe protocols have proven to be a very flexible, efficient, and scalable approach for machine-to-machine (M2M) communication in the Internet of Things (IoT). Due to the convergence of IoT and industry, and the evolving Industrial Internet of Things (IIoT), these protocols face new challenges and increasing communication requirements. However, it is not known to what extent the protocols can fulfill these requirements. In this paper, we examined the most commonly used IoT protocols that are either based on publish/subscribe or define the use of it through standard extensions. Based on a literature review, we derived concrete requirements for the use in the industrial domain, compared the characteristics of the protocols, and evaluated them with regard to these requirements. Our results show that none of the examined protocols can completely fulfill all the requirements and therefore further modifications are necessary.</t>
  </si>
  <si>
    <t>Delgado, Raimarius; Choi, Byoung Wook</t>
  </si>
  <si>
    <t>URAI - On the in-controller performance of an open source EtherCAT master using open platforms</t>
  </si>
  <si>
    <t>https://doi.org/10.1109/urai.2017.7992815</t>
  </si>
  <si>
    <t>10.1109/urai.2017.7992815</t>
  </si>
  <si>
    <t>Because of the rapid development of EtherCAT as the standard fieldbus in control and automation and the increasing demands of low cost portable main controllers, we aim to assess the performance of an EtherCAT network in handling real-time demands using open source EtherCAT master protocol on open hardware platforms. In comparison to that of commercial products, the performance of open platforms is still indefinite and may depend on different indicators such as the kernel version, real-time architecture, and the protocol of EtherCAT. This paper provides implementation guidelines and procedures to develop the embedded platforms-a task which is difficult due to lack of systematic documents and technical support. The real-time evaluation of an open source EtherCAT master with a dual-kernel approach of real-time embedded Linux, Xenomai, is performed to validate that even low-cost open embedded hardware platforms are also capable in performing real-time EtherCAT control applications.</t>
  </si>
  <si>
    <t>10.1109/icaict.2017.8686894</t>
  </si>
  <si>
    <t>10.1109/cpre.2016.7914928</t>
  </si>
  <si>
    <t>10.1109/tii.2017.2770096</t>
  </si>
  <si>
    <t>10.3390/asi1010007</t>
  </si>
  <si>
    <t>10.1109/etfa.2016.7733644</t>
  </si>
  <si>
    <t>10.1109/aina.2010.86</t>
  </si>
  <si>
    <t>Koziolek, Heiko; Burger, Andreas; Doppelhamer, Jens</t>
  </si>
  <si>
    <t>ICSA - Self-Commissioning Industrial IoT-Systems in Process Automation: A Reference Architecture</t>
  </si>
  <si>
    <t>https://doi.org/10.1109/icsa.2018.00029</t>
  </si>
  <si>
    <t>10.1109/icsa.2018.00029</t>
  </si>
  <si>
    <t>Distributed control systems are currently evolving towards Industrial Internet-of-Things (IIoT) systems. However, they still suffer from complex commissioning processes that incur high costs. Researchers have proposed several so-called "Plug and Produce" (PnP) approaches, where commissioning shall be largely automated, but they have suffered from semantic ambiguities and usually rely on proprietary information models. We propose a novel reference architecture for PnP in IIoT systems, which is based on OPC UA and PLCopen standards and can reduce industrial device commissioning times across vendor products to a few seconds. Our proof-of-concept implementation can handle more than 500 signals per millisecond during runtime, sufficient for most application scenarios.</t>
  </si>
  <si>
    <t>10.1016/j.future.2017.02.020</t>
  </si>
  <si>
    <t>Sestito, Guilherme Serpa; Turcato, Afonso Celso; Dias, Andre Luis; Rocha, Murilo Silveira; Brandão, Dennis; da Veiga Torres, Renato</t>
  </si>
  <si>
    <t>Case of study of a Profinet network using ring topology</t>
  </si>
  <si>
    <t>https://doi.org/10.1109/isce.2016.7797387</t>
  </si>
  <si>
    <t>10.1109/isce.2016.7797387</t>
  </si>
  <si>
    <t>This study evaluates a large Profinet network using ring topology applied in an industry production line. The analysis is based on some performance indicators: jitter and throughput taking in consideration the update time of the devices, number of switches and cable length between IO-Devices and the IO-Controller. The network studied has a considerable amount of devices including distributed IOs, sensors and actuators. Its setup provides star and line topologies, besides a ring topology using manage switches. The results show the operation of MRP protocol and achieved values for the performance indicators in real factory automation applications.</t>
  </si>
  <si>
    <t>Saghian, Malihe; Ravanmehr, Reza</t>
  </si>
  <si>
    <t>A Survey on Middleware Approaches for Distributed Real-Time Systems</t>
  </si>
  <si>
    <t>Nowadays distributed real-time systems are very common in different areas and have many applications. Increasing need to exchange information among distributed and heterogeneous applications, the need for faster development, simplicity of design and implementation, software reuse and coordination problems are the major factors that lead to the design and implementation of middleware architectures in this field. For this purpose, different Quality of Service parameters such as reliability, extendibility, low latency, etc. must be considered. The current survey shows the state of the art of the various researches in this domain by providing and discussing the architecture and the features of major middlewares for distributed real-time systems.</t>
  </si>
  <si>
    <t>10.1007/978-3-319-66402-6_23</t>
  </si>
  <si>
    <t>Cain, B.; Deering, S.; Kouvelas, I.; Fenner, B.; Thyagarajan, A.</t>
  </si>
  <si>
    <t>Internet Group Management Protocol, Version 3</t>
  </si>
  <si>
    <t>https://doi.org/10.17487/rfc3376</t>
  </si>
  <si>
    <t>10.17487/rfc3376</t>
  </si>
  <si>
    <t>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t>
  </si>
  <si>
    <t>Babbar, Himanshi; Rani, Shalli</t>
  </si>
  <si>
    <t>Performance Evaluation of QoS metrics in Software Defined Networking using Ryu Controller</t>
  </si>
  <si>
    <t>https://doi.org/10.1088/1757-899x/1022/1/012024</t>
  </si>
  <si>
    <t>10.1088/1757-899x/1022/1/012024</t>
  </si>
  <si>
    <t>&lt;jats:title&gt;Abstract&lt;/jats:title&gt; &lt;jats:p&gt;With assistance from Software Defined Networking (SDN), networks have become more creative to build and maintain over the last few years. The inflexibility of modern network architecture is presenting researchers with a tough achievement. SDN replaces existing inescapable and complicated networks with a creative way of separating the control plane from the data plane and fixing those constraints, namely configurations done manually, monitoring, protection, usability, and functionality. SDN controllers (e.g., POX, RYU, ONOS, OpenDaylight, Floodlight, etc.) have therefore developed as a core for the management of these networks. The performance evaluation of the SDN controller has an outstanding effect on improving the flexibilities and abilities of a network topology of SDN infrastructures. This research summarizes the SDN controller performance tests using criteria (e.g., Bandwidth, Round-Trip Time). This study employs a Mininet emulator to enforce an SDN architecture that comprises an RYU controller with a switching part, one OpenFlow switch, and multiple nodes. The goal is to determine performance QoS (Quality of Service) including Bandwidth, Throughput using the iperf test.&lt;/jats:p&gt;</t>
  </si>
  <si>
    <t>10.1016/j.tcs.2006.08.034</t>
  </si>
  <si>
    <t>Maruyama, Yuya; Kato, Shinpei; Azumi, Takuya</t>
  </si>
  <si>
    <t>EMSOFT - Exploring the performance of ROS2</t>
  </si>
  <si>
    <t>https://doi.org/10.1145/2968478.2968502</t>
  </si>
  <si>
    <t>10.1145/2968478.2968502</t>
  </si>
  <si>
    <t>Middleware for robotics development must meet demanding requirements in real-time distributed embedded systems. The Robot Operating System (ROS), open-source middleware, has been widely used for robotics applications. However, the ROS is not suitable for real-time embedded systems because it does not satisfy real-time requirements and only runs on a few OSs. To address this problem, ROS1 will undergo a significant upgrade to ROS2 by utilizing the Data Distribution Service (DDS). DDS is suitable for real-time distributed embedded systems due to its various transport configurations (e.g., deadline and fault-tolerance) and scalability. ROS2 must convert data for DDS and abstract DDS from its users; however, this incurs additional overhead, which is examined in this study. Transport latencies between ROS2 nodes vary depending on the use cases, data size, configurations, and DDS vendors. We conduct proof of concept for DDS approach to ROS and arrange DDS characteristic and guidelines from various evaluations. By highlighting the DDS capabilities, we explore and evaluate the potential and constraints of DDS and ROS2.</t>
  </si>
  <si>
    <t>Ungurean, Ioan; Gaitan, Nicoleta Cristina; Gaitan, Vasile Gheorghita</t>
  </si>
  <si>
    <t>A Middleware Based Architecture for the Industrial Internet of Things</t>
  </si>
  <si>
    <t>Due to its potential, the Internet of Things (IoT) begins to be used in the industrial field. Nevertheless, although the concept called the Industrial Internet of Things does not know a widely accepted definition, it is based on the existing technology, and introduces the IoT in the industrial environment through the compliance with specific additional requirements and by integrating various fieldbuses with distinctive features, from the real-time point of view. The aim of this paper is to propose a practical architecture for the Industrial Internet of Things. The proposed architecture is designed around the Data Distribution Service for Real Time System (DDS) middleware protocol, and it is organized on four levels. Between these levels, it is defined standard interface, and they can be developed independently. For this reason, the architecture is scalable because at the middleware level, the DDS can be replaced by other middleware systems. At the final, it is performed a comparison between several middleware systems used in the proposed architecture.</t>
  </si>
  <si>
    <t>Qiu, Tie; Chi, Jiancheng; Zhou, Xiaobo; Ning, Zhaolong; Atiquzzaman, Mohammed; Wu, Dapeng Oliver</t>
  </si>
  <si>
    <t>Edge Computing in Industrial Internet of Things: Architecture, Advances and Challenges</t>
  </si>
  <si>
    <t>https://doi.org/10.1109/comst.2020.3009103</t>
  </si>
  <si>
    <t>10.1109/comst.2020.3009103</t>
  </si>
  <si>
    <t>The Industrial Internet of Things (IIoT) is a crucial research field spawned by the Internet of Things (IoT). IIoT links all types of industrial equipment through the network; establishes data acquisition, exchange, and analysis systems; and optimizes processes and services, so as to reduce cost and enhance productivity. The introduction of edge computing in IIoT can significantly reduce the decision-making latency, save bandwidth resources, and to some extent, protect privacy. This paper outlines the research progress concerning edge computing in IIoT. First, the concepts of IIoT and edge computing are discussed, and subsequently, the research progress of edge computing is discussed and summarized in detail. Next, the future architecture from the perspective of edge computing in IIoT is proposed, and its technical progress in routing, task scheduling, data storage and analytics, security, and standardization is analyzed. Furthermore, we discuss the opportunities and challenges of edge computing in IIoT in terms of 5G-based edge communication, load balancing and data offloading, edge intelligence, as well as data sharing security. Finally, we introduce some typical application scenarios of edge computing in IIoT, such as prognostics and health management (PHM), smart grids, manufacturing coordination, intelligent connected vehicles (ICV), and smart logistics.</t>
  </si>
  <si>
    <t>Rodríguez-Lera, Francisco J.; Matellán-Olivera, Vicente; Balsa-Comerón, Jesús; Guerrero-Higueras, Ángel Manuel; Fernández-Llamas, Camino</t>
  </si>
  <si>
    <t>Message Encryption in Robot Operating System: Collateral Effects of Hardening Mobile Robots</t>
  </si>
  <si>
    <t>https://doi.org/10.3389/fict.2018.00002</t>
  </si>
  <si>
    <t>10.3389/fict.2018.00002</t>
  </si>
  <si>
    <t>In human-robot interaction situations, robot sensors collect huge amounts of data from the environment in order to characterize the situation. Some of the gathered data ought to be treated as private, such as medical data (i.e., medication guidelines), personal and safety information (i.e., images of children, home habits, alarm codes, etc.). However, most robotic software development frameworks are not designed for securely managing this information. This paper analyzes the scenario of hardening one of the most widely used robotic middlewares, Robot Operating System (ROS). The study investigates a robot’s performance when ciphering the messages interchanged between ROS nodes under the publish/subscribe paradigm. In particular, this research focuses on the nodes which manage cameras and LIDAR sensors, which are two of the most extended sensing solutions in mobile robotics, and analyzes the collateral effects on the robot's achievement under different computing capabilities and encryption algorithms (3DES, AES and Blowfish) to robot performance. The findings present empirical evidence that simple encryption algorithms are lightweight enough to provide cyber-security even in low-powered robots when carefully designed and implemented. Nevertheless, these techniques come with a number of serious drawbacks regarding robot autonomy and performance if they are applied randomly. To avoid these issues, we define a taxonomy that links the type of ROS message, computational units, and the encryption methods. As a result, we present a model to select the optimal options for hardening a mobile robot using ROS.</t>
  </si>
  <si>
    <t>Koziolek, Heiko; Burger, Andreas; Platenius-Mohr, Marie; Ruckert, Julius; Stomberg, Gosta</t>
  </si>
  <si>
    <t>ICSE (SEIP) - OpenPnP: a plug-and-produce architecture for the industrial internet of things</t>
  </si>
  <si>
    <t>https://doi.org/10.1109/icse-seip.2019.00022</t>
  </si>
  <si>
    <t>10.1109/icse-seip.2019.00022</t>
  </si>
  <si>
    <t>Industrial control systems are complex, software-intensive systems that manage mission-critical production processes. Commissioning such systems requires installing, configuring, and integrating thousands of sensors, actuators, and controllers and is still a largely manual and costly process. Therefore, practitioners and researchers have been working on "plug and produce" approaches that automate commissioning for more than 15 years, but have often focused on network discovery and proprietary technologies. We introduce the vendor-neutral OpenPnP reference architecture, which can largely automate the configuration and integration tasks for commissioning. Using an example implementation, we demonstrate that OpenPnP can reduce the configuration and integration effort up to 90 percent and scales up to tens of thousands of communicated signals per second for large Industrial Internet-of-Things (IIoT) systems. OpenPnP can serve as a template for practitioners implementing IIoT applications throughout the automation industry and streamline commissioning processes in many thousands of control system installations.</t>
  </si>
  <si>
    <t>Eymuller, Christian; Hanke, Julian; Hoffmann, Alwin; Kugelmann, Markus; Reif, Wolfgang</t>
  </si>
  <si>
    <t>ETFA - Real-time capable OPC-UA Programs over TSN for distributed industrial control</t>
  </si>
  <si>
    <t>https://doi.org/10.1109/etfa46521.2020.9212171</t>
  </si>
  <si>
    <t>10.1109/etfa46521.2020.9212171</t>
  </si>
  <si>
    <t>A key aspect of Industry 4.0 is the continuous interconnectedness of components. The standardized industrial communication protocol OPC UA offers a solution to this problem by enabling the exchange of data between the shop floor level and the inter-enterprise level. Due to the integration of the Time Sensitive Network (TSN) into OPC UA, it is now even possible to exchange information in real-time. Especially on the shop floor, there are numerous heterogeneous distributed devices from sensors to robots which must communicate with each other in real-time to achieve a distributed industrial control. Therefore, we propose an approach to combine real-time communication over TSN with OPC UA Programs to synchronize multiple distributed OPC UA Programs and exchange process data between them without losing real-time guarantees. This can be seen as the enabler of Plug-and-Produce with real-time requirements.</t>
  </si>
  <si>
    <t>Thaseen, I. Sumaiya; Poorva, B; Ushasree, P Sai</t>
  </si>
  <si>
    <t>Network Intrusion Detection using Machine Learning Techniques</t>
  </si>
  <si>
    <t>https://doi.org/10.1109/ic-etite47903.2020.148</t>
  </si>
  <si>
    <t>10.1109/ic-etite47903.2020.148</t>
  </si>
  <si>
    <t>Intrusion detection over packets on a network aims at classifying different types of packets without decrypting its contents to detect any intrusions in the network using machine learning. For this, packets are generated and transmitted over a network which are then captured by Wireshark for intrusion detection analysis. The captured data is organized into a dataset with the selected attributes after preprocessing using Weka tool and machine learning algorithms such as Naive Bayes, Support vector machine, Random Forest and KNearestNeighbors are implemented which classifies the data with accuracy 83.63%, 98.23%, 99.81%, 95.13% respectively. The packets are classified as encrypted packets, unencrypted packets, unencrypted malicious packets and encrypted malicious packets with different attributes and features where random forest is identified to be the best classifier with maximum accuracy.</t>
  </si>
  <si>
    <t>10.1109/eeeic.2016.7555647</t>
  </si>
  <si>
    <t>Ferrari, Paolo; Flammini, Alessandra; Marioli, Daniele; Taroni, Andrea</t>
  </si>
  <si>
    <t>A Distributed Instrument for Performance Analysis of Real-Time Ethernet Networks</t>
  </si>
  <si>
    <t>https://doi.org/10.1109/tii.2008.919016</t>
  </si>
  <si>
    <t>10.1109/tii.2008.919016</t>
  </si>
  <si>
    <t>Ethernet technology is widely used in real-time industrial automation. Thanks to real-time Ethernet (RTE) protocols, defined in IEC61784-2 standard, new top-performance automation solutions can be created. Such systems may have communication cycle time down to tens of mus and cycle jitter less than 1 mus, making network testing and debugging very critical. Existing network and protocol analyzers can perform detailed local analysis, but characterization of high-performance RTE systems requires measurement of transmission delays and these instruments cannot be adequately synchronized among them to realize a distributed measurement network. This paper introduces a new low-cost distributed measurement instrument to measure timing characteristics of RTE nodes (end-to-end delays, synchronization, etc.). The proposed instrument has multiple FPGA-based probes that allow for simultaneous/synchronized logging on different place of the target RTE network. A PC-based "monitor station" stores all the data, ready for further elaboration. Architecture details are discussed, a prototype has been realized, and some experimental results are presented. For instance, synchronization accuracy between probes is below 100 ns.</t>
  </si>
  <si>
    <t>Schlesinger, R.; Springer, Andreas; Sauter, Thilo</t>
  </si>
  <si>
    <t>ETFA - New approach for improvements and comparison of high performance real-time ethernet networks</t>
  </si>
  <si>
    <t>https://doi.org/10.1109/etfa.2014.7005356</t>
  </si>
  <si>
    <t>10.1109/etfa.2014.7005356</t>
  </si>
  <si>
    <t>Real-Time Ethernet networks increasingly gain importance for the employment in industrial applications. Certain Real-Time Ethernet networks were optimized to reach very small cycle times well below 100 μs by modifying the Ethernet hardware. Two important and wide-spread systems of this class are EtherCAT and Profinet IRT. VABS is a newer high-performance system which is still under development. This study presents an objective performance comparison of the three systems. It turns out that both Profinet IRT and the summation frame based systems EtherCAT and VABS exhibit distinctive strengths and weaknesses. Profinet IRT gains the advantage with asymmetric inbound and outbound data payloads, but it runs behind EtherCAT and VABS for very small data-payloads.</t>
  </si>
  <si>
    <t>10.1016/j.comnet.2020.107233</t>
  </si>
  <si>
    <t>10.15837/ijccc.2013.5.329</t>
  </si>
  <si>
    <t>Dias, Andre Luis; Sestito, Guilherme Serpa; Brandão, Dennis</t>
  </si>
  <si>
    <t>Performance Analysis of Profibus DP and Profinet in a Motion Control Application</t>
  </si>
  <si>
    <t>https://doi.org/10.1007/s40313-016-0278-7</t>
  </si>
  <si>
    <t>10.1007/s40313-016-0278-7</t>
  </si>
  <si>
    <t>This work proposes a performance analysis of industrial communication networks applied in a widely used motion control application of an electric AC motor. It compares Profinet and Profibus DP technologies. Performance is evaluated from technical specifications of both protocols and practical experiments for data collection and analysis of the following indicators: cycle time and jitter. As these protocols are used in the loop control, another indicator is used from the control engineer point of view, the settling time of motor position control. Conclusions show that Profibus DPV0 is faster; however, Profinet version IRT has higher determinism. Both achieved settling time that could accomplish the application.</t>
  </si>
  <si>
    <t>Zurawski, Richard</t>
  </si>
  <si>
    <t>The Industrial Communication Technology Handbook - The Industrial Communication Technology Handbook</t>
  </si>
  <si>
    <t>https://doi.org/10.1201/9781420037821</t>
  </si>
  <si>
    <t>10.1201/9781420037821</t>
  </si>
  <si>
    <t>Decotignie, Jean-Dominique</t>
  </si>
  <si>
    <t>Ethernet-Based Real-Time and Industrial Communications</t>
  </si>
  <si>
    <t>https://doi.org/10.1109/jproc.2005.849721</t>
  </si>
  <si>
    <t>10.1109/jproc.2005.849721</t>
  </si>
  <si>
    <t>Despite early attempts to use Ethernet in the industrial context, only recently has it attracted a lot of attention as a support for industrial communication. A number of vendors are offering industrial communication products based on Ethernet and TCP/IP as a means to interconnect field devices to the first level of automation. Others restrict their offer to communication between automation devices such as programmable logic controllers and provide integration means to existing fieldbuses. This paper first details the requirements that an industrial network has to fulfill. It then shows how Ethernet has been enhanced to comply with the real-time requirements in particular in the industrial context. Finally, we show how the requirements that cannot be fulfilled at layer 2 of the OSI model can be addressed in the higher layers adding functionality to existing standard protocols.</t>
  </si>
  <si>
    <t>Damm, Matthias; Leitner, Stefan-Helmut; Mahnke, Wolfgang</t>
  </si>
  <si>
    <t>OPC Unified Architecture</t>
  </si>
  <si>
    <t>https://doi.org/10.1007/978-3-540-68899-0</t>
  </si>
  <si>
    <t>10.1007/978-3-540-68899-0</t>
  </si>
  <si>
    <t>Industrial Communication Systems</t>
  </si>
  <si>
    <t>https://doi.org/10.1201/9781315218434</t>
  </si>
  <si>
    <t>10.1201/9781315218434</t>
  </si>
  <si>
    <t>The Industrial Electronics Handbook, Second Edition, Industrial Communications Systems combines traditional and newer, more specialized knowledge that helps industrial electronics engineers develop practical solutions for the design and implementation of high-power applications. Embracing the broad technological scope of the field, this collection explores fundamental areas, including analog and digital circuits, electronics, electromagnetic machines, signal processing, and industrial control and communications systems. It also facilitates the use of intelligent systems—such as neural networks, fuzzy systems, and evolutionary methods—in terms of a hierarchical structure that makes factory control and supervision more efficient by addressing the needs of all production components. Enhancing its value, this fully updated collection presents research and global trends as published in the IEEE Transactions on Industrial Electronics Journal, one of the largest and most respected publications in the field. Modern communication systems in factories use many different—and increasingly sophisticated—systems to send and receive information. Industrial Communication Systems spans the full gamut of concepts that engineers require to maintain a well-designed, reliable communications system that can ensure successful operation of any production process. Delving into the subject, this volume covers: Technical principles Application-specific areas Technologies Internet programming Outlook, including trends and expected challenges Other volumes in the set: Fundamentals of Industrial Electronics Power Electronics and Motor Drives Control and Mechatronics Intelligent Systems</t>
  </si>
  <si>
    <t>Zunino, Claudio; Valenzano, Adriano; Obermaisser, Roman; Petersen, Stig</t>
  </si>
  <si>
    <t>Factory Communications at the Dawn of the Fourth Industrial Revolution</t>
  </si>
  <si>
    <t>https://doi.org/10.1016/j.csi.2020.103433</t>
  </si>
  <si>
    <t>10.1016/j.csi.2020.103433</t>
  </si>
  <si>
    <t>Idrees, Zeba; Granados, Jose; Sun, Yang; Latif, Shahid; Li, Gong; Zou, Zhuo; Zheng, Li-Rong</t>
  </si>
  <si>
    <t>IEEE 1588 for Clock Synchronization in Industrial IoT and Related Applications: A Review on Contributing Technologies, Protocols and Enhancement Methodologies</t>
  </si>
  <si>
    <t>https://doi.org/10.1109/access.2020.3013669</t>
  </si>
  <si>
    <t>10.1109/access.2020.3013669</t>
  </si>
  <si>
    <t>Precise time synchronization becomes a vital constituent due to the rigorous needs of several time-sensitive applications. The clock synchronization protocol is one of the fundamental factors that can define the quality of communication. Our study starts with a brief discussion on the application domain of precise time synchronization and comes with an in-depth study of the synchronization with the main focus on the IEEE 1588 Precision Time Protocol (PTP). We have compared the well-known synchronization techniques and conclude that the PTP is the most appropriate answer to robust clock synchronization though challenges are there that requires thoughtful efforts and modification in the current version. The working mechanism and main components of the PTP network are discussed. We have established a testbench using commercially available devices and development boards to evaluate the PTP performance under different configurations. Major sources of synchronization error and other aspects contributing to precision are examined. This paper discussed numerous approaches that could enhance the performance of the PTP protocol. Structures for PTP based wireless clock synchronization required by advanced applications has also been discussed. In the end, paper focuses on the main industrial application areas in which PTP plays an important role, including WLAN, optical data centers, Smart grid, IEC 61850, etc. We conclude the paper by identifying the future trends and research directions for PTP based clock synchronization.</t>
  </si>
  <si>
    <t>Alessandria, E.; Seno, Lucia; Vitturi, Stefano</t>
  </si>
  <si>
    <t>PERFORMANCE ANALYSIS OF ETHERNET/IP NETWORKS</t>
  </si>
  <si>
    <t>https://doi.org/10.3182/20071107-3-fr-3907.00054</t>
  </si>
  <si>
    <t>10.3182/20071107-3-fr-3907.00054</t>
  </si>
  <si>
    <t>Danielis, Peter; Skodzik, Jan; Altmann, Vlado; Schweissguth, Eike; Golatowski, Frank; Timmermann, Dirk; Schacht, Joerg</t>
  </si>
  <si>
    <t>ETFA - Survey on real-time communication via ethernet in industrial automation environments</t>
  </si>
  <si>
    <t>https://doi.org/10.1109/etfa.2014.7005074</t>
  </si>
  <si>
    <t>10.1109/etfa.2014.7005074</t>
  </si>
  <si>
    <t>For companies in the automation industry, the development of real-time Ethernet to connect devices is of high economic interest to replace conventional fieldbus systems. Therefore, many approaches for adapting Ethernet to real-time requirements come from industrial applications. This is a challenging task as the original Ethernet standard IEEE 802.3 was not designed for real-time data transmission. Likewise, protocols basing on Ethernet like TCP, UDP, and IP do typically not consider real-time requirements. Hence, adaptations on several OSI layers become necessary to make the industrial system meet hard real-time requirements. For this purpose, a multitude of realtime capable Industrial Ethernet systems has been developed, which solve the problems of standard Ethernet- and TCP/IP- or UDP/IP-based communication in a variety of ways. This paper gives a summary of different Industrial Ethernet protocols for the real-time data transmission via Ethernet in automation environments. Advantages and disadvantages of these protocols are analyzed with regard to their sustainability in terms of their realtime capability, reliability, scalability, self-configuration of the network, and hardware requirements. Against the background of connected devices tremendously growing in number and computational power in the prospective “Industrial Internet”, consequences for future developments are drawn.</t>
  </si>
  <si>
    <t>10.1109/aupec.2017.8282427</t>
  </si>
  <si>
    <t>10.1109/tii.2019.2923714</t>
  </si>
  <si>
    <t>Vitturi, Stefano; Peretti, Luca; Seno, Lucia; Zigliotto, Mauro; Zunino, Claudio</t>
  </si>
  <si>
    <t>Real-time Ethernet networks for motion control</t>
  </si>
  <si>
    <t>https://doi.org/10.1016/j.csi.2011.01.005</t>
  </si>
  <si>
    <t>10.1016/j.csi.2011.01.005</t>
  </si>
  <si>
    <t>Communication networks have been traditionally employed in motion control applications, especially within factory automation systems. While in the past they were merely used to exchange non time critical data (e.g. parameters and configuration data) nowadays they allow for much more powerful performance. In particular, the recently introduced Real-time Ethernet (RTE) networks, have been explicitly designed in order to cope with very tight timing constraints in terms of both determinism and real-time. In this paper we focus on two popular RTE networks, namely Ethernet POWERLINK and EtherCAT, and provide an example of their employment for a coordinated motion control application. In particular, we consider the tracking of a circular trajectory by the coordinated motion of two independent axes where the velocity set-points are transmitted to the electrical drives implementing the axis control by means of the RTE networks. After providing some essential features of the two networks, we describe the configurations adopted for the coordinated motion control application. Then we check the effectiveness of the solution proposed by means of numerical simulations which take into consideration possible error scenarios deriving from the adoption of the communication networks such as transmission errors, communication delays and cable breaks.</t>
  </si>
  <si>
    <t>Turcato, Afonso Celso; Dias, Andre Luis; Sestito, Guilherme Serpa; Flauzino, Rogério Andrade; Brandão, Dennis; Sisinni, Emiliano; Ferrari, Paolo</t>
  </si>
  <si>
    <t>MetroInd4.0&amp;amp;IoT - Introducing a cloud based architecture for the distributed analysis of Real-Time Ethernet traffic</t>
  </si>
  <si>
    <t>https://doi.org/10.1109/metroind4.0iot48571.2020.9138288</t>
  </si>
  <si>
    <t>10.1109/metroind4.0iot48571.2020.9138288</t>
  </si>
  <si>
    <t>The use of industrial communication protocols based on Real-Time Ethernet (RTE) standards is completely replacing traditional industrial fieldbuses. As usual, when a technology becomes mature, the need of efficient diagnostic and maintenance tools quickly raises. Very often, following the paradigm of Industry 4.0, the most effective diagnostic systems are today based on distributed, cloud-centric, architectures and artificial intelligence. However, the distributed analysis of RTE systems is challenging, considering the plurality of protocols and the stringent cost constrains which are common in industry. In this paper, a new architecture for the distributed analysis of RTE networks is proposed, leveraging on distributed probes that send traffic samples to Matlab cloud for remote analysis. The paper also proposes a software conversion tool to adapt general PCAP files captured by popular sniffers (e.g. Wireshark) into MAT file for easier Matlab elaboration. Last, a test bench for characterization (in terms of transfer delays) of the first part of the chain for RTE traffic sampling is described. The results show that in less than 10 seconds it is possible to transfer chunks of RTE traffic data (captured on industrial networks with hundreds of real-time devices) directly to the cloud and to have them converted in Matlab format.</t>
  </si>
  <si>
    <t>10.20944/preprints201609.0108.v1</t>
  </si>
  <si>
    <t>10.1109/ei2.2017.8245509</t>
  </si>
  <si>
    <t>Schafer, Iwan; Felser, Max</t>
  </si>
  <si>
    <t>ETFA - Precision of ethernet measurements based on software tools</t>
  </si>
  <si>
    <t>https://doi.org/10.1109/efta.2007.4416812</t>
  </si>
  <si>
    <t>10.1109/efta.2007.4416812</t>
  </si>
  <si>
    <t>The use of Ethernet based solutions in automation applications raises the question of test tools. Free tools like Wireshark, formerly known as Ethereal, are available and offer decoding of real-time Ethernet like PROFINET IO. But is such a software based tool able to measure the required real-time constraints? What are the limits of such software based measurements? This report gives an overview of possible measurement setups and a choice of measured benchmarks.</t>
  </si>
  <si>
    <t>10.1016/b978-075065799-0/50019-x</t>
  </si>
  <si>
    <t>Venanzi, Riccardo; Solimando, Michele; Patrali, Marina; Foschini, Luca; Chatzimisios, Periklis</t>
  </si>
  <si>
    <t>Siemens and EdgeX IIoT Platforms: A Functional and Performance Evaluation</t>
  </si>
  <si>
    <t>https://doi.org/10.1109/icc45041.2023.10278750</t>
  </si>
  <si>
    <t>10.1109/icc45041.2023.10278750</t>
  </si>
  <si>
    <t>Recently, the Industrial Internet of Things (IIoT) and Industry 4.0 paradigms have attracted considerable relevance by leading all manufacturing companies to invest in IIoT solutions in order to be competitive on the market. Despite the huge number of IIoT solutions on the market, all platforms refer to a common architectural model and share the same functionalities. Among these functionalities, the most relevant is the capability of deploy and run custom containerized applications. This feature has a pivotal role of customizing the IIoT platform and tailoring it to each business scenario. In this paper, we define the general architectural model and common functionalities of the IIoT platforms. Then, we analyze and compare two of the most used IIoT solutions on the market, Siemens Industrial Edge, and EdgeX Foundry. We also define three metrics for evaluating the functionality of deploying custom services on the edge, and we test these two platforms. Finally, we present their comparative performance, advantages, and limitations.</t>
  </si>
  <si>
    <t>10.1007/s00165-012-0269-9</t>
  </si>
  <si>
    <t>10.4028/www.scientific.net/amm.260-261.236</t>
  </si>
  <si>
    <t>Runeson, Per; Höst, Martin</t>
  </si>
  <si>
    <t>Guidelines for conducting and reporting case study research in software engineering</t>
  </si>
  <si>
    <t>https://doi.org/10.1007/s10664-008-9102-8</t>
  </si>
  <si>
    <t>10.1007/s10664-008-9102-8</t>
  </si>
  <si>
    <t>Case study is a suitable research methodology for software engineering research since it studies contemporary phenomena in its natural context. However, the understanding of what constitutes a case study varies, and hence the quality of the resulting studies. This paper aims at providing an introduction to case study methodology and guidelines for researchers conducting case studies and readers studying reports of such studies. The content is based on the authors' own experience from conducting and reading case studies. The terminology and guidelines are compiled from different methodology handbooks in other research domains, in particular social science and information systems, and adapted to the needs in software engineering. We present recommended practices for software engineering case studies as well as empirically derived and evaluated checklists for researchers and readers of case study research.</t>
  </si>
  <si>
    <t>10.1109/energycon.2016.7513893</t>
  </si>
  <si>
    <t>Mun, Dae-Hyeok; Le Dinh, Minh; Kwon, Young-Woo</t>
  </si>
  <si>
    <t>COMPSAC - An Assessment of Internet of Things Protocols for Resource-Constrained Applications</t>
  </si>
  <si>
    <t>https://doi.org/10.1109/compsac.2016.51</t>
  </si>
  <si>
    <t>10.1109/compsac.2016.51</t>
  </si>
  <si>
    <t>With the resource constraints of Internet of Things (IoT) devices, performance and energy efficiency have become an important IoT software design consideration while minimizing resource usages. To provide efficient communication for resource-constrained applications, several IoT protocols have been introduced, and yet there are few existing guidelines to help the programmer choose an appropriate communication protocol. To address this limitation, we evaluate five different communication protocols including CoAP, MQTT, MQTT-SN, WebSocket, and TCP. Our result can help IoT application programmers make informed decision when choosing communication protocols for their applications.</t>
  </si>
  <si>
    <t>Fontanelli, Daniele; Macii, David; Rinaldi, Stefano; Ferrari, Paolo; Flammini, Alessandra</t>
  </si>
  <si>
    <t>A Servo-Clock Model for Chains of Transparent Clocks Affected by Synchronization Period Jitter</t>
  </si>
  <si>
    <t>https://doi.org/10.1109/tim.2013.2286871</t>
  </si>
  <si>
    <t>10.1109/tim.2013.2286871</t>
  </si>
  <si>
    <t>Industrial networks for distributed monitoring, control, and automation purposes require high-accuracy clock synchronization in topologies including long chains of cascaded nodes. Unfortunately, accuracy typically degrades as the number of devices and the distance from the synchronization reference node (i.e., the master or grandmaster) grows, because of the accumulation of multiple uncertainty contributions. To mitigate this problem, the so-called transparent clocks are used in some synchronization protocols, such as the precision transparent clock protocol used in PROFINET IO isochronous real time networks and the precision time protocol version 2, standardized as IEEE 1588-2008. In this paper, an optimal servo-clock in the mean square sense is proposed. The controller relies on both a Kalman filter that estimates the clock state difference with respect to the master and a static-state feedback assuring mean square stability even under the effect of significant fluctuations of the synchronization period. Several multiparametric simulation results in a case study based on the features of PROFINET IO devices confirm that excellent performance can be achieved with the proposed approach.</t>
  </si>
  <si>
    <t>Nsaibi, Seifeddine; Leurs, Ludwig; Schotten, Hans D.</t>
  </si>
  <si>
    <t>Formal and simulation-based timing analysis of Industrial-Ethernet sercos III over TSN</t>
  </si>
  <si>
    <t>https://doi.org/10.1109/distra.2017.8167670</t>
  </si>
  <si>
    <t>10.1109/distra.2017.8167670</t>
  </si>
  <si>
    <t>Time-Sensitive Networking (TSN) is becoming more important in automotive and industrial sectors. There is no clear strategy how to use TSN to improve and migrate the established real-time protocols without excluding legacy devices. This paper presents a realistic concept to integrate TSN into automation networks. We choose Sercos as a deterministic Industrial-Ethernet protocol to be extended with the TSN Standards IEEE 802.1AS-Rev and IEEE 802.1Qbv. By simulating the Sercos over TSN network, we investigate the impact of integrating a TSN-capable switch in a Sercos network to enable a topology extension from line/ring to star/tree. By comparing the impact of: increasing the data rate and topology extension, we demonstrate the improvement of Industrial-Ethernet timing performance.</t>
  </si>
  <si>
    <t>Srivastava, Shalvi; Anmulwar, Sweta; Sapkal, A. M.; Batra, Tarun; Gupta, Anil Kumar; Kumar, Vinodh</t>
  </si>
  <si>
    <t>Comparative study of various traffic generator tools</t>
  </si>
  <si>
    <t>https://doi.org/10.1109/raecs.2014.6799557</t>
  </si>
  <si>
    <t>10.1109/raecs.2014.6799557</t>
  </si>
  <si>
    <t>In our paper we have compared the performance of network evaluation tools (PackETH, Ostinato, and D-ITG) over 10Gbps link. The performance of these tools was evaluated in terms of bandwidth utilization over the link. In laboratory setup, two computers with Linux operating systems were connected via 10Gbps crossover cable. TCP and UDP traffic for the payload sizes varying from 64Bytes to 8950bytes was generated by tools and the corresponding throughput was measured. The performance of D-ITG in multithreaded mode is compared with Iperf. For TCP connection Ostinato measured highest bandwidth of 9Gbps while for UDP traffic packETH achieved a throughput of 9.9Gbps. Since D-ITG was not able to achieve such a high throughput we tried to run it in multithread mode for a constant payload size (&lt;;1500 Bytes) and its performance is then compared to Iperf.</t>
  </si>
  <si>
    <t>10.3390/en9121007</t>
  </si>
  <si>
    <t>Barrios-Aviles, Juan; Rosado-Muñoz, Alfredo; Iakymchuk, Taras; García-Chulbi, Marcos</t>
  </si>
  <si>
    <t>POWERLINK and Ethernet/IP Comparison as Robust Industrial Ethernet Protocols</t>
  </si>
  <si>
    <t>https://doi.org/10.1016/j.ifacol.2017.08.159</t>
  </si>
  <si>
    <t>10.1016/j.ifacol.2017.08.159</t>
  </si>
  <si>
    <t>Abstract Industrial protocols based on Ethernet are common in automation and control systems nowadays. As different protocols claim the advantages over competitors based on their own experimental results, it is necessary to perform independent analyses where the industrial networks are analyzed. In this work, five different tests are perfomred to compare a well known protocol as Ethenet/IP with POWERLINK, a relatively new and open protocol. The aim is to provide results able to point the applications where each of the protocols is best suited. Commercial automation controllers from Omron Electronics and B&amp;R are used. Results show that, for general purpose applications, both protocols provide similar result, is only in case of cyber-attack (identity supplantation) or remote management provides some differences.</t>
  </si>
  <si>
    <t>Ferrari, Paolo; Flammini, Alessandra; Vitturi, Stefano</t>
  </si>
  <si>
    <t>Performance analysis of PROFINET networks</t>
  </si>
  <si>
    <t>https://doi.org/10.1016/j.csi.2005.03.008</t>
  </si>
  <si>
    <t>10.1016/j.csi.2005.03.008</t>
  </si>
  <si>
    <t>10.1109/tii.2017.2740324</t>
  </si>
  <si>
    <t>Hu, Tingting; Bertolotti, Ivan Cibrario</t>
  </si>
  <si>
    <t>Overhead and ACK-induced jitter in Modbus TCP communication</t>
  </si>
  <si>
    <t>https://doi.org/10.1109/rtsi.2015.7325130</t>
  </si>
  <si>
    <t>10.1109/rtsi.2015.7325130</t>
  </si>
  <si>
    <t>The Modbus protocol is widely used at the field level, such as building automation and industrial automation. Among existing implementations of the protocol over different communication infrastructures, Modbus TCP offers better scalability and interoperability than Modbus RTU and Modbus CAN, while at the same time, its real-time performance suffers, which limits its adoption in time-critical application domains. In this paper, the overhead and jitter of Modbus TCP communication are thoroughly evaluated by means of theoretical analysis and experimental campaigns. The results show that, the TCP acknowledgment mechanism is mainly responsible for the round trip time jitter, which in turn may affect the system reliability as well as safety. Instead, its overhead is much more affordable for typical embedded applications.</t>
  </si>
  <si>
    <t>Chen, Yuang; Kunz, Thomas</t>
  </si>
  <si>
    <t>MoWNet - Performance evaluation of IoT protocols under a constrained wireless access network</t>
  </si>
  <si>
    <t>https://doi.org/10.1109/mownet.2016.7496622</t>
  </si>
  <si>
    <t>10.1109/mownet.2016.7496622</t>
  </si>
  <si>
    <t>One of the challenges faced by today's Internet of Things (IoT) is to efficiently support machine-to-machine communication, given that the remote sensors and the gateway devices are connected through low bandwidth, unreliable, or intermittent wireless communication links. In this paper, we quantitatively compare the performance of IoT protocols, namely MQTT (Message Queuing Telemetry Transport), CoAP (Constrained Application Protocol), DDS (Data Distribution Service) and a custom UDP-based protocol in a medical setting. The performance of the protocols was evaluated using a network emulator, allowing us to emulate a low bandwidth, high system latency, and high packet loss wireless access network. This paper reports the observed performance of the protocols and arrives at the conclusion that although DDS results in higher bandwidth usage than MQTT, its superior performance with regard to data latency and reliability makes it an attractive choice for medical IoT applications and beyond.</t>
  </si>
  <si>
    <t>10.1109/icit.2015.7125460</t>
  </si>
  <si>
    <t>10.1109/aupec.2018.8757972</t>
  </si>
  <si>
    <t>Fojcik, Marcin; Folkert, Kamil</t>
  </si>
  <si>
    <t>CN - Introduction to OPC UA Performance</t>
  </si>
  <si>
    <t>https://doi.org/10.1007/978-3-642-31217-5_28</t>
  </si>
  <si>
    <t>10.1007/978-3-642-31217-5_28</t>
  </si>
  <si>
    <t>Applications operating in the control layer of the industrial computer systems are designed not only to perform real-time data exchange between each other, but also to transfer some information to higher levels (SCADA, MES, ERP). OPC Unified Architecture (OPC UA) is an example of a standard that handles this type of communication. It is not a real-time protocol, but is designed rather to gather information about the transferred data with the occurrence time stamp and distribute that information on demand. Nevertheless, it is crucial to be able to estimate the performance of data transfer in this client-server model based protocol. For now, there is no documented research on the impact of number of clients and amount of transferred data on server’s performance. The goal of this article is to find and describe the parameters of the OPC Unified Architecture protocol that are the most important for the system’s performance.</t>
  </si>
  <si>
    <t>10.1109/tii.2012.2217977</t>
  </si>
  <si>
    <t>Pfrommer, Julius; Grüner, Sten; Palm, Florian</t>
  </si>
  <si>
    <t>WFCS - Hybrid OPC UA and DDS: Combining architectural styles for the industrial internet</t>
  </si>
  <si>
    <t>https://doi.org/10.1109/wfcs.2016.7496515</t>
  </si>
  <si>
    <t>10.1109/wfcs.2016.7496515</t>
  </si>
  <si>
    <t>OPC UA and DDS are communication protocols for the Industrial Internet. However, they make use of contrasting communication patterns and represent different architectural styles. We discuss these differences and their impact in an Industrial Internet and Internet of Things context. Further, we show up the possibilities for hybrid implementations leveraging the features of both OPC UA and DDS. For this, we provide a) a mapping of the OPC UA data types into DDS and b) a set of DDS quality of service policies that match the guarantees made by the standard OPC UA binary protocol.</t>
  </si>
  <si>
    <t>10.1109/jiot.2016.2572729</t>
  </si>
  <si>
    <t>DS-RT - Formal and simulation-based timing analysis of industrial-ethernet sercos III over TSN</t>
  </si>
  <si>
    <t>EC7: no protocol/industrial-comm target in title</t>
  </si>
  <si>
    <t>Fails IC4: no security/performance focus.</t>
  </si>
  <si>
    <t>Passes IC1–IC4 and describes evaluation method/testbed/tool/benchmark (IC3). Verify IC5/EC1/EC4/EC6.</t>
  </si>
  <si>
    <t>Protocol evaluation indicated, but abstract doesn't clearly describe a reusable testbed/method/tool (IC3 unclear).</t>
  </si>
  <si>
    <t>EC5: secondary study (survey/review)</t>
  </si>
  <si>
    <t>Abstract missing and title doesn't indicate protocol evaluation/testbed (EC7 likely).</t>
  </si>
  <si>
    <t>Fails IC1/EC3: not clearly industrial automation/ICS.</t>
  </si>
  <si>
    <t>EC3: context unclear and no evaluation signal</t>
  </si>
  <si>
    <t>EC7: not centered on protocol evaluation.</t>
  </si>
  <si>
    <t>IC1–IC4: develops test methods and evaluates DDS implementations/standards.</t>
  </si>
  <si>
    <t>IC2/IC4 yes, but IC1 industrial focus is mixed (enterprise IoT); include only if you accept IIoT middleware studies.</t>
  </si>
  <si>
    <t>Fails IC3/EC7: improvement discussion; abstract does not indicate protocol evaluation/testbed/framework.</t>
  </si>
  <si>
    <t>EC2: non‑English title</t>
  </si>
  <si>
    <t>Fails IC3/EC7: abstract discusses limitations/suggestions, but no evaluation setup/testbed/framework is indicated.</t>
  </si>
  <si>
    <t>IC1–IC4: evaluates OPC UA vs MQTT (timestamp difference) in PLC/Modbus sensor lab.</t>
  </si>
  <si>
    <t>IC1–IC4: simulation + real testbed to prove deterministic OPC UA/TSN comm.</t>
  </si>
  <si>
    <t>IC1–IC4: real-time performance evaluation of EtherCAT master on embedded platforms.</t>
  </si>
  <si>
    <t>Builds a crane/control model using OPC UA/TSN; focus is system modelling/control, not a reusable protocol evaluation framework/testbed.</t>
  </si>
  <si>
    <t>Compares OPC UA vs REST on an edge device; looks like a one-off comparison, not a proposed evaluation framework/testbed.</t>
  </si>
  <si>
    <t>Factory case study measuring jitter/throughput; no reusable evaluation framework/testbed beyond that single installation.</t>
  </si>
  <si>
    <t>Primary objective is a hardware offload/implementation; not a protocol evaluation framework/testbed (EC7).</t>
  </si>
  <si>
    <t>Proposes a crypto/security construction for OPC UA (design improvement), not protocol evaluation/testbed (EC7).</t>
  </si>
  <si>
    <t>Performance assessment of an EtherCAT master on platforms, but no proposed general evaluation framework/testbed.</t>
  </si>
  <si>
    <t>Protocol performance comparison, but no proposed evaluation framework/testbed beyond the specific lab experiment.</t>
  </si>
  <si>
    <t>Automotive/AUTOSAR domain focus (not automation systems as primary domain), and it proposes a comm scheme rather than a protocol evaluation framework/testbed.</t>
  </si>
  <si>
    <t>proposes a solution to evaluate the real-time coexistence of OPC UA and DDS… alongside a general definition of criteria</t>
  </si>
  <si>
    <t>Kouvakas, Nikolaos D; Koumboulis, Fotis N; Fragkoulis, Dimitrios G; Souliotis, Aristotelis</t>
  </si>
  <si>
    <t>Modular Supervisory Control for the Coordination of a Manufacturing Cell with Observable Faults.</t>
  </si>
  <si>
    <t>https://doi.org/10.3390/s23010163</t>
  </si>
  <si>
    <t>10.3390/s23010163</t>
  </si>
  <si>
    <t>In the present paper, a manufacturing cell in the presence of faults, coming from the devices of the process, is considered. The modular modeling of the subsystems of the cell is accomplished using of appropriate finite deterministic automata. The desired functionality of the cell as well as appropriate safety specifications are formulated as eleven desired languages. The desired languages are expressed as regular expressions in analytic forms. The languages are realized in the form of appropriate general type supervisor forms. Using these forms, a modular supervisory design scheme is accomplished providing satisfactory performance in the presence of faults as well guaranteeing the safety requirements. The aim of the present supervisor control scheme is to achieve tolerance of basic characteristics of the process coordination to upper-level faults, despite the presence of low-level faults in the devices of the process. The complexity of the supervisor scheme is computed.</t>
  </si>
  <si>
    <t>Ahanger, Tariq Ahamed; Aljumah, Abdullah; Atiquzzaman, Mohammed</t>
  </si>
  <si>
    <t>State-of-the-art survey of artificial intelligent techniques for IoT security</t>
  </si>
  <si>
    <t>https://doi.org/10.1016/j.comnet.2022.108771</t>
  </si>
  <si>
    <t>10.1016/j.comnet.2022.108771</t>
  </si>
  <si>
    <t>Nguyen, Quang-Duy; Dhouib, Saadia; Huang, Yining; Bellot, Patrick</t>
  </si>
  <si>
    <t>An Approach to Bridge ROS 1 and ROS 2 Devices into an OPC UA-based Testbed for Industry 4.0</t>
  </si>
  <si>
    <t>https://doi.org/10.1109/oncon56984.2022.10126783</t>
  </si>
  <si>
    <t>10.1109/oncon56984.2022.10126783</t>
  </si>
  <si>
    <t>ROS 1 and ROS 2 are two widely-used robotic middleware. One of their essential features is to enable two robots with the same middleware, ROS 1 or ROS 2, to connect directly and collaborate. However, two robots running two different middleware can only communicate by additionally using one of the bridge solutions available in the robotic community. It is even more challenging when deploying these robots as part of an OPC UA - based industrial testbed. The first challenge is to network the robots with other OPC UA devices. Second, a testbed environment sometimes requires a robot to join the system rapidly and with minimal configuration for quick experiments. While addressing the above needs, this paper presents an approach to bridge ROS 1 and ROS 2 robots to an OPC UA PubSub network. The approach derives from the actual experiences in developing an OPC UA-based robotic testbed for Industry 4.0 research.</t>
  </si>
  <si>
    <t>Kim, Kyo-Eun; Han, Seong-Soo; Jeong, Chang-Sung</t>
  </si>
  <si>
    <t>RMPF: Real-Time Message Processing Framework on Multi-Service Domains</t>
  </si>
  <si>
    <t>https://doi.org/10.1109/access.2024.3399812</t>
  </si>
  <si>
    <t>10.1109/access.2024.3399812</t>
  </si>
  <si>
    <t>In the world of real-time computing, there is a demand for platforms that deliver both speed and efficiency while conserving hardware resources. High reliability applications typically use dedicated platforms for their inherent reliability, but they are more expensive. On the other hand, traditional general-purpose platforms are cheaper but suffer from wasted hardware resources when processing messages, hindering distributed processing and process monitoring. To address these limitations, this paper presents the Real-time Message Processing Framework on Multi-service Domains (RMPF), an innovative integrated platform for real-time distributed message processing on multi-service domains. The platform supports a scalable and flexible multi-layer architecture by providing modularity that allows each layer to be designed and updated independently. The interaction between each layer enables real-time distributed message processing and distributed management of multi-service processing in a city-main based, high-speed distributed environment. By accelerating message processing, using a dedicated buffer pool created for each application process, and monitoring the status of all messages in the buffer, the high reliability inherent in dedicated platforms is ensured. In addition, it minimizes the waste of hardware resources by running application processes as daemons in buffer pools. In particular, to provide domain-based multiservice, it supports RMPF grouping by task to distribute tasks to appropriate domains to eliminate system bottlenecks. It is also implemented in a modular way to achieve both scalability and adaptability through various multiservice distributed management schemes such as multiservice API, recovery, monitoring, and multiservice provisioning.</t>
  </si>
  <si>
    <t>Sverko, Mladen; Grbac, Tihana Galinac; Mikuc, Miljenko</t>
  </si>
  <si>
    <t>SCADA Systems With Focus on Continuous Manufacturing and Steel Industry: A Survey on Architectures, Standards, Challenges and Industry 5.0</t>
  </si>
  <si>
    <t>https://doi.org/10.1109/access.2022.3211288</t>
  </si>
  <si>
    <t>10.1109/access.2022.3211288</t>
  </si>
  <si>
    <t>Recent technological advances encompassed by the smart factory concept have fundamentally changed industrial control systems in the way they are structured and how they operate. Majority of these changes affect Supervisory Control And Data Acquisition (SCADA) systems, shifting them to a higher level of interoperability, heterogeneous networks, big data and toward internet technologies and services in general. However, this transformation does not affect all SCADA systems equally. The immediate industrial environment and controlled processes have a significant impact as well. This paper presents a holistic approach to SCADA systems implemented in continuous flow production control within the steel industry production environment. We outline the multi-layer architecture of the SCADA control framework and the aspects of interoperability and interconnection within the architecture reference models, together with the research challenges and opportunities arising from the recent rapid increasement of the industrial control systems complexity and digital transformation under the Industry 4.0 paradigm, resulting in disrupting levels of the traditional automation pyramid based on Purdue model toward a higher level of integration and interoperability enabling cross-level data exchange empowered by the Industrial Internet of Things. Furthermore, the paper addresses the problem of proprietary SCADA systems and elaborates the causal correlation between SCADA quality requirements and adoption of new technology in relation to the specific industrial environment of the steel manufacturing process.</t>
  </si>
  <si>
    <t>Iwakami, Ryudai; Peng, Bo; Hanyu, Hiroyuki; Ishigooka, Tasuku; Azumi, Takuya</t>
  </si>
  <si>
    <t>AUTOSAR AP and ROS 2 Collaboration Framework</t>
  </si>
  <si>
    <t>https://doi.org/10.1109/dsd64264.2024.00050</t>
  </si>
  <si>
    <t>10.1109/dsd64264.2024.00050</t>
  </si>
  <si>
    <t>Cuomo, Matthew</t>
  </si>
  <si>
    <t>Open-Standard Connectivity Framework for Autonomous Vehicles</t>
  </si>
  <si>
    <t>https://doi.org/10.1109/oceans47191.2022.9977134</t>
  </si>
  <si>
    <t>10.1109/oceans47191.2022.9977134</t>
  </si>
  <si>
    <t>This paper highlights an effort to extend px4_ros_com to achieve Unmanned Maritime Autonomy Architecture (UMAA) compliance on small commercial off the shelf (COTS) and open-sourced unmanned vehicles. This will enable operators to quickly integrate low-cost and open-source unmanned vehicles (UxVs) into existing legacy and emerging control systems while also developing a capability to evaluate multi-vehicle coordination techniques within the UMAA/data distribution service (DDS) framework.</t>
  </si>
  <si>
    <t>AUTOSAR AP and ROS 2 Collaboration Framework for Development in Cloud Environment</t>
  </si>
  <si>
    <t>https://doi.org/10.1109/ojies.2025.3607248</t>
  </si>
  <si>
    <t>10.1109/ojies.2025.3607248</t>
  </si>
  <si>
    <t>ICE/ITMC - VSOMEIP - OPC UA Gateway Solution for the Automotive Industry</t>
  </si>
  <si>
    <t>https://doi.org/10.1109/ice.2019.8792619</t>
  </si>
  <si>
    <t>10.1109/ice.2019.8792619</t>
  </si>
  <si>
    <t>The fourth industrial revolution is relying on interoperability and consequently on the Industrial Internet of Things (IIoT) concept. The industry is constantly researching and developing solutions for vertical and horizontal interoperation of systems, some concepts being already well-grounded. One of the main issues is the interfacing. The industry accepted the OPC Unified Architecture (OPC UA) protocol as of high importance for interoperability in the IIoT context. The automotive industry is considered to have a separate path, because of a somehow more rigid approach towards communication and data integration. But, car-to-infrastructure and even car-to-car communication are requiring data exchange and implicitly a newer approach from the automotive industry. Recently, VSOMEIP (Scalable service Oriented MiddlewarE over IP from Genivi) interfacing is more and more present in automotive, its main focus being to assure interoperation between the Electronic Control Units (ECUs). The current paper proposes a VSOMEIP – OPC UA gateway conceptual solution that assures car interfacing in the IIoT context. The proof of concept is implemented regarding AUTOSAR (Automotive Open System Architecture) requirements, using a tailored operating system on an embedded device. In the first case study, the gateway is tested having all OPC UA and VSOMEIP clients and servers implemented and functioning on the device. The second case study presents the connection to an external OPC UA server. The obtained results are proving the effectiveness of the concept.</t>
  </si>
  <si>
    <t>Diop, Fatou; Faye, Babacar Mbaye; Niang, Ibrahima</t>
  </si>
  <si>
    <t>Edge- AI and Internet of Things for Intelligent Systems: Architectures, Applications and Future Perspectives</t>
  </si>
  <si>
    <t>https://doi.org/10.1007/978-3-031-81573-7_9</t>
  </si>
  <si>
    <t>10.1007/978-3-031-81573-7_9</t>
  </si>
  <si>
    <t>Kim, Taehun; Kim, Hojung; Cho, SeungKeun; Kim, YongSeong; Song, ByungKwen; Kim, Jincheol</t>
  </si>
  <si>
    <t>Real-Time Kubernetes-Based Front-End Processor for Smart Grid</t>
  </si>
  <si>
    <t>https://doi.org/10.3390/electronics14122377</t>
  </si>
  <si>
    <t>10.3390/electronics14122377</t>
  </si>
  <si>
    <t>&lt;jats:p&gt;In Supervisory Control and Data Acquisition (SCADA) systems, central to industrial automation and control systems, the Front-end Processor (FEP) facilitates seamless communication between field control devices and central management systems. As the Industrial Internet of Things (IIoT) and Industry 4.0 centered on the smart factory paradigm gain traction, conventional FEPs are increasingly showing limitations in various aspects. To address these issues, Data Distribution Service, a real-time communication middleware, and Kubernetes, a container orchestration platform, have garnered attention. However, the effective integration of conventional SCADA protocols, such as DNP3.0, IEC 61850, and Modbus with DDS, remains a key challenge. Therefore, this article proposes a Kubernetes-based real-time FEP for the modernization of SCADA systems. The proposed FEP ensures interoperability through an efficient translation mechanism between traditional SCADA protocols—DNP3.0, IEC 61850, and Modbus—and the Data Distribution Service protocol. In addition, the performance evaluation shows that the FEP achieves high throughput and sub-millisecond latency, confirming its suitability for real-time industrial control applications. This approach overcomes the limitations of conventional FEPs and enables the realization of more flexible and scalable industrial control systems. However, further research is needed to validate the system under large-scale deployment scenarios and enhance security capabilities. Future work will focus on performance evaluation in realistic conditions and the integration of quantum-resistant security mechanisms to strengthen resilience in critical infrastructure environments.&lt;/jats:p&gt;</t>
  </si>
  <si>
    <t>Mateoiu, Ana-Maria; Korodi, Adrian; Stoianovici, Anka; Tira, Radu</t>
  </si>
  <si>
    <t>Supervisory Monitoring and Control Solution on Android Mobile Devices for the Water Industry 4.0</t>
  </si>
  <si>
    <t>https://doi.org/10.3390/su152216022</t>
  </si>
  <si>
    <t>10.3390/su152216022</t>
  </si>
  <si>
    <t>&lt;jats:p&gt;The capacity for using mobile devices for monitoring and controlling local processes has seen rapid growth in industry for maintenance operations before and after deployment. This is especially important in the case of geographically widely-dispersed locations, such as in the case of the water sector, where processes, technologies, and local automation solutions are widely spread. Usually, the available mobile solutions are dependent on Supervisory Control and Data Acquisition (SCADA) software installed in the control rooms of water and wastewater facilities, usually without configuration possibilities. Considering the various SCADA control rooms, each focusing on a specific system, and hundreds of smaller locations accessible only with PLC and eventually a small touch screen, the dependence on local SCADA software is proving increasingly impractical. This paper presents the implementation of an easy-to-use SCADA system for the Android operating system, conceived following Industry 4.0 concepts. An OPC UA client-based architecture is proposed to cope with current interoperability standards, mobility and security across industrial processes in various domains. The design relies on a foreground service for uninterrupted communication between the application and the OPC UA client. The system is envisaged to provide notifications to alert the user when alarms are triggered, including both an independent application level alarming module and a new Alarms and Conditions based protocol level module, increasing visibility and response time for technical issues or faults, and being adaptable to both legacy and modern OPC UA specifications. The solution was tested first in the laboratory to validate the communication system with as many OPC UA structures as possible, and then in real scenarios with drinking water and wastewater systems interfacing PLC, HMI and SCADA level OPC UA servers. The tests in the real scenarios included a second-level test for water operators and engineers which accessed and monitored various processes with the developed solution, and all results proved to be satisfactory.&lt;/jats:p&gt;</t>
  </si>
  <si>
    <t>Korodi, Adrian; Radu, Mihaita-Alin; Crisan, Ruben</t>
  </si>
  <si>
    <t>ETFA - Non-Invasive Control Solution inside Higher-Level OPC UA based Wrapper for Optimizing Groups of Wastewater Systems</t>
  </si>
  <si>
    <t>https://doi.org/10.1109/etfa.2018.8502550</t>
  </si>
  <si>
    <t>10.1109/etfa.2018.8502550</t>
  </si>
  <si>
    <t>Interoperability is a key attribute of systems nowadays in the industry. It enables local devices towards integration into higher-level supervisory/management structures and assures communication among same level systems. In the wastewater industry, local automation and SCADA structures are functioning independently in most situations and sometimes implemented using proprietary protocols causing higher-level integration and scalability/extensibility problems. With interdependences at the process level but without correlation in a higher-level supervisory algorithm, some real scenarios are causing undesired behaviors (e.g. wastewater overflows, untreated wastewater directed through bypasses into outlet). The current paper proposes a higher-level control solution (HLCS) that is modularly implemented inside a OPC UA based wrapper. The solution is designed for wastewater pumping stations and wastewater treatment plant to optimize their behavior as a group. Besides achieving interoperability of structures, the noninvasive character of the solution eliminates specific and frequent problems of interference in local functioning systems.</t>
  </si>
  <si>
    <t>Koumboulis, Fotis N; Fragkoulis, Dimitrios G; Georgakopoulos, Panteleimon</t>
  </si>
  <si>
    <t>A Distributed Supervisor Architecture for a General Wafer Production System.</t>
  </si>
  <si>
    <t>https://doi.org/10.3390/s23094545</t>
  </si>
  <si>
    <t>10.3390/s23094545</t>
  </si>
  <si>
    <t>The current trend in the wafer production industry is to expand the production chain with more production stations, more buffers, and robots. The goal of the present paper is to develop a distributed control architecture to face this challenge by controlling wafer industrial units in a general production chain, with a parametric number of production stations, one robot per two stations where each robot serves its two adjacent production stations, and one additional robot serving a parametric number of stations. The control architecture is analyzed for individual control units, one per robot, monitoring appropriate event signals from the control units of the adjacent robots. Each control unit is further analyzed to individual supervisors. In the present paper, a modular parametric discrete event model with respect to the number of production stations, the number of buffers, and the number of robotic manipulators is developed. A set of specifications for the total system is proposed in the form of rules. The specifications are translated and decomposed to a set of local regular languages for each robotic manipulator. The distributed supervisory control architecture is developed based on the local regular languages, where a set of local supervisors are designed for each robotic manipulator. The desired performance of the total manufacturing system, the realizability, and the nonblocking property of the proposed architecture is guaranteed. Finally, implementation issues are tackled, and the complexity of the distributed architecture is determined in a parametric formula. Overall, the contribution of the present paper is the development of a parametric model of the wafer manufacturing systems and the development of a parametric distributed supervisory control architecture. The present results provide a ready-to-hand solution for the continuously expanding wafer production industry.</t>
  </si>
  <si>
    <t>Hassoun, Abdo; Jagtap, Sandeep; Garcia-Garcia, Guillermo; Trollman, Hana; Pateiro, Mirian; Lorenzo, José M.; Trif, Monica; Rusu, Alexandru Vasile; Aadil, Rana Muhammad; Šimat, Vida; Cropotova, Janna; Câmara, José S.</t>
  </si>
  <si>
    <t>Food quality 4.0: From traditional approaches to digitalized automated analysis</t>
  </si>
  <si>
    <t>https://doi.org/10.1016/j.jfoodeng.2022.111216</t>
  </si>
  <si>
    <t>10.1016/j.jfoodeng.2022.111216</t>
  </si>
  <si>
    <t>Halenar, Igor; Halenarova, Lenka; Tanuska, Pavol</t>
  </si>
  <si>
    <t>Communication Safety of Cybernetic Systems in a Smart Factory Environment</t>
  </si>
  <si>
    <t>https://doi.org/10.3390/machines11030379</t>
  </si>
  <si>
    <t>10.3390/machines11030379</t>
  </si>
  <si>
    <t>&lt;jats:p&gt;The aim of this contribution is to propose the architecture for a layered design of the production system. This proposal uses the IEC 62443 norm, including the Defense-in-Depth strategy and proven technical principles applicable in a Smart Factory with a focus on communication security. Firstly, the identification of communication forms and trends in the Smart Factory environment was identified considering the spectrum of communication protocols used within various types of automation structures used in modern production facilities. The next part of the work deals with the definition of wired and wireless forms of data transfers in production systems including their advantages and disadvantages from the view of cybernetic safety and threads in communication systems, together with the description of norms from the field of security of communication systems applicable in the industrial environment. The core of this work is the proposal of the methodology to secure the Smart Factory production system in the Industry 4.0 environment. The proposal defines important implementation steps together with a summarization of the generally applicable basic principles suitable for the process of securing a Cyber production system or Smart Factory in an industrial environment, including the example of an Iptables firewall configuration within the OPC UA communication protocol and the real example of a Smart Factory production system segmentation.&lt;/jats:p&gt;</t>
  </si>
  <si>
    <t>Nitulescu, Ioana-Victoria; Korodi, Adrian; Curiac, Daniel-Ioan</t>
  </si>
  <si>
    <t>Industry 5.0: An Extended Experimental Case for Implementing a Multi-Level Framework for Enterprise Integration</t>
  </si>
  <si>
    <t>https://doi.org/10.1109/access.2026.3654252</t>
  </si>
  <si>
    <t>10.1109/access.2026.3654252</t>
  </si>
  <si>
    <t>Li, Yixiao; Matsubara, Yutaka; Takada, Hiroaki; Funahashi, Satoru; Kawashima, Hiroki</t>
  </si>
  <si>
    <t>Monitor and Analyze Rare ROS2 Performance Issues with A Unified Tracing Framework</t>
  </si>
  <si>
    <t>https://doi.org/10.1145/3698062.3698075</t>
  </si>
  <si>
    <t>10.1145/3698062.3698075</t>
  </si>
  <si>
    <t>Chisăliţă, Andreea-Iasmina; Korodi, Adrian</t>
  </si>
  <si>
    <t>Stepping Toward Zenoh Protocol in Automotive Scenarios</t>
  </si>
  <si>
    <t>https://doi.org/10.1109/access.2025.3612964</t>
  </si>
  <si>
    <t>10.1109/access.2025.3612964</t>
  </si>
  <si>
    <t>Improving OPC UA Publish-Subscribe Mechanism over UDP with Synchronization Algorithm and Multithreading Broker Application.</t>
  </si>
  <si>
    <t>https://doi.org/10.3390/s20195591</t>
  </si>
  <si>
    <t>10.3390/s20195591</t>
  </si>
  <si>
    <t>Communication protocols are evolving continuously as the interfacing and interoperability requirements are the foundation of Industry 4.0 and Industrial Internet of Things (IIoT), and the Open Platform Communication Unified Architecture (OPC UA) protocol is a major enabling technology. OPC UA was adopted by the industry, and research is continuously carried out to extend and to improve its capabilities, to fulfil the growing requirements of specific industries and hierarchical levels. Consistent issues that have to be approached are related to the latest specifications and the real-time context that could extend the applicability of the protocol and bring significant benefits in terms of speed, data volumes, footprint, security. The real-time context is essential in the automotive sector and it is highly developed within some specific protocols. The current work approaches first the conceptual analysis to improve the OPC UA interfacing using the Publish-Subscribe mechanism, focusing on real-time constraints and role distribution between entities, and considering some well-founded interfacing strategies from the automotive sector. The conceptual analysis is materialized into a solution that takes OPC UA Publish-Subscribe over User Datagram Protocol (UDP) mechanism to the next level by developing a synchronization algorithm and a multithreading broker application to obtain real time responsiveness and increased efficiency by lowering the publisher and the subscriber footprint and computational effort, reducing the difficulty of sending larger volumes of data for various subscribers and the charge on the network and services in terms of polling and filtering. The proof of concept is evaluated and the results prove the efficiency of the approach and the solution.</t>
  </si>
  <si>
    <t>Cavalieri, Salvatore</t>
  </si>
  <si>
    <t>A Proposal to Improve Interoperability in the Industry 4.0 Based on the Open Platform Communications Unified Architecture Standard</t>
  </si>
  <si>
    <t>https://doi.org/10.3390/computers10060070</t>
  </si>
  <si>
    <t>10.3390/computers10060070</t>
  </si>
  <si>
    <t>The introduction of the Industrial Internet of Things in the factory environment is one of the most important features of the fourth industrial revolution. The main aim is the integration of sensor and actuator devices, based on the Internet of Things, with the industrial applications used for factory processes. This goal may be reached only if interoperability between the communication protocols existing in the domains of industrial applications and the Internet of Things is achieved. Open Platform Communications Unified Architecture (OPC UA) is considered one of the main reference communication standards in Industry 4.0 among industrial applications. Within the Internet of Things domain, the oneM2M communication protocol has been defined for solving the current fragmentation of this domain in the information exchange between sensor and actuator devices. Interoperability between these two communication protocols may allow integration of the industrial applications with Internet of Things-based devices. The current state of the art does not present any interoperability solution to allow the information produced by oneM2M-based devices to be consumed by OPC UA industrial applications. In order to reach this aim, the paper proposes a novel solution based on the use of a standard interworking proxy. The paper will describe this solution and the relevant software implementation.</t>
  </si>
  <si>
    <t>Korodi, Adrian; Silea, Ioan</t>
  </si>
  <si>
    <t>INDIN - Achieving interoperability using low-cost middleware OPC UA wrapping structure. Case study in the water industry</t>
  </si>
  <si>
    <t>https://doi.org/10.1109/indin.2017.8104949</t>
  </si>
  <si>
    <t>10.1109/indin.2017.8104949</t>
  </si>
  <si>
    <t>The Internet of Things means a connected world. When reaching the industrial level, the automation equipment present a large life cycle and the systems are many times conceived using proprietary protocols. Bringing interoperability to local automation is often a difficult task and changes in the functional structures, particularly in the case of critical infrastructures like the water industry, have to be of the lowest possible magnitude. The paper proposes a low-cost middleware OPC UA wrapping structure in order to assure interoperability of the local automation. The solution is also offering the possibility to monitor and control the local system, to create a local historian and to further implement control algorithms for existing structures or to optimize existing tags packaging for further Supervisory Control and Data Acquisition (SCADA) integration without modifying the local software. The developments were tested in real scenarios, a case study in the water industry being presented.</t>
  </si>
  <si>
    <t>Fernandez, J.; Allen, B.; Thulasiraman, Preetha; Bingham, B.</t>
  </si>
  <si>
    <t>SysCon - Performance Study of the Robot Operating System 2 with QoS and Cyber Security Settings</t>
  </si>
  <si>
    <t>https://doi.org/10.1109/syscon47679.2020.9275872</t>
  </si>
  <si>
    <t>10.1109/syscon47679.2020.9275872</t>
  </si>
  <si>
    <t>Throughout the Department of Defense, there are ongoing efforts to increase cybersecurity and improve data transfer in unmanned robotic systems (UxS). This paper explores the performance of the Robot Operating System (ROS) 2, which is built with the Data Distribution Service (DDS) standard as a middleware. Based on how quality of service (QoS) parameters are defined in the robotic middleware interface, it is possible to implement strict delivery requirements to different nodes on a dynamic nodal network with multiple unmanned systems connected. Through this research, different scenarios with varying QoS settings were implemented and compared to baseline values to help illustrate the impact of latency and throughput on data flow. DDS security settings were also enabled to help understand the cost of overhead and performance when secured data is compared to plaintext baseline values. Our experiments were performed using a basic ROS 2 network consisting of two nodes (one publisher and one subscriber). Our experiments showed a measurable latency and throughput change between different QoS profiles and security settings. We analyze the trends and tradeoffs associated with varying QoS and security settings. This paper provides performance data points that can be used to help future researchers and developers make informative choices when using ROS 2 for UxS.</t>
  </si>
  <si>
    <t>Morita, Ren; Matsubara, Katsuya</t>
  </si>
  <si>
    <t>RTCSA - Dynamic Binding a Proper DDS Implementation for Optimizing Inter-Node Communication in ROS2</t>
  </si>
  <si>
    <t>https://doi.org/10.1109/rtcsa.2018.00043</t>
  </si>
  <si>
    <t>10.1109/rtcsa.2018.00043</t>
  </si>
  <si>
    <t>ROS2 (Robot Operating System 2.0) has been being developed from scratch in order to support new applications. One of the most significant change in ROS2 is to follow the DDS standard specification as an interface of the inter-module communication. Currently some of companies and OSS communities provide DDS implementations which have different characteristics such as using the shared memory. The current implementation of ROS2 allows to specify only one DDS implementation to be used in a system through application code or the environment variable at running, nevertheless each communication may have different characteristics and each DDS implementation may be optimized for different communication types. This research proposes a mechanism to allow multiple DDS implementations existing in a system and to dynamically bind one into each communication. The proposed mechanism can estimate communication area, maximum data size, requirement of the QoS control, for each communication channel and then it can select a proper DDS implementation. We clarify that the current available DDS implementations have different characteristics, and then describe implementation of the DDS dynamic binder mechanism.</t>
  </si>
  <si>
    <t>Barciś, Michał; Barciś, Agata; Hellwagner, Hermann</t>
  </si>
  <si>
    <t>Information Distribution in Multi-Robot Systems: Utility-Based Evaluation Model</t>
  </si>
  <si>
    <t>https://doi.org/10.3390/s20030710</t>
  </si>
  <si>
    <t>10.3390/s20030710</t>
  </si>
  <si>
    <t>This work addresses the problem of information distribution in multi-robot systems, with an emphasis on multi-UAV (unmanned aerial vehicle) applications. We present an analytical model that helps evaluate and compare different information distribution schemes in a robotic mission. It serves as a unified framework to represent the usefulness (utility) of each message exchanged by the robots. It can be used either on its own in order to assess the information distribution efficacy or as a building block of solutions aimed at optimizing information distribution. Moreover, we present multiple examples of instantiating the model for specific missions. They illustrate various approaches to defining the utility of different information types. Finally, we introduce a proof of concept showing the applicability of the model in a robotic system by implementing it in Robot Operating System 2 (ROS 2) and performing a simple simulated mission using a network emulator. We believe the introduced model can serve as a basis for further research on generic solutions for assessing or optimizing information distribution.</t>
  </si>
  <si>
    <t>OPC UA Publish-Subscribe and VSOME/IP Notify-Subscribe Based Gateway Application in the Context of Car to Infrastructure Communication.</t>
  </si>
  <si>
    <t>https://doi.org/10.3390/s20164624</t>
  </si>
  <si>
    <t>10.3390/s20164624</t>
  </si>
  <si>
    <t>With the recent advances in the area of OPC UA interfacing and the continuously growing requirements of the industrial automation world, combined with the more and more complex configurations of ECUs inside vehicles and services associated to car to infrastructure and even car to car communications, the gap between the two domains must be analyzed and filled. This gap occurred mainly because of the rigidness and lack of transparency of the software-hardware part of the automotive sector and the new demands for car to infrastructure communications. The issues are related to protocols as well as to conceptual views regarding requirements and already adopted individual directions. The industrial world is in the Industry 4.0 era, and in the Industrial Internet of Things context, its key interfacing enabler is OPC UA. Mainly to accommodate requirements related, among others, to high volumes, transfer rates, larger numbers of nodes, improved coordination and services, OPC UA enhances within its specifications the Publish-Subscribe mechanism and the TSN technology. In the OPC UA context, together with the VSOME/IP Notify-Subscribe mechanism, the current work is stepping toward a better understanding of the current relation between the needs of the industry and the suitable technologies, providing in-depth analysis on the most recent paradigms developed for data transmission, taking in consideration the real-time capabilities and use-cases of high concern in automation and automotive domains, and toward obtaining a VSOME/IP-OPC UA Gateway that includes the necessary characteristics and services in order to fill the protocol-related gap between the above mentioned fields. The developed case study results are proving the efficiency of the concept and are providing a better understanding regarding the impact between ongoing solutions and future requirements.</t>
  </si>
  <si>
    <t>Rodríguez-Molina, Jesús; Bilbao, Sonia; Martínez, Belén; Frasheri, Mirgita; Çürüklü, Baran</t>
  </si>
  <si>
    <t>An Optimized, Data Distribution Service-Based Solution for Reliable Data Exchange Among Autonomous Underwater Vehicles</t>
  </si>
  <si>
    <t>https://doi.org/10.3390/s17081802</t>
  </si>
  <si>
    <t>10.3390/s17081802</t>
  </si>
  <si>
    <t>Major challenges are presented when managing a large number of heterogeneous vehicles that have to communicate underwater in order to complete a global mission in a cooperative manner. In this kind of application domain, sending data through the environment presents issues that surpass the ones found in other overwater, distributed, cyber-physical systems (i.e., low bandwidth, unreliable transport medium, data representation and hardware high heterogeneity). This manuscript presents a Publish/Subscribe-based semantic middleware solution for unreliable scenarios and vehicle interoperability across cooperative and heterogeneous autonomous vehicles. The middleware relies on different iterations of the Data Distribution Service (DDS) software standard and their combined work between autonomous maritime vehicles and a control entity. It also uses several components with different functionalities deemed as mandatory for a semantic middleware architecture oriented to maritime operations (device and service registration, context awareness, access to the application layer) where other technologies are also interweaved with middleware (wireless communications, acoustic networks). Implementation details and test results, both in a laboratory and a deployment scenario, have been provided as a way to assess the quality of the system and its satisfactory performance.</t>
  </si>
  <si>
    <t>Thulasiraman, Preetha; Chen, Z.; Allen, B.; Bingham, B.</t>
  </si>
  <si>
    <t>SysCon - Evaluation of the Robot Operating System 2 in Lossy Unmanned Networks</t>
  </si>
  <si>
    <t>https://doi.org/10.1109/syscon47679.2020.9275849</t>
  </si>
  <si>
    <t>10.1109/syscon47679.2020.9275849</t>
  </si>
  <si>
    <t>The Robot Operating System 2 (ROS 2) is an open source middleware used for robotic applications. ROS 2 provides extensive security enhancements and quality of service (QoS) profiles not available in ROS 1. This paper studies the performance of ROS 2 in a small network of nodes, similar to how a group of unmanned assets would operate. Specifically, we analyze ROS 2 under varying QoS and security constraints in a wireless, lossy environment. This is the first work to comprehensively study ROS 2 network performance using QoS and security classification as a function of network scale in an environment that uses Wi-Fi communications. We custom build a simulation architecture that integrates ROS 2 with NS-3, an open source network simulator. Network performance metrics include latency and message drop rate. We show that enabling security results in a higher message drop rate across all QoS profiles. We also show that scaling the network to more nodes results in various consequences with the use of different QoS settings, including an increase in the average latency of messages. We also highlight some of the limitations there were observed with NS-3 and ROS 2.</t>
  </si>
  <si>
    <t>Beier, Grischa; Niehoff, Silke; Xue, Bing</t>
  </si>
  <si>
    <t>More Sustainability in Industry through Industrial Internet of Things</t>
  </si>
  <si>
    <t>https://doi.org/10.3390/app8020219</t>
  </si>
  <si>
    <t>10.3390/app8020219</t>
  </si>
  <si>
    <t>Industrial production plays an important role for achieving a green economy and the sustainable development goals. Therefore, the nascent transformation of industrial production due to digitalization into a so-called Industrial Internet of Things (IIoT) is of great interest from a sustainable development point of view. This paper discusses how the environmental dimension of a sustainable development can potentially benefit from the IIoT—focusing especially on three topics: resource efficiency, sustainable energy and transparency. It presents a state of the art literature analysis of IIoT-enabled approaches addressing the three environmental topics. This analysis is compared with the findings of a survey among Chinese industrial companies, investigating the sustainability-related expectations of participants coming along with the implementation of IIoT solutions. China has been chosen as a case study because it brings together a strong industrial sector, ambitious plans regarding industrial digitalization and a high relevance and need for more sustainability. The survey was conducted with the means of a questionnaire which was distributed via email and used for direct on-site interviews. It focused on large and medium sized companies mainly from Liaoning Province and had a sample size of 109 participants.</t>
  </si>
  <si>
    <t>Sim, Woongbin; Song, ByungKwen; Shin, Junho; Kim, Taehun</t>
  </si>
  <si>
    <t>Data Distribution Service Converter Based on the Open Platform Communications Unified Architecture Publish–Subscribe Protocol</t>
  </si>
  <si>
    <t>https://doi.org/10.3390/electronics10202524</t>
  </si>
  <si>
    <t>10.3390/electronics10202524</t>
  </si>
  <si>
    <t>The open platform communications unified architecture (OPC UA) is a major industry-standard middleware based on the request–reply pattern, and the data distribution service (DDS) is an industry standard in the publish–subscribe form. The OPC UA cannot replace fieldbuses at the control and field levels. To facilitate real-time connectionless operation, the OPC Foundation added the publish–subscribe model—a new specification that supports broker functions, such as message queuing telemetry transport (MQTT), and advanced message queuing protocol (AMQP)—to the OPC UA Part 14 standard. This paper proposes a protocol converter for incorporation into the application layer of the DDS subscriber to facilitate interoperability among publisher–subscriber pairs. The proposed converter comprises a DDS gateway and bridge. The former exists inside the MQTT and AMQP brokers, which convert OPC UA publisher data into DDS messages prior to passing them on to the DDS subscriber. The DDS bridge passes the messages received from the DDS gateway to the OPC UA subscriber in the corresponding DDS application layer. The results reported in existing studies, and those obtained using the proposed converter, allow all devices supporting the OPC UA and OPC UA PubSub standards to realize DDS publish–subscribe interoperability.</t>
  </si>
  <si>
    <t>Coronado, Enrique; Venture, Gentiane</t>
  </si>
  <si>
    <t>Towards IoT-Aided Human-Robot Interaction Using NEP and ROS: A Platform-Independent, Accessible and Distributed Approach.</t>
  </si>
  <si>
    <t>https://doi.org/10.3390/s20051500</t>
  </si>
  <si>
    <t>10.3390/s20051500</t>
  </si>
  <si>
    <t>This article presents the novel Python, C# and JavaScript libraries of Node Primitives (NEP), a high-level, open, distributed, and component-based framework designed to enable easy development of cross-platform software architectures. NEP is built on top of low-level, high-performance and robust sockets libraries (ZeroMQ and Nanomsg) and robot middlewares (ROS 1 and ROS 2). This enables platform-independent development of Human-Robot Interaction (HRI) software architectures. We show minimal code examples for enabling Publish/Subscribe communication between Internet of Things (IoT) and Robotics modules. Two user cases performed outside laboratories are briefly described in order to prove the technological feasibility of NEP for developing real-world applications. The first user case briefly shows the potential of using NEP for enabling the creation of End-User Development (EUD) interfaces for IoT-aided Human-Robot Interaction. The second user case briefly describes a software architecture integrating state-of-art sensory devices, deep learning perceptual modules, and a ROS -based humanoid robot to enable IoT-aided HRI in a public space. Finally, a comparative study showed better latency results of NEP over a popular state-of-art tool (ROS using rosbridge) for connecting different nodes executed in local-host and local area network (LAN).</t>
  </si>
  <si>
    <t>Panda, Santosh Kumar; Majumder, Mainak; Wisniewski, Lukasz; Jasperneite, Jurgen</t>
  </si>
  <si>
    <t>ETFA - Real-time Industrial Communication by using OPC UA Field Level Communication</t>
  </si>
  <si>
    <t>https://doi.org/10.1109/etfa46521.2020.9211998</t>
  </si>
  <si>
    <t>10.1109/etfa46521.2020.9211998</t>
  </si>
  <si>
    <t>Real-time behaviour is one of the most important aspects of field level automation networks in factory communication. Various Real-Time Ethernet (RTE) technologies have been developed over the years to cope with the network requirements like latency, Quality-of-Service (QoS), reliability etc. of the field level networks. Because of their nature of vendor-dependency, these technologies have been incompatible with one another. In the era of Industry 4.0, an innovative approach is required to bring together this technology in order to solve the interoperability issue. Open Platform Communication Unified Architecture (OPC UA) is a vendor-neutral communication protocol which can be an answer to this incompatibility problem of field level factory networks. This paper aims to use OPC UA as a field level communication protocol in combination with the Time-sensitive networking (TSN) standards to simulate the real-time behaviour of field network.</t>
  </si>
  <si>
    <t>Chegini, Hossein; Naha, Ranesh Kumar; Mahanti, Aniket; Thulasiraman, Parimala</t>
  </si>
  <si>
    <t>Process Automation in an IoT–Fog–Cloud Ecosystem: A Survey and Taxonomy</t>
  </si>
  <si>
    <t>https://doi.org/10.3390/iot2010006</t>
  </si>
  <si>
    <t>10.3390/iot2010006</t>
  </si>
  <si>
    <t>The number of IoT sensors and physical objects accommodated on the Internet is increasing day by day, and traditional Cloud Computing would not be able to host IoT data because of its high latency. Being challenged of processing all IoT big data on Cloud facilities, there is not enough study on automating components to deal with the big data and real-time tasks in the IoT–Fog–Cloud ecosystem. For instance, designing automatic data transfer from the fog layer to cloud layer, which contains enormous distributed devices is challenging. Considering fog as the supporting processing layer, dealing with decentralized devices in the IoT and fog layer leads us to think of other automatic mechanisms to manage the existing heterogeneity. The big data and heterogeneity challenges also motivated us to design other automatic components for Fog resiliency, which we address as the third challenge in the ecosystem. Fog resiliency makes the processing of IoT tasks independent to the Cloud layer. This survey aims to review, study, and analyze the automatic functions as a taxonomy to help researchers, who are implementing methods and algorithms for different IoT applications. We demonstrated the automatic functions through our research in accordance to each challenge. The study also discusses and suggests automating the tasks, methods, and processes of the ecosystem that still process the data manually.</t>
  </si>
  <si>
    <t>Kumar, Mukesh; Singh, Awadhesh Kumar</t>
  </si>
  <si>
    <t>FDDS: An Integrated Conceptual FDDS Framework for DDS Based Middleware</t>
  </si>
  <si>
    <t>https://doi.org/10.1109/icces45898.2019.9002401</t>
  </si>
  <si>
    <t>10.1109/icces45898.2019.9002401</t>
  </si>
  <si>
    <t>Data Distribution Services (DDS) has changed the way of the development process for complex distributed systems by tightly coupling QoS policies for achieving desired functionality at execution time. DDS middleware can be configured to handle edge-to-edge quality of service (QoS) policies. However, unpredictable environment imposes a greater challenge in the design and execution of these systems. The publish/subscribe middleware has improved the scalability and interoperability of the distributed systems. The stringent Quality of Services (QoS) standards imposes a greater challenge to developers. We propose a framework based approach for designing, development, and testing of distributed systems on top of Real-Time Innovations (RTI) and Open-Splice (OSPL) DDS middleware. The framework consists of ACGF Module which generates the code for application. DCF Module provides the abstraction from core functionality of DDS by using templates. Finally, ATF Module will help developer to test their application. This work will be beneficial for the development of different types of DDS applications rapidly.</t>
  </si>
  <si>
    <t>Survey → secondary study (EC5).</t>
  </si>
  <si>
    <t>Solution/architecture/implementation focus; protocol evaluation/testbed/model not indicated (EC7).</t>
  </si>
  <si>
    <t>Generic messaging framework; no industrial protocol evaluation signal (EC3).</t>
  </si>
  <si>
    <t>Domain mismatch to industrial automation protocol evaluation (EC3).</t>
  </si>
  <si>
    <t>Generic IoT/IT topic; not clearly industrial automation protocol evaluation (EC3).</t>
  </si>
  <si>
    <t>Survey/taxonomy → secondary study (EC5).</t>
  </si>
  <si>
    <t>Fails inclusion (missing IC1 from abstract). Not reliably useful for your protocol assessment model (EC7).</t>
  </si>
  <si>
    <t>Fails inclusion (missing IC3 from abstract). Not reliably useful for your protocol assessment model (EC7).</t>
  </si>
  <si>
    <t>Fails inclusion (missing IC1, IC3 from abstract). Not reliably useful for your protocol assessment model (EC7).</t>
  </si>
  <si>
    <t>Fails inclusion (missing IC4 from abstract). Not reliably useful for your protocol assessment model (EC7).</t>
  </si>
  <si>
    <t>Automotive/ROS2 platform bridging; outside industrial automation protocol assessment scope (EC3).</t>
  </si>
  <si>
    <t>Fails IC5, not peer-reviewed</t>
  </si>
  <si>
    <t>IC2/IC4 yes, but IC1 industrial focus is mixed (enterprise IoT) and not performance comparison</t>
  </si>
  <si>
    <t>IC5</t>
  </si>
  <si>
    <t>Syed, Danish Abbas; Quadrini, Walter; Rahmani Choubeh, Nima; Pinzone, Marta; Gusmeroli, Sergio</t>
  </si>
  <si>
    <t>Approaching Interoperability and Data-Related Processing Issues in a Human-Centric Industrial Scenario</t>
  </si>
  <si>
    <t>https://doi.org/10.1007/978-3-031-78572-6_2</t>
  </si>
  <si>
    <t>10.1007/978-3-031-78572-6_2</t>
  </si>
  <si>
    <t>&lt;jats:title&gt;Abstract&lt;/jats:title&gt; &lt;jats:p&gt;Industry 4.0 industrial automation paradigm and the related new Operator 4.0 role and pool of competencies are playing a critical role in bringing forth the Digital Transformation to manufacturing industry and SMEs in particular. The human-centric aspect of Industry 4.0 in combination with resilience, sustainability and circularity of manufacturing processes is gaining wider acceptance in Europe and across the globe while the transition towards Industry 5.0 starts to gain momentum as well as the integration of human centric solutions in Industry 4.0 automation systems. The current work uses a three-pronged approach to wearable sensors integrated with existing Industry 4.0 automation systems, by addressing sensor heterogeneity, data interoperability and network latency issues under the umbrella of a single unified and harmonised solution. Such a solution is realised in a realistic industrial scenario showcasing adaptive Human-Robot collaboration and leverages open-source software and open reference architectures.&lt;/jats:p&gt;</t>
  </si>
  <si>
    <t>Pu, Chenggen; Ding, Xiwu; Wang, Ping; Xie, Shunji; Chen, Junhua</t>
  </si>
  <si>
    <t>Semantic Interconnection Scheme for Industrial Wireless Sensor Networks and Industrial Internet with OPC UA Pub/Sub.</t>
  </si>
  <si>
    <t>https://doi.org/10.3390/s22207762</t>
  </si>
  <si>
    <t>10.3390/s22207762</t>
  </si>
  <si>
    <t>In the Industry 4.0 era, with the continuous integration of industrial field systems and upper-layer facilities, interconnection between industrial wireless sensor networks (IWSNs) and industrial Internet networks is becoming increasingly pivotal. However, when deployed in real industrial scenarios, IWSNs are often connected to legacy control systems, through some wired industrial network protocols via gateways. Complex protocol translation is required in these gateways, and semantic interoperability is lacking between IWSNs and the industrial Internet. To fill this gap, our study focuses on realizing the interconnection and interoperability between an IWSN and the industrial Internet. The Open Platform Communications Unified Architecture (OPC UA) and joint publish/subscribe (pub/sub) communication between the two networks are used to achieve efficient transmission. Taking the Wireless Networks for Industrial Automation Process Automation (WIA-PA), a typical technology in IWSNs, as an example, we develop a communication architecture that adopts OPC UA as a communication bridge to integrate the WIA-PA network into the industrial Internet. A WIA-PA virtualization method for OPC UA pub/sub data sources is designed to solve the data mapping problem between WIA-PA and OPC UA. Then, the WIA-PA/OPC UA joint pub/sub transmission mechanism and the corresponding configuration mechanism are designed. Finally, a laboratory-level verification system is implemented to validate the proposed architecture, and the experimental results demonstrate its promising feasibility and capability.</t>
  </si>
  <si>
    <t>Spencer, Geoffrey; Torres, Pedro M. B.</t>
  </si>
  <si>
    <t>New Can Bus Communication Modules for Digitizing Forest Machines Functionalities in the Context of Forestry 4.0</t>
  </si>
  <si>
    <t>https://doi.org/10.1109/access.2022.3232286</t>
  </si>
  <si>
    <t>10.1109/access.2022.3232286</t>
  </si>
  <si>
    <t>In line with the context of Industry 4.0, forestry, and in particular the entire ecosystem around it, also needs digitalization solutions in order to allow better interaction between all agents that work and live from the forest. It is important for a better management of forest resources allowing productivity gains, more sustainability and resilience. One of the agents that can benefit, but also contribute to better forestry, are machine producers. With digitalization, the machinery is now equipped with new and better sensors that can be used not only for machine operations but also for forest management, through LiDAR (Light Detection And Ranging) or RGB (Red, Green, Blue) cameras for example. On the other hand, there are new needs for predictive maintenance or solutions for remote assistance of machines operating in the forest, typically in isolated areas with great limitations in access to communications. Thinking about these technological challenges, this work seeks to provide answers with communication solutions in forest machines, enabling the digitalization of functionalities, also allowing remote access to machine controllers in order to provide them with connectivity in an IIoT (Industrial Internet of Things) scenarios. New hardware modules designed in partnership and according to the prerequisites of a forest machine manufacturer are presented. These modules are a step towards digitizing the machines and opening up the scalability of new requirements, as well as remote access through additional gateways. The results already obtained in real scenarios show that these modules can be a concrete solution for the current and emerging needs of industrial machine manufacturers.</t>
  </si>
  <si>
    <t>Kirkopulo, Kateryna; Tonkonogyi, Volodymyr; Litvinov, Vladimir; Toropenko, Alla; Dasic, Predrag</t>
  </si>
  <si>
    <t>Design of an Operator Interface for Controlling the Installation of Ion-Plasma Deposition</t>
  </si>
  <si>
    <t>https://doi.org/10.1007/978-3-031-42778-7_4</t>
  </si>
  <si>
    <t>10.1007/978-3-031-42778-7_4</t>
  </si>
  <si>
    <t>Badretdinov, Anton; Militsyn, Alexey; Amirhossin, Bahrami</t>
  </si>
  <si>
    <t>Displaying Dispatching Systems on Android Devices with Assessment of Data Transfer Protocols</t>
  </si>
  <si>
    <t>https://doi.org/10.1109/uralcon67204.2025.11206703</t>
  </si>
  <si>
    <t>10.1109/uralcon67204.2025.11206703</t>
  </si>
  <si>
    <t>Teriete, Tim; Böhm, Markus; Sai, Brandon K.; Erlach, Klaus; Bauernhansl, Thomas</t>
  </si>
  <si>
    <t>Event-based Framework for Digitalization of Value Stream Mapping</t>
  </si>
  <si>
    <t>https://doi.org/10.1016/j.procir.2022.05.012</t>
  </si>
  <si>
    <t>10.1016/j.procir.2022.05.012</t>
  </si>
  <si>
    <t>The digitalization of so far analog value stream mapping should not only increase the accuracy and correctness of the captured value stream and the associated key figures but also show their dynamic changes as well as their variant-dependent distribution. Yet, existing approaches face the problem of a tremendously heterogeneous and incomplete data landscape. This paper introduces a proposal for an event-based framework for digitalization of value stream mapping with a standardized and scalable interface between data acquisition and processing. This result is the basis for the development of various value stream applications with customized reporting.</t>
  </si>
  <si>
    <t>Alamoush, Ahmad; Eichelberger, Holger</t>
  </si>
  <si>
    <t>Open source container orchestration for Industry 4.0 – requirements and systematic feature analysis</t>
  </si>
  <si>
    <t>https://doi.org/10.1007/s10009-024-00767-w</t>
  </si>
  <si>
    <t>10.1007/s10009-024-00767-w</t>
  </si>
  <si>
    <t>&lt;jats:title&gt;Abstract&lt;/jats:title&gt;&lt;jats:p&gt;Container-based virtualization is a popular technique, e.g., to realize microservice architectures. Recently, containers became popular in Industry 4.0 / IIoT systems, which typically consist of hundreds of (edge) devices and machines. In such setups, efficient management of containers is essential as offered by container orchestrators like Kubernetes. However, currently no specific overviews discussing orchestrator capabilities for Industry 4.0 are available. In this paper, we analyze nine open source container orchestrators for their application in Industry 4.0 or IIoT settings as a basis for future research and development. We contribute a systematic literature review to identify 23 basic orchestration requirements. We complement this by insights from an intensive requirements collection in a research project on intelligent industrial production, as well as selected features from a published generic orchestrator analysis. From these 66 requirements, we derive a requirements/feature taxonomy, which we use to analyze the nine open source orchestrators including Kubernetes. We show that there is, e.g., still a lack of support regarding edge devices, IIoT protocols, security mechanisms, and specialized resources for artificial intelligence.&lt;/jats:p&gt;</t>
  </si>
  <si>
    <t>Mirsafian, Seyed Saeed; Hericks, Christoph; Speith, Leon Otis; Thoben, Markus; Kiel, Martin; Rosefort, Yves; Füg, Tosten; Rajamani, Vinod; Gößling, Sönke; Subbarao, Shamsundar</t>
  </si>
  <si>
    <t>Optimizing Renewable Energy Using Scalable Solutions: IoT Integration in Renewable Energy Laboratories</t>
  </si>
  <si>
    <t>https://doi.org/10.1109/csitss64042.2024.10816787</t>
  </si>
  <si>
    <t>10.1109/csitss64042.2024.10816787</t>
  </si>
  <si>
    <t>Hasan, S. K. Khairul; Crawford, Colin William</t>
  </si>
  <si>
    <t>A new era for digital twins: progress and industry adoption</t>
  </si>
  <si>
    <t>https://doi.org/10.1080/27525783.2025.2555877</t>
  </si>
  <si>
    <t>10.1080/27525783.2025.2555877</t>
  </si>
  <si>
    <t>It’s hardware/module design around CAN bus, not a protocol evaluation model/testbed.</t>
  </si>
  <si>
    <t>HMI/operator interface for a process installation, not an industrial protocol evaluation. Fails IC2/IC3/IC4</t>
  </si>
  <si>
    <t>“Dispatching + Android” points to general IT/mobile systems, not automation systems.</t>
  </si>
  <si>
    <t>Manufacturing-method framework, not protocol evaluation; no protocol focus in abstract.</t>
  </si>
  <si>
    <t>It’s a systematic literature review + taxonomy of orchestrators</t>
  </si>
  <si>
    <t>Energy lab / IoT integration, not automation communication protocol evaluation</t>
  </si>
  <si>
    <t>It’s a systematic review (EC5)</t>
  </si>
  <si>
    <t>No evaluation framework or comparison of protocols</t>
  </si>
  <si>
    <t>proposes a manufacturing approach/structure using “OPC UA skills”, not an evaluation model/testbed aimed at comparing protocols</t>
  </si>
  <si>
    <t>Statistics (full-text screening)</t>
  </si>
  <si>
    <t>IoT forensics; not industrial automation/protocol evaluation (EC3).</t>
  </si>
  <si>
    <t>Digital twin/robotics; not protocol evaluation (EC7).</t>
  </si>
  <si>
    <t>Digital shadow/value stream; not protocol evaluation (EC7).</t>
  </si>
  <si>
    <t>Middleware/integration; protocol evaluation framework not indicated (EC7).</t>
  </si>
  <si>
    <t>Routing/WSN solution; not protocol evaluation framework (EC7).</t>
  </si>
  <si>
    <t>State-of-the-art → secondary study (EC5).</t>
  </si>
  <si>
    <t>MQTT/QUIC performance; industrial automation context unclear (EC3).</t>
  </si>
  <si>
    <t>V2X/automotive use case (EC3).</t>
  </si>
  <si>
    <t>IDS/ML focus, not protocol evaluation (EC7).</t>
  </si>
  <si>
    <t>Semantic interoperability component; not protocol evaluation (EC7).</t>
  </si>
  <si>
    <t>Dataset/ML validation; not protocol evaluation (EC7).</t>
  </si>
  <si>
    <t>Review (EC5).</t>
  </si>
  <si>
    <t>Comprehensive analysis/landscape → secondary study (EC5).</t>
  </si>
  <si>
    <t>Architecture/directions review (EC5).</t>
  </si>
  <si>
    <t>Generic IoT warning system; not industrial automation/protocol evaluation (EC3).</t>
  </si>
  <si>
    <t>MQTT mechanism paper; industrial automation evaluation unclear (EC7).</t>
  </si>
  <si>
    <t>State-of-the-art + smishing (EC5/EC3).</t>
  </si>
  <si>
    <t>Cruise ship signage; not automation protocol evaluation (EC3).</t>
  </si>
  <si>
    <t>IDS/ML focus (EC7).</t>
  </si>
  <si>
    <t>Survey (EC5).</t>
  </si>
  <si>
    <t>Topic modeling/trend analysis; not protocol evaluation (EC7).</t>
  </si>
  <si>
    <t>WSN device modeling; not protocol evaluation (EC3).</t>
  </si>
  <si>
    <t>Structural health monitoring WSN; not industrial automation protocol assessment (EC3).</t>
  </si>
  <si>
    <t>Forensics/emulation; not automation protocol evaluation (EC3).</t>
  </si>
  <si>
    <t>Agriculture monitoring SCADA/IoT; not industrial automation protocol evaluation (EC3).</t>
  </si>
  <si>
    <t>OT testbed + IEC-61850 GOOSE evaluation (IC1/IC2/IC3/IC4 likely).</t>
  </si>
  <si>
    <t>Robot simulation environment; not protocol evaluation (EC7).</t>
  </si>
  <si>
    <t>Likely broad overview/review (EC5).</t>
  </si>
  <si>
    <t>Overview (EC5).</t>
  </si>
  <si>
    <t>Perspective paper (EC5).</t>
  </si>
  <si>
    <t>Pneumatics/fault analysis; not protocol evaluation (EC3).</t>
  </si>
  <si>
    <t>Outlook/overview (EC5).</t>
  </si>
  <si>
    <t>Manufacturing line control system; protocol evaluation not indicated (EC7).</t>
  </si>
  <si>
    <t>Explicit evaluation of IEC61850-90-5/R-GOOSE over 5G (IC2/IC4).</t>
  </si>
  <si>
    <t>Challenges/opportunities overview (EC5).</t>
  </si>
  <si>
    <t>DNP3 + SCADA; could be IDS/ML rather than protocol evaluation (EC7).</t>
  </si>
  <si>
    <t>Testbed + Modbus + cybersecurity; likely relevant, confirm focus on protocol evaluation (EC7).</t>
  </si>
  <si>
    <t>Broad overview (EC5).</t>
  </si>
  <si>
    <t>HIL + IED + MITM suggests power/ICS relevancex, not protocol-evaluation focus (IC3/EC7).</t>
  </si>
  <si>
    <t>SCADA/industrial context, but likely system implementation and no protocol evaluation (EC7).</t>
  </si>
  <si>
    <t>Mentions conceptual model + efficiency evaluation, but likely no protocol scope.</t>
  </si>
  <si>
    <t>Standards mapping, not clearly protocol evaluation (EC7).</t>
  </si>
  <si>
    <t>Industrial PLC + OPC UA agent, likely not evaluates protocols (EC7).</t>
  </si>
  <si>
    <t>It evaluates TLS/SSL cipher suites + MQTT QoS in a generic IoT DMS setup. It’s not really industrial automation protocol assessment and isn’t about OT/industrial info-exchange protocols in control scenarios.</t>
  </si>
  <si>
    <t>Explicit framework (formal modeling + HIL emulation + simulation) for evaluating protocol/implementation vulnerabilities + compliance/performance/security.</t>
  </si>
  <si>
    <t>It’s a single industrial-like case study comparison.</t>
  </si>
  <si>
    <t>Empirical comparison (OPC UA/Modbus/EtherNet/IP) but not presented as a reusable evaluation model/framework/testbed.</t>
  </si>
  <si>
    <t>It’s performance evaluation, but again no reusable protocol-evaluation framework/testbed model is claimed, and the domain is microgrid/AMI.</t>
  </si>
  <si>
    <t>Main focus is not a evaluation of industrial protocols</t>
  </si>
  <si>
    <t>Evaluates suitability of cellular internet (5G and 4G), not evaluation of industrial protocls</t>
  </si>
  <si>
    <t>end-to-end evaluation framework (formal modelling + HIL emulation + simulation) for OT protocols and implementations, demonstrated on Modbus, and it explicitly claims it can evaluate protocol performance/security/compliance before deployment.</t>
  </si>
  <si>
    <t>Doesn't focus on assessment of industrial protocols</t>
  </si>
  <si>
    <t>SCADA security training/research testbed implementation + attack demos</t>
  </si>
  <si>
    <t>Comparative assessment of  protocol implementations, not between protocols</t>
  </si>
  <si>
    <t>Generic IoT</t>
  </si>
  <si>
    <t xml:space="preserve">References </t>
  </si>
  <si>
    <t>Doesn't propose a testbed, conceptual framework or model</t>
  </si>
  <si>
    <t>Not protocol evaluation focus</t>
  </si>
  <si>
    <t>OPC UA TSN architecture,  not a reusable model for evaluating secure industrial protocols.</t>
  </si>
  <si>
    <t>Not aimed at closed-loop industrial control, compares standards</t>
  </si>
  <si>
    <t>microgrid testbed, not focus on prtocool evaluation</t>
  </si>
  <si>
    <t>assessment of OPC UA implementations (measurement/evaluation). benchmarking OPC UA implementations on small embedded devices for distributed measurement, not closed-loop control</t>
  </si>
  <si>
    <t>evaluates OPC UA PubSub at scale + TSN/network-calculus-based analysis. benchmarking OPC UA implementations on small embedded devices for distributed measurement, not closed-loop control</t>
  </si>
  <si>
    <t>comparative evaluation of open62541 servers on embedded devices. Narrow benchmark of one stack on embedded targets.</t>
  </si>
  <si>
    <t>gateway/interoperability solution between VSOMEIP, not protocol evaluation</t>
  </si>
  <si>
    <t>control/optimization solution for wastewater systems using an OPC UA "wrapper"</t>
  </si>
  <si>
    <t>Ioana, Alexandru; Burlacu, Camelia; Korodi, Adrian</t>
  </si>
  <si>
    <t>Approaching OPC UA Publish–Subscribe in the Context of UDP-Based Multi-Channel Communication and Image Transmission</t>
  </si>
  <si>
    <t>https://doi.org/10.3390/s21041296</t>
  </si>
  <si>
    <t>The Open Platform Communication Unified Architecture (OPC UA) protocol is a key enabler of Industry 4.0 and Industrial Internet of Things (IIoT). OPC UA is already accepted by the industry and its presence is expected to reach more and more fields, applications, and hierarchical levels. Advances within the latest specifications are providing the opportunity to extend the capabilities and the applicability of the protocol, targeting better performances in terms of data volumes, speed, availability, footprint, and security. Continuing previous researches focusing on the publish–subscribe (pub/sub) mechanism and real-time constraints, the current study aims to consider higher data-volumes, approach the multi-channel User Datagram Protocol (UDP)-based communication, and analyze the robustness of the developed mechanism in the context of long-term data transmission. Consequently, the research proposes to extend the applicability of the OPC UA in the context of image transmission. Although highly needed, the image transmission after processing is currently beyond the reach of OPC UA or other legacy industrial protocols, being considered as a separate fraction in the industrial environment. The concept and developments are applied considering both the end-of-line industrial manufacturing process in the automotive sector and the car-to-infrastructure communication. Without special hardware constraints, the obtained results are proven to be appreciable, opening various future perspectives for image transmission using OPC UA.</t>
  </si>
  <si>
    <t>Doesn't signal protocol evaluation</t>
  </si>
  <si>
    <t>assessment of OPC UA industrial IoT solutions (measurement/evaluation). benchmarking OPC UA implementations on small embedded devices for distributed measurement, not closed-loop control</t>
  </si>
  <si>
    <t>Focusing on black-box vulnerability and communication robustness testing of IACS devices, not protocols</t>
  </si>
  <si>
    <t>OT/IIoT + OPC UA + virtual testbed for security experiments, not protocol evaluation</t>
  </si>
  <si>
    <t>vulnerability + impact analysis of IEC 61850 GOOSE, but not performance evaluation of protocols</t>
  </si>
  <si>
    <t>(IIoT OR "industrial iot" OR "industrial internet of things" OR "operational technology" OR "Industrial Control System" OR "Industrial Control Systems" OR "Industrial Automation System" OR "Industrial Automation Systems" OR "Industrial Automation and Control System" OR "Industrial Automation and Control Systems")</t>
  </si>
  <si>
    <t>("information‑exchange protocol" OR "information‑exchange protocols" OR "communication protocol" OR "communication protocols" OR "industrial protocol" OR "industrial protocols")</t>
  </si>
  <si>
    <t>(("performance" OR "security") NEAR/3 (evaluat* OR test* OR assess* OR compar* OR benchmark*))</t>
  </si>
  <si>
    <t>("conceptual model" OR "conceptual framework" OR "reference model" OR "domain model" OR "information model" OR metamodel OR ontology OR "reference architecture" OR "architecture description" OR testbed OR "test bench" OR testbench OR "experimental setup" OR "test harness" OR benchmarking OR benchmark* OR emulat* OR simulat* OR prototype OR "reference implementation" OR "software setup" OR "hardware setup")</t>
  </si>
  <si>
    <t>Screening_Step</t>
  </si>
  <si>
    <t>Initial Screening</t>
  </si>
  <si>
    <t>Snowballing Iteration 1</t>
  </si>
  <si>
    <t>Snowballing Iteration 2</t>
  </si>
  <si>
    <t>performance analysis/evaluation of OPC UA, but does not contribute a reusable evaluation model, framework, testbed, or method aligned with IC3.</t>
  </si>
  <si>
    <t>Evaluate security implications, targets on-device GOOSE implementation/security testing rather than reusable closed-loop protocol evaluation.</t>
  </si>
  <si>
    <t>Focuses on enhancement of a fuzzing method (evaluation method improvement), targeting vulnerability finding, not an evaluation framework for comparing proötocols or their runtime performance/security trade-offs.</t>
  </si>
  <si>
    <t>Focuses on enhancement of a fuzzing method (evaluation method improvement), method for improving protocol security testing. does not evaluate protocol behaviour, performance, or trade-offs in an industrial communication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</si>
</sst>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s>
  <fonts count="39">
    <font>
      <sz val="9.5"/>
      <color theme="1"/>
      <name val="ABBvoice"/>
      <family val="2"/>
      <charset val="238"/>
    </font>
    <font>
      <sz val="6"/>
      <color theme="1"/>
      <name val="ABBvoice"/>
      <family val="2"/>
      <charset val="238"/>
    </font>
    <font>
      <sz val="8"/>
      <color theme="1"/>
      <name val="ABBvoice"/>
      <family val="2"/>
      <charset val="238"/>
    </font>
    <font>
      <b/>
      <sz val="8"/>
      <color theme="1"/>
      <name val="ABBvoice"/>
      <family val="2"/>
      <charset val="238"/>
    </font>
    <font>
      <sz val="9.5"/>
      <color theme="1"/>
      <name val="ABBvoice"/>
      <family val="2"/>
      <charset val="238"/>
    </font>
    <font>
      <sz val="11"/>
      <color theme="1"/>
      <name val="ABBvoice"/>
      <family val="2"/>
      <scheme val="minor"/>
    </font>
    <font>
      <sz val="18"/>
      <color theme="3"/>
      <name val="ABBvoice Medium"/>
      <family val="2"/>
      <scheme val="major"/>
    </font>
    <font>
      <b/>
      <sz val="15"/>
      <color theme="3"/>
      <name val="ABBvoice"/>
      <family val="2"/>
      <scheme val="minor"/>
    </font>
    <font>
      <b/>
      <sz val="13"/>
      <color theme="3"/>
      <name val="ABBvoice"/>
      <family val="2"/>
      <scheme val="minor"/>
    </font>
    <font>
      <b/>
      <sz val="11"/>
      <color theme="3"/>
      <name val="ABBvoice"/>
      <family val="2"/>
      <scheme val="minor"/>
    </font>
    <font>
      <sz val="11"/>
      <color rgb="FF006100"/>
      <name val="ABBvoice"/>
      <family val="2"/>
      <scheme val="minor"/>
    </font>
    <font>
      <sz val="11"/>
      <color rgb="FF9C0006"/>
      <name val="ABBvoice"/>
      <family val="2"/>
      <scheme val="minor"/>
    </font>
    <font>
      <sz val="11"/>
      <color rgb="FF9C5700"/>
      <name val="ABBvoice"/>
      <family val="2"/>
      <scheme val="minor"/>
    </font>
    <font>
      <sz val="11"/>
      <color rgb="FF3F3F76"/>
      <name val="ABBvoice"/>
      <family val="2"/>
      <scheme val="minor"/>
    </font>
    <font>
      <b/>
      <sz val="11"/>
      <color rgb="FF3F3F3F"/>
      <name val="ABBvoice"/>
      <family val="2"/>
      <scheme val="minor"/>
    </font>
    <font>
      <b/>
      <sz val="11"/>
      <color rgb="FFFA7D00"/>
      <name val="ABBvoice"/>
      <family val="2"/>
      <scheme val="minor"/>
    </font>
    <font>
      <sz val="11"/>
      <color rgb="FFFA7D00"/>
      <name val="ABBvoice"/>
      <family val="2"/>
      <scheme val="minor"/>
    </font>
    <font>
      <b/>
      <sz val="11"/>
      <color theme="0"/>
      <name val="ABBvoice"/>
      <family val="2"/>
      <scheme val="minor"/>
    </font>
    <font>
      <sz val="11"/>
      <color rgb="FFFF0000"/>
      <name val="ABBvoice"/>
      <family val="2"/>
      <scheme val="minor"/>
    </font>
    <font>
      <i/>
      <sz val="11"/>
      <color rgb="FF7F7F7F"/>
      <name val="ABBvoice"/>
      <family val="2"/>
      <scheme val="minor"/>
    </font>
    <font>
      <b/>
      <sz val="11"/>
      <color theme="1"/>
      <name val="ABBvoice"/>
      <family val="2"/>
      <scheme val="minor"/>
    </font>
    <font>
      <sz val="11"/>
      <color theme="0"/>
      <name val="ABBvoice"/>
      <family val="2"/>
      <scheme val="minor"/>
    </font>
    <font>
      <b/>
      <sz val="9.5"/>
      <color theme="1"/>
      <name val="ABBvoice"/>
      <family val="2"/>
    </font>
    <font>
      <b/>
      <sz val="12"/>
      <color theme="1"/>
      <name val="ABBvoice"/>
      <family val="2"/>
    </font>
    <font>
      <b/>
      <sz val="14"/>
      <color theme="1"/>
      <name val="ABBvoice"/>
      <family val="2"/>
    </font>
    <font>
      <sz val="9.5"/>
      <color theme="1"/>
      <name val="ABBvoice"/>
      <family val="2"/>
    </font>
    <font>
      <b/>
      <sz val="16"/>
      <color theme="1"/>
      <name val="ABBvoice"/>
      <family val="2"/>
    </font>
    <font>
      <sz val="16"/>
      <color theme="1"/>
      <name val="ABBvoice"/>
      <family val="2"/>
    </font>
    <font>
      <sz val="8"/>
      <name val="ABBvoice"/>
      <family val="2"/>
      <charset val="238"/>
    </font>
    <font>
      <sz val="10"/>
      <name val="Arial"/>
      <family val="2"/>
    </font>
    <font>
      <u/>
      <sz val="9.5"/>
      <color theme="10"/>
      <name val="ABBvoice"/>
      <family val="2"/>
      <charset val="238"/>
    </font>
    <font>
      <sz val="9.5"/>
      <name val="ABBvoice"/>
      <family val="2"/>
      <charset val="238"/>
    </font>
    <font>
      <b/>
      <sz val="9.5"/>
      <color theme="1"/>
      <name val="ABBvoice"/>
      <family val="2"/>
      <charset val="238"/>
    </font>
    <font>
      <u/>
      <sz val="9.5"/>
      <color theme="1"/>
      <name val="ABBvoice"/>
    </font>
    <font>
      <sz val="10"/>
      <name val="Arial"/>
      <family val="2"/>
    </font>
    <font>
      <b/>
      <sz val="9.5"/>
      <color theme="0"/>
      <name val="ABBvoice"/>
      <family val="2"/>
    </font>
    <font>
      <b/>
      <sz val="9.5"/>
      <color theme="0"/>
      <name val="ABBvoice"/>
      <family val="2"/>
      <charset val="238"/>
    </font>
    <font>
      <b/>
      <sz val="9.5"/>
      <color theme="1"/>
      <name val="ABBvoice"/>
    </font>
    <font>
      <sz val="9.5"/>
      <color theme="1"/>
      <name val="ABBvoice"/>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1"/>
        <bgColor theme="1"/>
      </patternFill>
    </fill>
    <fill>
      <patternFill patternType="solid">
        <fgColor rgb="FFFFFF00"/>
        <bgColor theme="9" tint="0.79998168889431442"/>
      </patternFill>
    </fill>
  </fills>
  <borders count="28">
    <border>
      <left/>
      <right/>
      <top/>
      <bottom/>
      <diagonal/>
    </border>
    <border>
      <left/>
      <right/>
      <top/>
      <bottom style="thin">
        <color rgb="FFA9A9A9"/>
      </bottom>
      <diagonal/>
    </border>
    <border>
      <left/>
      <right/>
      <top style="medium">
        <color indexed="64"/>
      </top>
      <bottom style="thin">
        <color indexed="64"/>
      </bottom>
      <diagonal/>
    </border>
    <border>
      <left/>
      <right/>
      <top style="thin">
        <color rgb="FFA9A9A9"/>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9" tint="0.39997558519241921"/>
      </left>
      <right/>
      <top/>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58">
    <xf numFmtId="0" fontId="0" fillId="0" borderId="0"/>
    <xf numFmtId="167" fontId="5"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6" fillId="0" borderId="0" applyNumberFormat="0" applyFill="0" applyBorder="0" applyAlignment="0" applyProtection="0"/>
    <xf numFmtId="0" fontId="7" fillId="0" borderId="4" applyNumberFormat="0" applyFill="0" applyAlignment="0" applyProtection="0"/>
    <xf numFmtId="0" fontId="8" fillId="0" borderId="5" applyNumberFormat="0" applyFill="0" applyAlignment="0" applyProtection="0"/>
    <xf numFmtId="0" fontId="9" fillId="0" borderId="6"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7" applyNumberFormat="0" applyAlignment="0" applyProtection="0"/>
    <xf numFmtId="0" fontId="14" fillId="6" borderId="8" applyNumberFormat="0" applyAlignment="0" applyProtection="0"/>
    <xf numFmtId="0" fontId="15" fillId="6" borderId="7" applyNumberFormat="0" applyAlignment="0" applyProtection="0"/>
    <xf numFmtId="0" fontId="16" fillId="0" borderId="9" applyNumberFormat="0" applyFill="0" applyAlignment="0" applyProtection="0"/>
    <xf numFmtId="0" fontId="17" fillId="7" borderId="10" applyNumberFormat="0" applyAlignment="0" applyProtection="0"/>
    <xf numFmtId="0" fontId="18" fillId="0" borderId="0" applyNumberFormat="0" applyFill="0" applyBorder="0" applyAlignment="0" applyProtection="0"/>
    <xf numFmtId="0" fontId="5" fillId="8" borderId="11" applyNumberFormat="0" applyFont="0" applyAlignment="0" applyProtection="0"/>
    <xf numFmtId="0" fontId="19" fillId="0" borderId="0" applyNumberFormat="0" applyFill="0" applyBorder="0" applyAlignment="0" applyProtection="0"/>
    <xf numFmtId="0" fontId="20" fillId="0" borderId="12"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1" fillId="0" borderId="0" applyBorder="0">
      <alignment vertical="top"/>
    </xf>
    <xf numFmtId="14" fontId="4" fillId="0" borderId="1" applyNumberFormat="0" applyBorder="0">
      <alignment vertical="center"/>
    </xf>
    <xf numFmtId="0" fontId="3" fillId="0" borderId="2">
      <alignment vertical="center"/>
    </xf>
    <xf numFmtId="0" fontId="2" fillId="0" borderId="1">
      <alignment vertical="top" wrapText="1"/>
    </xf>
    <xf numFmtId="0" fontId="2" fillId="0" borderId="3">
      <alignment vertical="top" wrapText="1"/>
    </xf>
    <xf numFmtId="0" fontId="2" fillId="0" borderId="3" applyBorder="0">
      <alignment vertical="center"/>
    </xf>
    <xf numFmtId="9" fontId="4" fillId="0" borderId="0" applyFill="0" applyBorder="0" applyAlignment="0" applyProtection="0"/>
    <xf numFmtId="0" fontId="29" fillId="0" borderId="0"/>
    <xf numFmtId="0" fontId="30" fillId="0" borderId="0" applyNumberFormat="0" applyFill="0" applyBorder="0" applyAlignment="0" applyProtection="0"/>
    <xf numFmtId="0" fontId="34" fillId="0" borderId="0"/>
    <xf numFmtId="0" fontId="29" fillId="0" borderId="0"/>
  </cellStyleXfs>
  <cellXfs count="59">
    <xf numFmtId="0" fontId="0" fillId="0" borderId="0" xfId="0"/>
    <xf numFmtId="0" fontId="0" fillId="0" borderId="0" xfId="0" applyAlignment="1">
      <alignment wrapText="1"/>
    </xf>
    <xf numFmtId="0" fontId="22" fillId="0" borderId="0" xfId="0" applyFont="1"/>
    <xf numFmtId="0" fontId="23" fillId="0" borderId="0" xfId="0" applyFont="1"/>
    <xf numFmtId="0" fontId="22" fillId="0" borderId="0" xfId="0" applyFont="1" applyAlignment="1">
      <alignment horizontal="center" vertical="center"/>
    </xf>
    <xf numFmtId="0" fontId="25" fillId="0" borderId="0" xfId="0" applyFont="1" applyAlignment="1">
      <alignment horizontal="center" vertical="center"/>
    </xf>
    <xf numFmtId="0" fontId="24" fillId="0" borderId="0" xfId="0" applyFont="1"/>
    <xf numFmtId="0" fontId="27" fillId="0" borderId="0" xfId="0" applyFont="1" applyAlignment="1">
      <alignment vertical="center"/>
    </xf>
    <xf numFmtId="14" fontId="0" fillId="0" borderId="0" xfId="0" applyNumberFormat="1"/>
    <xf numFmtId="0" fontId="0" fillId="33" borderId="16" xfId="0" applyFill="1" applyBorder="1"/>
    <xf numFmtId="0" fontId="0" fillId="0" borderId="16" xfId="0" applyBorder="1"/>
    <xf numFmtId="0" fontId="30" fillId="0" borderId="0" xfId="55"/>
    <xf numFmtId="0" fontId="30" fillId="0" borderId="15" xfId="55" applyNumberFormat="1" applyBorder="1"/>
    <xf numFmtId="0" fontId="31" fillId="0" borderId="15" xfId="55" applyNumberFormat="1" applyFont="1" applyBorder="1"/>
    <xf numFmtId="0" fontId="22" fillId="0" borderId="0" xfId="0" applyFont="1" applyAlignment="1">
      <alignment wrapText="1"/>
    </xf>
    <xf numFmtId="168" fontId="4" fillId="0" borderId="0" xfId="53" applyNumberFormat="1"/>
    <xf numFmtId="0" fontId="32" fillId="0" borderId="0" xfId="0" applyFont="1"/>
    <xf numFmtId="0" fontId="0" fillId="34" borderId="0" xfId="0" applyFill="1"/>
    <xf numFmtId="0" fontId="36" fillId="35" borderId="18" xfId="0" applyFont="1" applyFill="1" applyBorder="1"/>
    <xf numFmtId="0" fontId="0" fillId="0" borderId="17" xfId="0" applyBorder="1"/>
    <xf numFmtId="0" fontId="0" fillId="0" borderId="18" xfId="0" applyBorder="1"/>
    <xf numFmtId="0" fontId="36" fillId="35" borderId="19" xfId="0" applyFont="1" applyFill="1" applyBorder="1"/>
    <xf numFmtId="0" fontId="0" fillId="0" borderId="19" xfId="0" applyBorder="1"/>
    <xf numFmtId="0" fontId="35" fillId="35" borderId="17" xfId="0" applyFont="1" applyFill="1" applyBorder="1"/>
    <xf numFmtId="0" fontId="0" fillId="0" borderId="18" xfId="0" applyBorder="1" applyAlignment="1">
      <alignment wrapText="1"/>
    </xf>
    <xf numFmtId="168" fontId="0" fillId="0" borderId="19" xfId="53" applyNumberFormat="1" applyFont="1" applyBorder="1"/>
    <xf numFmtId="0" fontId="22" fillId="0" borderId="17" xfId="0" applyFont="1" applyBorder="1"/>
    <xf numFmtId="0" fontId="0" fillId="0" borderId="20" xfId="0" applyBorder="1"/>
    <xf numFmtId="0" fontId="0" fillId="0" borderId="21" xfId="0" applyBorder="1"/>
    <xf numFmtId="168" fontId="0" fillId="0" borderId="22" xfId="53" applyNumberFormat="1" applyFont="1" applyBorder="1"/>
    <xf numFmtId="168" fontId="4" fillId="0" borderId="0" xfId="53" applyNumberFormat="1" applyBorder="1"/>
    <xf numFmtId="0" fontId="34" fillId="0" borderId="0" xfId="56"/>
    <xf numFmtId="0" fontId="30" fillId="0" borderId="0" xfId="55" applyNumberFormat="1"/>
    <xf numFmtId="0" fontId="0" fillId="0" borderId="15" xfId="0" applyBorder="1"/>
    <xf numFmtId="0" fontId="31" fillId="0" borderId="0" xfId="55" applyNumberFormat="1" applyFont="1" applyBorder="1"/>
    <xf numFmtId="0" fontId="31" fillId="0" borderId="23" xfId="55" applyNumberFormat="1" applyFont="1" applyFill="1" applyBorder="1"/>
    <xf numFmtId="0" fontId="30" fillId="0" borderId="15" xfId="55" applyNumberFormat="1" applyFill="1" applyBorder="1"/>
    <xf numFmtId="0" fontId="31" fillId="0" borderId="0" xfId="55" applyNumberFormat="1" applyFont="1" applyFill="1" applyBorder="1"/>
    <xf numFmtId="0" fontId="31" fillId="0" borderId="15" xfId="55" applyNumberFormat="1" applyFont="1" applyFill="1" applyBorder="1"/>
    <xf numFmtId="0" fontId="30" fillId="33" borderId="16" xfId="55" applyNumberFormat="1" applyFill="1" applyBorder="1"/>
    <xf numFmtId="0" fontId="0" fillId="0" borderId="24" xfId="0" applyBorder="1"/>
    <xf numFmtId="0" fontId="0" fillId="33" borderId="24" xfId="0" applyFill="1" applyBorder="1"/>
    <xf numFmtId="0" fontId="0" fillId="33" borderId="0" xfId="0" applyFill="1"/>
    <xf numFmtId="0" fontId="0" fillId="33" borderId="15" xfId="0" applyFill="1" applyBorder="1"/>
    <xf numFmtId="0" fontId="0" fillId="33" borderId="25" xfId="0" applyFill="1" applyBorder="1"/>
    <xf numFmtId="0" fontId="0" fillId="33" borderId="26" xfId="0" applyFill="1" applyBorder="1"/>
    <xf numFmtId="0" fontId="0" fillId="33" borderId="27" xfId="0" applyFill="1" applyBorder="1"/>
    <xf numFmtId="0" fontId="30" fillId="0" borderId="0" xfId="55" applyNumberFormat="1" applyBorder="1"/>
    <xf numFmtId="0" fontId="0" fillId="36" borderId="15" xfId="0" applyFill="1" applyBorder="1"/>
    <xf numFmtId="0" fontId="37" fillId="0" borderId="0" xfId="0" applyFont="1"/>
    <xf numFmtId="0" fontId="38" fillId="0" borderId="0" xfId="0" applyFont="1"/>
    <xf numFmtId="0" fontId="0" fillId="0" borderId="25" xfId="0" applyBorder="1"/>
    <xf numFmtId="0" fontId="0" fillId="0" borderId="26" xfId="0" applyBorder="1"/>
    <xf numFmtId="0" fontId="0" fillId="0" borderId="27" xfId="0" applyBorder="1"/>
    <xf numFmtId="0" fontId="30" fillId="36" borderId="16" xfId="55" applyNumberFormat="1" applyFill="1" applyBorder="1"/>
    <xf numFmtId="0" fontId="26" fillId="0" borderId="13" xfId="0" applyFont="1" applyBorder="1" applyAlignment="1">
      <alignment horizontal="center" vertical="center"/>
    </xf>
    <xf numFmtId="0" fontId="26" fillId="0" borderId="14" xfId="0" applyFont="1" applyBorder="1" applyAlignment="1">
      <alignment horizontal="center" vertical="center"/>
    </xf>
    <xf numFmtId="0" fontId="24" fillId="0" borderId="0" xfId="0" applyFont="1" applyAlignment="1">
      <alignment horizontal="center" wrapText="1"/>
    </xf>
    <xf numFmtId="0" fontId="22" fillId="0" borderId="0" xfId="0" applyFont="1" applyAlignment="1"/>
  </cellXfs>
  <cellStyles count="58">
    <cellStyle name="_Meta Data Content" xfId="48" xr:uid="{C40E1D37-404B-45A0-B820-FEB526A4F37A}"/>
    <cellStyle name="_Meta Data Copyright" xfId="52" xr:uid="{91CEAD18-29F0-4A90-9F29-93C506258202}"/>
    <cellStyle name="_Meta Data Heading" xfId="47" xr:uid="{2486B25D-F5FF-4DAB-819C-FC38D98AF132}"/>
    <cellStyle name="_Revision Table Header" xfId="49" xr:uid="{B930ED5C-8A37-4214-91F8-0D70EBC3D42A}"/>
    <cellStyle name="_Revision Table Last Row" xfId="51" xr:uid="{C86E9122-5F36-44F6-A278-56260A577E06}"/>
    <cellStyle name="_Revision Table Row" xfId="50" xr:uid="{BCB6EAD3-0C23-4F6D-83C7-FCD83AE23C4D}"/>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hidden="1"/>
    <cellStyle name="Calculation" xfId="16" builtinId="22" hidden="1"/>
    <cellStyle name="Check Cell" xfId="18" builtinId="23" hidden="1"/>
    <cellStyle name="Comma" xfId="1" builtinId="3" hidden="1"/>
    <cellStyle name="Comma [0]" xfId="2" builtinId="6" hidden="1"/>
    <cellStyle name="Currency" xfId="3" builtinId="4" hidden="1"/>
    <cellStyle name="Currency [0]" xfId="4" builtinId="7" hidden="1"/>
    <cellStyle name="Explanatory Text" xfId="21" builtinId="53" hidden="1"/>
    <cellStyle name="Good" xfId="11" builtinId="26" hidden="1"/>
    <cellStyle name="Heading 1" xfId="7" builtinId="16" hidden="1"/>
    <cellStyle name="Heading 2" xfId="8" builtinId="17" hidden="1"/>
    <cellStyle name="Heading 3" xfId="9" builtinId="18" hidden="1"/>
    <cellStyle name="Heading 4" xfId="10" builtinId="19" hidden="1"/>
    <cellStyle name="Hyperlink" xfId="55" builtinId="8"/>
    <cellStyle name="Input" xfId="14" builtinId="20" hidden="1"/>
    <cellStyle name="Linked Cell" xfId="17" builtinId="24" hidden="1"/>
    <cellStyle name="Neutral" xfId="13" builtinId="28" hidden="1"/>
    <cellStyle name="Normal" xfId="0" builtinId="0" customBuiltin="1"/>
    <cellStyle name="Normal 2" xfId="54" xr:uid="{8FB7C3A9-6337-4655-A0BB-F729F6C91239}"/>
    <cellStyle name="Normal 3" xfId="56" xr:uid="{D3E40508-7F83-4ACB-A277-ABF4B8786243}"/>
    <cellStyle name="Normal 3 2" xfId="57" xr:uid="{AB5121C1-F7BE-429C-AE9F-D9549044AEBA}"/>
    <cellStyle name="Note" xfId="20" builtinId="10" hidden="1"/>
    <cellStyle name="Output" xfId="15" builtinId="21" hidden="1"/>
    <cellStyle name="Percent" xfId="5" builtinId="5" hidden="1"/>
    <cellStyle name="Percent" xfId="53" builtinId="5"/>
    <cellStyle name="Title" xfId="6" builtinId="15" hidden="1"/>
    <cellStyle name="Total" xfId="22" builtinId="25" hidden="1"/>
    <cellStyle name="Warning Text" xfId="19" builtinId="11" hidden="1"/>
  </cellStyles>
  <dxfs count="226">
    <dxf>
      <font>
        <b/>
        <i val="0"/>
        <strike val="0"/>
        <condense val="0"/>
        <extend val="0"/>
        <outline val="0"/>
        <shadow val="0"/>
        <u val="none"/>
        <vertAlign val="baseline"/>
        <sz val="9.5"/>
        <color theme="1"/>
        <name val="ABBvoice"/>
        <scheme val="none"/>
      </font>
    </dxf>
    <dxf>
      <font>
        <b/>
        <i val="0"/>
        <strike val="0"/>
        <condense val="0"/>
        <extend val="0"/>
        <outline val="0"/>
        <shadow val="0"/>
        <u val="none"/>
        <vertAlign val="baseline"/>
        <sz val="9.5"/>
        <color theme="1"/>
        <name val="ABBvoice"/>
        <family val="2"/>
        <scheme val="none"/>
      </font>
      <alignment horizontal="general"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9.5"/>
        <color theme="1"/>
        <name val="ABBvoice"/>
        <family val="2"/>
        <scheme val="none"/>
      </font>
    </dxf>
    <dxf>
      <numFmt numFmtId="168" formatCode="0.0%"/>
    </dxf>
    <dxf>
      <font>
        <b/>
        <i val="0"/>
      </font>
    </dxf>
    <dxf>
      <font>
        <b/>
        <i val="0"/>
      </font>
    </dxf>
    <dxf>
      <border>
        <top style="thin">
          <color auto="1"/>
        </top>
      </border>
    </dxf>
    <dxf>
      <font>
        <b/>
        <i val="0"/>
      </font>
      <border>
        <bottom style="thin">
          <color auto="1"/>
        </bottom>
      </border>
    </dxf>
    <dxf>
      <fill>
        <patternFill>
          <bgColor theme="0"/>
        </patternFill>
      </fill>
      <border>
        <top style="medium">
          <color auto="1"/>
        </top>
        <bottom style="thin">
          <color auto="1"/>
        </bottom>
        <horizontal style="thin">
          <color rgb="FFA9A9A9"/>
        </horizontal>
      </border>
    </dxf>
  </dxfs>
  <tableStyles count="1" defaultTableStyle="ABB Table" defaultPivotStyle="PivotStyleLight16">
    <tableStyle name="ABB Table" pivot="0" count="5" xr9:uid="{8E05038B-35BD-4FCB-85F9-65B80D177C34}">
      <tableStyleElement type="wholeTable" dxfId="225"/>
      <tableStyleElement type="headerRow" dxfId="224"/>
      <tableStyleElement type="totalRow" dxfId="223"/>
      <tableStyleElement type="firstColumn" dxfId="222"/>
      <tableStyleElement type="lastColumn" dxfId="221"/>
    </tableStyle>
  </tableStyles>
  <colors>
    <mruColors>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EEDA841-86E7-4D8A-845F-2E766C9B832E}"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3" xr16:uid="{83D02F76-2651-488E-A3B7-E84505057E43}"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82EFD984-59E8-4CFA-8A1B-5A97CE4F3476}"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4" xr16:uid="{B72B32F6-0BB6-41BE-87F7-812F283578CF}"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A699E138-7ADA-417B-9569-72910D500825}"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15" xr16:uid="{B09800A2-B8D1-4B23-8C71-1D4254730768}" autoFormatId="16" applyNumberFormats="0" applyBorderFormats="0" applyFontFormats="0" applyPatternFormats="0" applyAlignmentFormats="0" applyWidthHeightFormats="0">
  <queryTableRefresh nextId="11" unboundColumnsRight="1">
    <queryTableFields count="10">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 id="10" dataBound="0"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0" xr16:uid="{C8D9CE8D-1DA4-4507-84C4-B230A473D3E1}" autoFormatId="16" applyNumberFormats="0" applyBorderFormats="0" applyFontFormats="0" applyPatternFormats="0" applyAlignmentFormats="0" applyWidthHeightFormats="0">
  <queryTableRefresh nextId="32" unboundColumnsRight="3">
    <queryTableFields count="31">
      <queryTableField id="1" name="Document Title" tableColumnId="1"/>
      <queryTableField id="2" name="Authors" tableColumnId="2"/>
      <queryTableField id="3" name="Author Affiliations" tableColumnId="3"/>
      <queryTableField id="4" name="Publication Title" tableColumnId="4"/>
      <queryTableField id="5" name="Date Added To Xplore" tableColumnId="5"/>
      <queryTableField id="6" name="Publication Year" tableColumnId="6"/>
      <queryTableField id="7" name="Volume" tableColumnId="7"/>
      <queryTableField id="8" name="Issue" tableColumnId="8"/>
      <queryTableField id="9" name="Start Page" tableColumnId="9"/>
      <queryTableField id="10" name="End Page" tableColumnId="10"/>
      <queryTableField id="11" name="Abstract" tableColumnId="11"/>
      <queryTableField id="12" name="ISSN" tableColumnId="12"/>
      <queryTableField id="13" name="ISBNs" tableColumnId="13"/>
      <queryTableField id="14" name="DOI" tableColumnId="14"/>
      <queryTableField id="15" name="Funding Information" tableColumnId="15"/>
      <queryTableField id="16" name="PDF Link" tableColumnId="16"/>
      <queryTableField id="17" name="Author Keywords" tableColumnId="17"/>
      <queryTableField id="18" name="IEEE Terms" tableColumnId="18"/>
      <queryTableField id="19" name="Mesh_Terms" tableColumnId="19"/>
      <queryTableField id="20" name="Article Citation Count" tableColumnId="20"/>
      <queryTableField id="21" name="Patent Citation Count" tableColumnId="21"/>
      <queryTableField id="22" name="Reference Count" tableColumnId="22"/>
      <queryTableField id="23" name="License" tableColumnId="23"/>
      <queryTableField id="24" name="Online Date" tableColumnId="24"/>
      <queryTableField id="25" name="Issue Date" tableColumnId="25"/>
      <queryTableField id="26" name="Meeting Date" tableColumnId="26"/>
      <queryTableField id="27" name="Publisher" tableColumnId="27"/>
      <queryTableField id="28" name="Document Identifier" tableColumnId="28"/>
      <queryTableField id="29" dataBound="0" tableColumnId="29"/>
      <queryTableField id="30" dataBound="0" tableColumnId="30"/>
      <queryTableField id="31" dataBound="0" tableColumnId="3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8" xr16:uid="{3E13EDFF-7EDA-4645-A388-476AD6C78DD7}" autoFormatId="16" applyNumberFormats="0" applyBorderFormats="0" applyFontFormats="0" applyPatternFormats="0" applyAlignmentFormats="0" applyWidthHeightFormats="0">
  <queryTableRefresh nextId="22">
    <queryTableFields count="21">
      <queryTableField id="1" name="Authors" tableColumnId="1"/>
      <queryTableField id="2" name="Author full names" tableColumnId="2"/>
      <queryTableField id="3" name="Author(s) ID" tableColumnId="3"/>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bstract" tableColumnId="15"/>
      <queryTableField id="16" name="Publisher" tableColumnId="16"/>
      <queryTableField id="17" name="Document Type" tableColumnId="17"/>
      <queryTableField id="18" name="Publication Stage" tableColumnId="18"/>
      <queryTableField id="19" name="Open Access" tableColumnId="19"/>
      <queryTableField id="20" name="Source" tableColumnId="20"/>
      <queryTableField id="21" name="EID" tableColumnId="2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2" xr16:uid="{A28F6B93-6199-448B-956F-CB7AF338D1BD}" autoFormatId="16" applyNumberFormats="0" applyBorderFormats="0" applyFontFormats="0" applyPatternFormats="0" applyAlignmentFormats="0" applyWidthHeightFormats="0">
  <queryTableRefresh nextId="10">
    <queryTableFields count="9">
      <queryTableField id="1" name="authors" tableColumnId="1"/>
      <queryTableField id="2" name="title" tableColumnId="2"/>
      <queryTableField id="3" name="year" tableColumnId="3"/>
      <queryTableField id="4" name="url" tableColumnId="4"/>
      <queryTableField id="5" name="issn" tableColumnId="5"/>
      <queryTableField id="6" name="doi" tableColumnId="6"/>
      <queryTableField id="7" name="abstract" tableColumnId="7"/>
      <queryTableField id="8" name="numpages" tableColumnId="8"/>
      <queryTableField id="9" name="keywords" tableColumnId="9"/>
    </queryTableFields>
  </queryTableRefresh>
</queryTable>
</file>

<file path=xl/tables/_rels/table1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84D645-007A-4F88-836E-B319EFD2881A}" name="Table3" displayName="Table3" ref="A15:B19" totalsRowShown="0" headerRowDxfId="219" dataDxfId="218">
  <autoFilter ref="A15:B19" xr:uid="{B084D645-007A-4F88-836E-B319EFD2881A}"/>
  <tableColumns count="2">
    <tableColumn id="1" xr3:uid="{083F4646-A863-48C5-A3C6-A262311A6B6E}" name="Focus" dataDxfId="217"/>
    <tableColumn id="2" xr3:uid="{D59CFDE0-6C0D-4282-857C-DA00DE2197D8}" name="Keyword(s)" dataDxfId="216"/>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DA0665D-45E1-4175-9A20-74E694F5BDB4}" name="Table813" displayName="Table813" ref="Q4:S16" totalsRowShown="0">
  <autoFilter ref="Q4:S16" xr:uid="{0A482E10-BA6A-444E-92EC-DB086FA7AB9C}"/>
  <tableColumns count="3">
    <tableColumn id="1" xr3:uid="{02F664F6-E8F7-453F-950B-75134E13382D}" name="Statistics (total)"/>
    <tableColumn id="2" xr3:uid="{9628ABDC-D65C-4967-B054-78B9DAEEFD2C}" name="Count"/>
    <tableColumn id="3" xr3:uid="{00C28DD0-144E-4A7F-A285-1DC5840E8FB1}" name="Percentage" dataDxfId="215" dataCellStyle="Percent">
      <calculatedColumnFormula>(($R5/$R$5))</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8F5BCB9-B04F-4D96-9DE2-6DCF89EC2AE5}" name="Table8214" displayName="Table8214" ref="U4:W15" totalsRowShown="0">
  <autoFilter ref="U4:W15" xr:uid="{E1664242-1173-4EBD-B0C5-429414D571DC}"/>
  <tableColumns count="3">
    <tableColumn id="1" xr3:uid="{ACA233B0-5ABE-4116-BD2E-184DC1016E24}" name="Statistics (title screening)"/>
    <tableColumn id="2" xr3:uid="{E406C7AD-3DAD-489F-81C1-5AF75D81BD34}" name="Count"/>
    <tableColumn id="3" xr3:uid="{BC782A59-D320-41FF-8FD3-19AFAADC215E}" name="Percentage" dataDxfId="214" dataCellStyle="Percent">
      <calculatedColumnFormula>(($R5/$R$5))</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A61DB3-D571-4950-8F54-7FE30068D852}" name="Table81317" displayName="Table81317" ref="Z3:AB18" totalsRowShown="0">
  <autoFilter ref="Z3:AB18" xr:uid="{B2A61DB3-D571-4950-8F54-7FE30068D852}"/>
  <tableColumns count="3">
    <tableColumn id="1" xr3:uid="{A8553823-663D-4746-BF46-3ED87D31B292}" name="Statistics (total)"/>
    <tableColumn id="2" xr3:uid="{6CA547D5-0B59-4CD6-8FF4-A3AC9BA19181}" name="Count"/>
    <tableColumn id="3" xr3:uid="{3BD184DD-9634-4212-9613-A8FC7A5D9776}" name="Percentage" dataDxfId="213" dataCellStyle="Percent">
      <calculatedColumnFormula>(($R4/$R$5))</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F8DFBE2-5638-4CFD-9462-C494418F9EE8}" name="Table81321" displayName="Table81321" ref="U4:W16" totalsRowShown="0">
  <autoFilter ref="U4:W16" xr:uid="{7F8DFBE2-5638-4CFD-9462-C494418F9EE8}"/>
  <tableColumns count="3">
    <tableColumn id="1" xr3:uid="{E94B0D7A-615D-49C4-8598-7CF9B6C1D586}" name="Statistics (total)"/>
    <tableColumn id="2" xr3:uid="{A55ECCF1-D7B5-45FE-B209-6BDC7D14113E}" name="Count"/>
    <tableColumn id="3" xr3:uid="{47F1FCA1-C5E7-4AF1-8E97-92D3577F4CD9}" name="Percentage" dataDxfId="212" dataCellStyle="Percent">
      <calculatedColumnFormula>(($R5/$R$5))</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C2C5DBF-13FF-4B2F-99C2-2B596A73C19B}" name="Table821423" displayName="Table821423" ref="Y4:AA15" totalsRowShown="0">
  <autoFilter ref="Y4:AA15" xr:uid="{CC2C5DBF-13FF-4B2F-99C2-2B596A73C19B}"/>
  <tableColumns count="3">
    <tableColumn id="1" xr3:uid="{2E3DE2E4-B330-4E41-BE2D-3A21772D82B2}" name="Statistics (title screening)"/>
    <tableColumn id="2" xr3:uid="{1EFBF6D3-BD0A-4311-ABAA-5AF06DC37F47}" name="Count"/>
    <tableColumn id="3" xr3:uid="{F5D1BA23-9964-4334-B13E-9393160E6110}" name="Percentage" dataDxfId="211" dataCellStyle="Percent">
      <calculatedColumnFormula>(($R5/$R$5))</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8390CEE-578B-4894-B938-5C070D2FE39F}" name="Table8131732" displayName="Table8131732" ref="U20:W36" totalsRowShown="0">
  <autoFilter ref="U20:W36" xr:uid="{48390CEE-578B-4894-B938-5C070D2FE39F}"/>
  <tableColumns count="3">
    <tableColumn id="1" xr3:uid="{5E2D0F22-EF37-49EA-AB83-6E124B7DCD42}" name="Statistics (full-text screening)"/>
    <tableColumn id="2" xr3:uid="{B1DA608B-DF7F-4B9D-9959-A56D6F6EF373}" name="Count"/>
    <tableColumn id="3" xr3:uid="{C81EF50D-8648-4DF7-9333-43B85D3EADE3}" name="Percentage" dataDxfId="220" dataCellStyle="Percent">
      <calculatedColumnFormula>(($R6/$R$4))</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0AE2667-FCAB-40FC-AF23-85716EB74580}" name="Table8132124" displayName="Table8132124" ref="U7:W19" totalsRowShown="0">
  <autoFilter ref="U7:W19" xr:uid="{80AE2667-FCAB-40FC-AF23-85716EB74580}"/>
  <tableColumns count="3">
    <tableColumn id="1" xr3:uid="{A824F3CB-3F7F-48BE-9F94-08CDE764B3C4}" name="Statistics (total)"/>
    <tableColumn id="2" xr3:uid="{461BA7A9-C80C-4A02-8B6A-B8D9AEC9E891}" name="Count"/>
    <tableColumn id="3" xr3:uid="{419329B7-466A-4E50-B3BE-B6C605C40EC2}" name="Percentage" dataDxfId="210" dataCellStyle="Percen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92BFA8-B05B-4914-A6AA-6AA63436313B}" name="Table82142325" displayName="Table82142325" ref="Y7:AA18" totalsRowShown="0">
  <autoFilter ref="Y7:AA18" xr:uid="{6892BFA8-B05B-4914-A6AA-6AA63436313B}"/>
  <tableColumns count="3">
    <tableColumn id="1" xr3:uid="{FAF19DB5-B4FF-47AE-B540-1521DF2DFC09}" name="Statistics (title screening)"/>
    <tableColumn id="2" xr3:uid="{0F7213E7-9262-477B-8903-87C647DC875A}" name="Count"/>
    <tableColumn id="3" xr3:uid="{A4081BD9-57FE-4B1D-B8C4-189D6BE8AC40}" name="Percentage" dataDxfId="209" dataCellStyle="Percent"/>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F8B5DB3-08DE-4C9F-9CBC-60984B493CD7}" name="Table813173233" displayName="Table813173233" ref="U17:W33" totalsRowShown="0">
  <autoFilter ref="U17:W33" xr:uid="{BF8B5DB3-08DE-4C9F-9CBC-60984B493CD7}"/>
  <tableColumns count="3">
    <tableColumn id="1" xr3:uid="{FB8171BD-B1E7-436C-8BDB-FEF2B8AF717E}" name="Statistics (full-text screening)"/>
    <tableColumn id="2" xr3:uid="{547D4C61-F664-439D-A77B-B14BDE0D1CC5}" name="Count"/>
    <tableColumn id="3" xr3:uid="{21AC3B36-6ABF-4DBD-963E-E1C8C4A7782E}" name="Percentage" dataDxfId="208" dataCellStyle="Percent">
      <calculatedColumnFormula>((#REF!/#REF!))</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55F6472-00B1-4F9E-933B-61708DC2D7C6}" name="Table813212426" displayName="Table813212426" ref="U26:W38" totalsRowShown="0">
  <autoFilter ref="U26:W38" xr:uid="{055F6472-00B1-4F9E-933B-61708DC2D7C6}"/>
  <tableColumns count="3">
    <tableColumn id="1" xr3:uid="{436E43C4-4850-48AE-93F2-2B913B0F0E7D}" name="Statistics (total)"/>
    <tableColumn id="2" xr3:uid="{A2C6D34B-14C1-4844-A5F4-911BE5E8C0B8}" name="Count"/>
    <tableColumn id="3" xr3:uid="{C6EF423E-D57C-4DC9-AFDD-36331FE08A39}" name="Percentage" dataDxfId="207" dataCellStyle="Percent">
      <calculatedColumnFormula>((#REF!/#REF!))</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5164EC3-C121-4B63-8DA1-BEC1888A4A1A}" name="Table8214232527" displayName="Table8214232527" ref="Y26:AA37" totalsRowShown="0">
  <autoFilter ref="Y26:AA37" xr:uid="{05164EC3-C121-4B63-8DA1-BEC1888A4A1A}"/>
  <tableColumns count="3">
    <tableColumn id="1" xr3:uid="{0B8E64FC-1586-4C53-B561-85B3A4B5AFF8}" name="Statistics (title screening)"/>
    <tableColumn id="2" xr3:uid="{717C08A3-B824-4DB0-9DDD-964B7580BEF3}" name="Count"/>
    <tableColumn id="3" xr3:uid="{44A69906-631B-4482-9C7F-FB01185FCFDD}" name="Percentage" dataDxfId="206" dataCellStyle="Percent">
      <calculatedColumnFormula>((#REF!/#REF!))</calculatedColumnFormula>
    </tableColum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C25BAB6-5096-4BEC-8AE9-49C64F9188C8}" name="Table81317323334" displayName="Table81317323334" ref="U5:W21" totalsRowShown="0">
  <autoFilter ref="U5:W21" xr:uid="{7C25BAB6-5096-4BEC-8AE9-49C64F9188C8}"/>
  <tableColumns count="3">
    <tableColumn id="1" xr3:uid="{84A6891F-CEE3-4632-AE71-0E329FDE8F0C}" name="Statistics (full-text screening)"/>
    <tableColumn id="2" xr3:uid="{253343CD-5387-48F5-894A-D50C3B7037F1}" name="Count"/>
    <tableColumn id="3" xr3:uid="{EAC17E70-5BCB-4194-8135-CA061C3C8A91}" name="Percentage" dataDxfId="205" dataCellStyle="Percent">
      <calculatedColumnFormula>(($R2/#REF!))</calculatedColumnFormula>
    </tableColum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7C5E89-41C5-48C3-A5C6-20330C38D9CD}" name="Table9" displayName="Table9" ref="A1:B21" totalsRowShown="0" headerRowDxfId="0">
  <autoFilter ref="A1:B21" xr:uid="{E77C5E89-41C5-48C3-A5C6-20330C38D9CD}"/>
  <tableColumns count="2">
    <tableColumn id="1" xr3:uid="{F5BDD8A8-B4A6-44FF-9761-8783230603DC}" name="Screening_Step" dataDxfId="1"/>
    <tableColumn id="2" xr3:uid="{2E49A145-7A11-412A-9041-51387F76896D}" name="Title"/>
  </tableColumns>
  <tableStyleInfo name="ABB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E3412C-7302-410D-9682-10A6A36FB24A}" name="citations_studies" displayName="citations_studies" ref="A1:J211" tableType="queryTable" totalsRowShown="0">
  <autoFilter ref="A1:J211" xr:uid="{D6E3412C-7302-410D-9682-10A6A36FB24A}"/>
  <tableColumns count="10">
    <tableColumn id="1" xr3:uid="{47B5C682-382B-4F30-99D5-21169D052CE1}" uniqueName="1" name="authors" queryTableFieldId="1" dataDxfId="204"/>
    <tableColumn id="2" xr3:uid="{9602CB90-583C-4B4C-B0F3-D42D612391B7}" uniqueName="2" name="title" queryTableFieldId="2" dataDxfId="203"/>
    <tableColumn id="3" xr3:uid="{397FAC61-6AC6-413F-8DD0-978A353BBCD8}" uniqueName="3" name="year" queryTableFieldId="3"/>
    <tableColumn id="4" xr3:uid="{D241F34E-F90C-4E96-BF31-388777803BF2}" uniqueName="4" name="url" queryTableFieldId="4" dataDxfId="202"/>
    <tableColumn id="5" xr3:uid="{6D66A48F-8E89-4C9D-AB01-38D9E5F159E5}" uniqueName="5" name="issn" queryTableFieldId="5" dataDxfId="201"/>
    <tableColumn id="6" xr3:uid="{B892A49E-8414-4FA1-88F3-D7F644B476D0}" uniqueName="6" name="doi" queryTableFieldId="6" dataDxfId="200"/>
    <tableColumn id="7" xr3:uid="{E274B3E2-D875-4EFD-9830-5D05CF6C2427}" uniqueName="7" name="abstract" queryTableFieldId="7" dataDxfId="199"/>
    <tableColumn id="8" xr3:uid="{937E234E-89DD-40B3-BC53-312B3E6E30B0}" uniqueName="8" name="numpages" queryTableFieldId="8"/>
    <tableColumn id="9" xr3:uid="{70B68E78-3917-4E2F-A226-C1DB05A2BA4A}" uniqueName="9" name="keywords" queryTableFieldId="9" dataDxfId="198"/>
    <tableColumn id="10" xr3:uid="{D61A6AEB-96ED-4DED-BC8E-0EEB6981487F}" uniqueName="10" name="URL Title" queryTableFieldId="10" dataDxfId="197">
      <calculatedColumnFormula>HYPERLINK($D2,$B2)</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EA8DB6-A45E-487E-9FC8-D1B51D301CF8}" name="references_studies" displayName="references_studies" ref="A1:J200" tableType="queryTable" totalsRowShown="0">
  <autoFilter ref="A1:J200" xr:uid="{09EA8DB6-A45E-487E-9FC8-D1B51D301CF8}"/>
  <tableColumns count="10">
    <tableColumn id="1" xr3:uid="{BBFA1F27-9EDE-428A-AC7C-26889D75057F}" uniqueName="1" name="authors" queryTableFieldId="1" dataDxfId="196"/>
    <tableColumn id="2" xr3:uid="{505CCE20-F93F-4170-A6E6-9D36D8C844FA}" uniqueName="2" name="title" queryTableFieldId="2" dataDxfId="195"/>
    <tableColumn id="3" xr3:uid="{1F67B64B-0974-4002-897E-25E4A6075007}" uniqueName="3" name="year" queryTableFieldId="3"/>
    <tableColumn id="4" xr3:uid="{E2FAC1A4-4FFB-477A-B52B-1F8DD4B5F1BC}" uniqueName="4" name="url" queryTableFieldId="4" dataDxfId="194"/>
    <tableColumn id="5" xr3:uid="{EAF40B4C-1F40-4E2A-9D81-B0EAF4B60A0E}" uniqueName="5" name="issn" queryTableFieldId="5" dataDxfId="193"/>
    <tableColumn id="6" xr3:uid="{5FE3F83B-F23B-4538-917C-BB1C350E32C6}" uniqueName="6" name="doi" queryTableFieldId="6" dataDxfId="192"/>
    <tableColumn id="7" xr3:uid="{8EF22D2C-0E18-4211-90D3-010773BE2485}" uniqueName="7" name="abstract" queryTableFieldId="7" dataDxfId="191"/>
    <tableColumn id="8" xr3:uid="{D7091FCC-8125-4BE2-9858-7192A743371E}" uniqueName="8" name="numpages" queryTableFieldId="8"/>
    <tableColumn id="9" xr3:uid="{79955FB1-1D3D-437C-A44D-4483487E0488}" uniqueName="9" name="keywords" queryTableFieldId="9" dataDxfId="190"/>
    <tableColumn id="10" xr3:uid="{01BB5FBE-CEA2-49A6-AEE1-5D8234C9EBF6}" uniqueName="10" name="URL Title" queryTableFieldId="10" dataDxfId="189">
      <calculatedColumnFormula>HYPERLINK($D2,$B2)</calculatedColumnFormula>
    </tableColumn>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77EF6E-C37F-4769-AAA2-D24F447F143F}" name="citations_studies_iter2" displayName="citations_studies_iter2" ref="A1:J178" tableType="queryTable" totalsRowShown="0">
  <autoFilter ref="A1:J178" xr:uid="{8D77EF6E-C37F-4769-AAA2-D24F447F143F}"/>
  <tableColumns count="10">
    <tableColumn id="1" xr3:uid="{B2E7BC79-AE6D-4B47-AE2E-25F7EEDD9DFE}" uniqueName="1" name="authors" queryTableFieldId="1" dataDxfId="188"/>
    <tableColumn id="2" xr3:uid="{42709C88-0647-42A0-B660-B769E2241ED2}" uniqueName="2" name="title" queryTableFieldId="2" dataDxfId="187"/>
    <tableColumn id="3" xr3:uid="{0339FC30-1878-456E-81A2-F9DA691AD75B}" uniqueName="3" name="year" queryTableFieldId="3"/>
    <tableColumn id="4" xr3:uid="{F09D95CD-A70A-4291-A460-5F06AF9A0137}" uniqueName="4" name="url" queryTableFieldId="4" dataDxfId="186"/>
    <tableColumn id="5" xr3:uid="{08CE9EC1-AC04-4E68-BF33-A1756E188521}" uniqueName="5" name="issn" queryTableFieldId="5" dataDxfId="185"/>
    <tableColumn id="6" xr3:uid="{86512C9F-C73F-4037-96D4-973054CEE3F2}" uniqueName="6" name="doi" queryTableFieldId="6" dataDxfId="184"/>
    <tableColumn id="7" xr3:uid="{8C50888C-AE0D-449F-BF5F-CAC945DB8799}" uniqueName="7" name="abstract" queryTableFieldId="7" dataDxfId="183"/>
    <tableColumn id="8" xr3:uid="{CE90600A-8BF1-480D-857E-D92DDA935BDF}" uniqueName="8" name="numpages" queryTableFieldId="8"/>
    <tableColumn id="9" xr3:uid="{1788C2C6-24DD-446C-AA62-58938F054F57}" uniqueName="9" name="keywords" queryTableFieldId="9" dataDxfId="182"/>
    <tableColumn id="10" xr3:uid="{4844A089-EA4C-4C26-8F66-9D5D5FDF80BE}" uniqueName="10" name="URL Title" queryTableFieldId="10" dataDxfId="181">
      <calculatedColumnFormula>HYPERLINK($D2,$B2)</calculatedColumnFormula>
    </tableColumn>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44AA9F-247D-4859-9317-46CC8B3CD2C2}" name="references_studies_iter2" displayName="references_studies_iter2" ref="A1:J42" tableType="queryTable" totalsRowShown="0">
  <autoFilter ref="A1:J42" xr:uid="{8244AA9F-247D-4859-9317-46CC8B3CD2C2}"/>
  <tableColumns count="10">
    <tableColumn id="1" xr3:uid="{1D36C9FC-9BED-43CF-93CA-F5D0717E17AD}" uniqueName="1" name="authors" queryTableFieldId="1" dataDxfId="180"/>
    <tableColumn id="2" xr3:uid="{F0646551-378E-4AE6-9D51-784543546CAD}" uniqueName="2" name="title" queryTableFieldId="2" dataDxfId="179"/>
    <tableColumn id="3" xr3:uid="{D2D90E7F-7CC7-4A73-97B9-FAFFCBA05845}" uniqueName="3" name="year" queryTableFieldId="3"/>
    <tableColumn id="4" xr3:uid="{3FAE3776-4E5B-4249-8205-3D038B8C38B6}" uniqueName="4" name="url" queryTableFieldId="4" dataDxfId="178"/>
    <tableColumn id="5" xr3:uid="{7981DC60-93CE-479C-B8C1-7943A713BB18}" uniqueName="5" name="issn" queryTableFieldId="5" dataDxfId="177"/>
    <tableColumn id="6" xr3:uid="{3D0886D7-6FD1-4E10-9156-287C22B3ABBE}" uniqueName="6" name="doi" queryTableFieldId="6" dataDxfId="176"/>
    <tableColumn id="7" xr3:uid="{FA01D49B-4F7D-4D12-8837-B0CEE1E2DF2B}" uniqueName="7" name="abstract" queryTableFieldId="7" dataDxfId="175"/>
    <tableColumn id="8" xr3:uid="{C6FA36A2-8611-44E6-89A5-1B0546C3C841}" uniqueName="8" name="numpages" queryTableFieldId="8"/>
    <tableColumn id="9" xr3:uid="{B993BA75-3366-443F-B068-41BDE8563B2B}" uniqueName="9" name="keywords" queryTableFieldId="9" dataDxfId="174"/>
    <tableColumn id="10" xr3:uid="{20F6E041-9D33-4729-B9A4-E265C6142CE2}" uniqueName="10" name="URL Title" queryTableFieldId="10" dataDxfId="173">
      <calculatedColumnFormula>HYPERLINK($D2,$B2)</calculatedColumnFormula>
    </tableColumn>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1CA40D-5FB8-4B1A-9252-CA3ED7918731}" name="citations_studies_iter3" displayName="citations_studies_iter3" ref="A1:J24" tableType="queryTable" totalsRowShown="0">
  <autoFilter ref="A1:J24" xr:uid="{601CA40D-5FB8-4B1A-9252-CA3ED7918731}"/>
  <tableColumns count="10">
    <tableColumn id="1" xr3:uid="{3AF32051-CC6A-4BCF-8168-2C1C620BEF5F}" uniqueName="1" name="authors" queryTableFieldId="1" dataDxfId="172"/>
    <tableColumn id="2" xr3:uid="{A1847C82-FF07-44A8-9ABF-829E165369FC}" uniqueName="2" name="title" queryTableFieldId="2" dataDxfId="171"/>
    <tableColumn id="3" xr3:uid="{15C400FA-2B4E-4A69-99C3-85B313FD7D33}" uniqueName="3" name="year" queryTableFieldId="3"/>
    <tableColumn id="4" xr3:uid="{2EA0E93F-DA5E-4221-97F2-145FFFF4047C}" uniqueName="4" name="url" queryTableFieldId="4" dataDxfId="170"/>
    <tableColumn id="5" xr3:uid="{B23B6C9C-A391-477F-9AD1-96F589E38AC3}" uniqueName="5" name="issn" queryTableFieldId="5" dataDxfId="169"/>
    <tableColumn id="6" xr3:uid="{CBBFFC18-C2D6-44EA-A9A7-288CBA4131B0}" uniqueName="6" name="doi" queryTableFieldId="6" dataDxfId="168"/>
    <tableColumn id="7" xr3:uid="{2E3EB624-18B7-46C6-9DC9-C8D3CDA69958}" uniqueName="7" name="abstract" queryTableFieldId="7" dataDxfId="167"/>
    <tableColumn id="8" xr3:uid="{78FA7C04-8CDD-437A-8818-09E67A5DC1B4}" uniqueName="8" name="numpages" queryTableFieldId="8"/>
    <tableColumn id="9" xr3:uid="{1888128E-29F7-43F9-BF51-9A743FFA0AA3}" uniqueName="9" name="keywords" queryTableFieldId="9" dataDxfId="166"/>
    <tableColumn id="10" xr3:uid="{25A4648D-34F7-4700-8105-207705BD340C}" uniqueName="10" name="URL Title" queryTableFieldId="10" dataDxfId="165">
      <calculatedColumnFormula>HYPERLINK($D2,$B2)</calculatedColumnFormula>
    </tableColumn>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E43AC95-52BA-4DC6-AC8C-79E1C8F00AA4}" name="references_studies_iter3" displayName="references_studies_iter3" ref="A1:J20" tableType="queryTable" totalsRowShown="0">
  <autoFilter ref="A1:J20" xr:uid="{8E43AC95-52BA-4DC6-AC8C-79E1C8F00AA4}"/>
  <tableColumns count="10">
    <tableColumn id="1" xr3:uid="{4497491D-27E3-4F81-883B-39CBFDB8FF22}" uniqueName="1" name="authors" queryTableFieldId="1" dataDxfId="164"/>
    <tableColumn id="2" xr3:uid="{6F7AD825-51CB-4F48-90B7-3DA9467BEE85}" uniqueName="2" name="title" queryTableFieldId="2" dataDxfId="163"/>
    <tableColumn id="3" xr3:uid="{1566E6F9-721A-435E-9857-7581253BF40E}" uniqueName="3" name="year" queryTableFieldId="3"/>
    <tableColumn id="4" xr3:uid="{B94E42C7-DD19-43C8-8FE4-1AA4B72D9081}" uniqueName="4" name="url" queryTableFieldId="4" dataDxfId="162"/>
    <tableColumn id="5" xr3:uid="{EBBD2A19-4E85-4EEE-A3D0-BC6310584A95}" uniqueName="5" name="issn" queryTableFieldId="5" dataDxfId="161"/>
    <tableColumn id="6" xr3:uid="{61842632-AF91-4171-8D39-41F663B014FD}" uniqueName="6" name="doi" queryTableFieldId="6" dataDxfId="160"/>
    <tableColumn id="7" xr3:uid="{7DD1019A-DB2D-440A-A320-1CC7B28E23B6}" uniqueName="7" name="abstract" queryTableFieldId="7" dataDxfId="159"/>
    <tableColumn id="8" xr3:uid="{5A8B82DE-8FFC-468C-94D1-7BF69BC01267}" uniqueName="8" name="numpages" queryTableFieldId="8"/>
    <tableColumn id="9" xr3:uid="{E6404DDF-00AF-4F82-9785-AD5EB9BB9EB5}" uniqueName="9" name="keywords" queryTableFieldId="9" dataDxfId="158"/>
    <tableColumn id="10" xr3:uid="{FE6818C5-5D91-46CC-9CEB-9293A80FC46F}" uniqueName="10" name="URL Title" queryTableFieldId="10" dataDxfId="157">
      <calculatedColumnFormula>HYPERLINK($D2,$B2)</calculatedColumnFormula>
    </tableColumn>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8D8F50-ABF3-4390-963C-FFCAA2C8A784}" name="export2026_02_10_12_43_40" displayName="export2026_02_10_12_43_40" ref="A1:AE108" tableType="queryTable" totalsRowShown="0">
  <autoFilter ref="A1:AE108" xr:uid="{038D8F50-ABF3-4390-963C-FFCAA2C8A784}"/>
  <tableColumns count="31">
    <tableColumn id="1" xr3:uid="{D38C52C4-0910-4BC1-BBE8-389EFB80DBC6}" uniqueName="1" name="Document Title" queryTableFieldId="1" dataDxfId="156"/>
    <tableColumn id="2" xr3:uid="{F0BAF547-35AC-4803-A70E-66E030374656}" uniqueName="2" name="Authors" queryTableFieldId="2" dataDxfId="155"/>
    <tableColumn id="3" xr3:uid="{98C438FC-1C0A-4542-9CC5-F75058AF1228}" uniqueName="3" name="Author Affiliations" queryTableFieldId="3" dataDxfId="154"/>
    <tableColumn id="4" xr3:uid="{6AC922CF-5145-4D89-B045-997F6725BBF3}" uniqueName="4" name="Publication Title" queryTableFieldId="4" dataDxfId="153"/>
    <tableColumn id="5" xr3:uid="{106AC176-5501-4B44-B516-B95A53952A65}" uniqueName="5" name="Date Added To Xplore" queryTableFieldId="5" dataDxfId="152"/>
    <tableColumn id="6" xr3:uid="{87896B4D-0CD2-4037-9CDD-B4BFBDED03C1}" uniqueName="6" name="Publication Year" queryTableFieldId="6"/>
    <tableColumn id="7" xr3:uid="{39E136C3-A605-4FF3-A646-AFDB959B6832}" uniqueName="7" name="Volume" queryTableFieldId="7" dataDxfId="151"/>
    <tableColumn id="8" xr3:uid="{C6E603BF-15BA-4846-8C6A-991E75852ECD}" uniqueName="8" name="Issue" queryTableFieldId="8"/>
    <tableColumn id="9" xr3:uid="{C9448214-0468-434C-9C56-E4402EC1DB24}" uniqueName="9" name="Start Page" queryTableFieldId="9" dataDxfId="150"/>
    <tableColumn id="10" xr3:uid="{3FB8695A-9A60-472F-ACC0-197C02B568B6}" uniqueName="10" name="End Page" queryTableFieldId="10" dataDxfId="149"/>
    <tableColumn id="11" xr3:uid="{E91557A3-8C04-4BB9-ACBE-4F260DB9BFBA}" uniqueName="11" name="Abstract" queryTableFieldId="11" dataDxfId="148"/>
    <tableColumn id="12" xr3:uid="{91615A29-E6B5-4035-B87E-A897CA709136}" uniqueName="12" name="ISSN" queryTableFieldId="12" dataDxfId="147"/>
    <tableColumn id="13" xr3:uid="{78643838-6FDB-4B13-A14F-9F3B0EFB77E5}" uniqueName="13" name="ISBNs" queryTableFieldId="13" dataDxfId="146"/>
    <tableColumn id="14" xr3:uid="{8B0DC1BB-B6E5-4263-B53D-40789E1EB852}" uniqueName="14" name="DOI" queryTableFieldId="14" dataDxfId="145"/>
    <tableColumn id="15" xr3:uid="{F944881D-C726-424A-884E-A5562767F02C}" uniqueName="15" name="Funding Information" queryTableFieldId="15" dataDxfId="144"/>
    <tableColumn id="16" xr3:uid="{6173B018-EBBE-4933-AEAE-82181A387D85}" uniqueName="16" name="PDF Link" queryTableFieldId="16" dataDxfId="143"/>
    <tableColumn id="17" xr3:uid="{7727D616-E78B-44D5-912B-A3896C18ED06}" uniqueName="17" name="Author Keywords" queryTableFieldId="17" dataDxfId="142"/>
    <tableColumn id="18" xr3:uid="{08151419-FF2D-436A-8494-6D057FFD18BD}" uniqueName="18" name="IEEE Terms" queryTableFieldId="18" dataDxfId="141"/>
    <tableColumn id="19" xr3:uid="{1417DC2C-2AC5-4FC3-860F-3EC44742B7E1}" uniqueName="19" name="Mesh_Terms" queryTableFieldId="19" dataDxfId="140"/>
    <tableColumn id="20" xr3:uid="{84E7975E-30D2-418C-91EE-973537757E7B}" uniqueName="20" name="Article Citation Count" queryTableFieldId="20"/>
    <tableColumn id="21" xr3:uid="{39B504DB-F599-4A98-91A1-7EF7FD9850CB}" uniqueName="21" name="Patent Citation Count" queryTableFieldId="21" dataDxfId="139"/>
    <tableColumn id="22" xr3:uid="{3BD34F9A-BC01-45FB-BAA4-7A5A0A6CB29B}" uniqueName="22" name="Reference Count" queryTableFieldId="22"/>
    <tableColumn id="23" xr3:uid="{876EB744-551A-4C66-B1F1-9D6F3C8BA53B}" uniqueName="23" name="License" queryTableFieldId="23" dataDxfId="138"/>
    <tableColumn id="24" xr3:uid="{2618D56A-BE9A-49A4-AC6F-D268DF18B536}" uniqueName="24" name="Online Date" queryTableFieldId="24" dataDxfId="137"/>
    <tableColumn id="25" xr3:uid="{6644EC7B-AA62-43C9-BF53-308E09054114}" uniqueName="25" name="Issue Date" queryTableFieldId="25" dataDxfId="136"/>
    <tableColumn id="26" xr3:uid="{95C13EF8-9930-440A-99D8-ABD0BD6330EA}" uniqueName="26" name="Meeting Date" queryTableFieldId="26" dataDxfId="135"/>
    <tableColumn id="27" xr3:uid="{7919D01C-B256-4294-8A52-F47B6BF1B218}" uniqueName="27" name="Publisher" queryTableFieldId="27" dataDxfId="134"/>
    <tableColumn id="28" xr3:uid="{17C96290-721B-483F-ADF0-CA71E3A2BAF6}" uniqueName="28" name="Document Identifier" queryTableFieldId="28" dataDxfId="133"/>
    <tableColumn id="29" xr3:uid="{F6EA233F-6C2B-4FCD-9733-133D8E65DDDC}" uniqueName="29" name="Page Count" queryTableFieldId="29" dataDxfId="132">
      <calculatedColumnFormula>($J2-$I2)+1</calculatedColumnFormula>
    </tableColumn>
    <tableColumn id="30" xr3:uid="{248DD925-FFD4-4EFA-9091-0E47A56EC5C2}" uniqueName="30" name="Column1" queryTableFieldId="30" dataDxfId="131"/>
    <tableColumn id="31" xr3:uid="{D5B2FC65-418D-43DC-9F89-3BABBAFC95DB}" uniqueName="31" name="Hyperlink Title" queryTableFieldId="31" dataDxfId="130">
      <calculatedColumnFormula>HYPERLINK($P2,$A2)</calculatedColumnFormula>
    </tableColumn>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9062ACC-26F1-445D-BB73-35A477E6A26B}" name="scopus_export_Feb_10_2026_62abb5fd_7365_4391_bb25_cabc5b624cc7" displayName="scopus_export_Feb_10_2026_62abb5fd_7365_4391_bb25_cabc5b624cc7" ref="A1:U33" tableType="queryTable" totalsRowShown="0">
  <autoFilter ref="A1:U33" xr:uid="{89062ACC-26F1-445D-BB73-35A477E6A26B}"/>
  <tableColumns count="21">
    <tableColumn id="1" xr3:uid="{0B3F1605-4836-4FD4-A10D-9BBA123C2578}" uniqueName="1" name="Authors" queryTableFieldId="1" dataDxfId="129"/>
    <tableColumn id="2" xr3:uid="{F45DAEAF-F595-4BF4-BBD0-F57D0490731C}" uniqueName="2" name="Author full names" queryTableFieldId="2" dataDxfId="128"/>
    <tableColumn id="3" xr3:uid="{7F63ADCD-71BA-461F-919B-E89C20DE42B8}" uniqueName="3" name="Author(s) ID" queryTableFieldId="3" dataDxfId="127"/>
    <tableColumn id="4" xr3:uid="{3B9B011B-6A74-45D6-9E84-291E34CCB21B}" uniqueName="4" name="Title" queryTableFieldId="4" dataDxfId="126"/>
    <tableColumn id="5" xr3:uid="{596864F3-368F-4BC5-A342-1124D6679A6D}" uniqueName="5" name="Year" queryTableFieldId="5"/>
    <tableColumn id="6" xr3:uid="{81B1631B-AAFA-4445-BB9F-BCE5F3383DAF}" uniqueName="6" name="Source title" queryTableFieldId="6" dataDxfId="125"/>
    <tableColumn id="7" xr3:uid="{4F2F228B-09D8-44B7-BD79-A51A0F873D38}" uniqueName="7" name="Volume" queryTableFieldId="7" dataDxfId="124"/>
    <tableColumn id="8" xr3:uid="{6CAD4E44-189D-428C-A707-54100CDC9B55}" uniqueName="8" name="Issue" queryTableFieldId="8"/>
    <tableColumn id="9" xr3:uid="{78B7A851-9808-494A-849F-C5E0592A965A}" uniqueName="9" name="Art. No." queryTableFieldId="9" dataDxfId="123"/>
    <tableColumn id="10" xr3:uid="{38236B47-D46D-48BB-9ED2-EE97910C2B3B}" uniqueName="10" name="Page start" queryTableFieldId="10"/>
    <tableColumn id="11" xr3:uid="{6819D1B1-2CC4-43EC-9E5A-BB8295F09528}" uniqueName="11" name="Page end" queryTableFieldId="11"/>
    <tableColumn id="12" xr3:uid="{54D836E2-C995-4951-AE69-C1AE3BD40186}" uniqueName="12" name="Cited by" queryTableFieldId="12"/>
    <tableColumn id="13" xr3:uid="{7EAC3C9E-DA75-4716-AB4D-BFC76BA6E12F}" uniqueName="13" name="DOI" queryTableFieldId="13" dataDxfId="122"/>
    <tableColumn id="14" xr3:uid="{C4EEBF7C-09CE-4BCC-8D17-B410D27EE0CF}" uniqueName="14" name="Link" queryTableFieldId="14" dataDxfId="121"/>
    <tableColumn id="15" xr3:uid="{4BA2033F-242B-4165-BE4E-CDECC7E75A21}" uniqueName="15" name="Abstract" queryTableFieldId="15" dataDxfId="120"/>
    <tableColumn id="16" xr3:uid="{08C181F6-CB16-4338-97A5-B2A43D39C97F}" uniqueName="16" name="Publisher" queryTableFieldId="16" dataDxfId="119"/>
    <tableColumn id="17" xr3:uid="{DEA8C770-2956-4815-971F-592A4DC30C9C}" uniqueName="17" name="Document Type" queryTableFieldId="17" dataDxfId="118"/>
    <tableColumn id="18" xr3:uid="{2AC9A40F-0653-4AB8-A607-F93007F782B0}" uniqueName="18" name="Publication Stage" queryTableFieldId="18" dataDxfId="117"/>
    <tableColumn id="19" xr3:uid="{E46D725C-7404-4713-848F-571D549225B8}" uniqueName="19" name="Open Access" queryTableFieldId="19" dataDxfId="116"/>
    <tableColumn id="20" xr3:uid="{A89D5F8C-AD86-44AB-94BF-29028A73075F}" uniqueName="20" name="Source" queryTableFieldId="20" dataDxfId="115"/>
    <tableColumn id="21" xr3:uid="{6E6622A5-FFB2-4EEB-9524-C1CD25ED8C0F}" uniqueName="21" name="EID" queryTableFieldId="21" dataDxfId="114"/>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B1B80C-3A3C-4800-B3EE-F16EFFF1B2D9}" name="acm__2" displayName="acm__2" ref="A1:I42" tableType="queryTable" totalsRowShown="0">
  <autoFilter ref="A1:I42" xr:uid="{E1B1B80C-3A3C-4800-B3EE-F16EFFF1B2D9}"/>
  <tableColumns count="9">
    <tableColumn id="1" xr3:uid="{37379C27-FB2D-4512-B781-D25DB0693ABF}" uniqueName="1" name="authors" queryTableFieldId="1" dataDxfId="113"/>
    <tableColumn id="2" xr3:uid="{6254F304-A6D3-4820-A821-8892BE76F4D1}" uniqueName="2" name="title" queryTableFieldId="2" dataDxfId="112"/>
    <tableColumn id="3" xr3:uid="{6B54730B-991D-4D6E-B26F-F9FEB0FDC656}" uniqueName="3" name="year" queryTableFieldId="3"/>
    <tableColumn id="4" xr3:uid="{5BA385C9-338E-4F0C-B6CE-B86ABF6068F2}" uniqueName="4" name="url" queryTableFieldId="4" dataDxfId="111"/>
    <tableColumn id="5" xr3:uid="{FF45AC85-969B-403C-BC3B-F4322E488BA4}" uniqueName="5" name="issn" queryTableFieldId="5" dataDxfId="110"/>
    <tableColumn id="6" xr3:uid="{4E42D532-E52F-49FD-9D45-9ADC6EF47FAC}" uniqueName="6" name="doi" queryTableFieldId="6" dataDxfId="109"/>
    <tableColumn id="7" xr3:uid="{55E96036-0916-4001-B8F2-9B26151E9D2C}" uniqueName="7" name="abstract" queryTableFieldId="7" dataDxfId="108"/>
    <tableColumn id="8" xr3:uid="{B8F62669-587F-4CB6-B1F3-84B0511C6FCA}" uniqueName="8" name="numpages" queryTableFieldId="8"/>
    <tableColumn id="9" xr3:uid="{80C8B871-FC11-4C1B-B161-418A2863DCA7}" uniqueName="9" name="keywords" queryTableFieldId="9" dataDxfId="10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BB repositioning">
      <a:dk1>
        <a:srgbClr val="000000"/>
      </a:dk1>
      <a:lt1>
        <a:srgbClr val="FFFFFF"/>
      </a:lt1>
      <a:dk2>
        <a:srgbClr val="6764F6"/>
      </a:dk2>
      <a:lt2>
        <a:srgbClr val="FF000F"/>
      </a:lt2>
      <a:accent1>
        <a:srgbClr val="262626"/>
      </a:accent1>
      <a:accent2>
        <a:srgbClr val="6E6E6E"/>
      </a:accent2>
      <a:accent3>
        <a:srgbClr val="A9A9A9"/>
      </a:accent3>
      <a:accent4>
        <a:srgbClr val="D2D2D2"/>
      </a:accent4>
      <a:accent5>
        <a:srgbClr val="F0F0F0"/>
      </a:accent5>
      <a:accent6>
        <a:srgbClr val="FAFAFA"/>
      </a:accent6>
      <a:hlink>
        <a:srgbClr val="FF000F"/>
      </a:hlink>
      <a:folHlink>
        <a:srgbClr val="6E6E6E"/>
      </a:folHlink>
    </a:clrScheme>
    <a:fontScheme name="ABB">
      <a:majorFont>
        <a:latin typeface="ABBvoice Medium"/>
        <a:ea typeface=""/>
        <a:cs typeface=""/>
      </a:majorFont>
      <a:minorFont>
        <a:latin typeface="ABBvoi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Chart 1">
      <a:srgbClr val="FF000F"/>
    </a:custClr>
    <a:custClr name="Chart 2">
      <a:srgbClr val="FF957E"/>
    </a:custClr>
    <a:custClr name="Chart 3">
      <a:srgbClr val="FFDCCD"/>
    </a:custClr>
    <a:custClr name="Chart 4">
      <a:srgbClr val="6764F6"/>
    </a:custClr>
    <a:custClr name="Chart 5">
      <a:srgbClr val="93A1FF"/>
    </a:custClr>
    <a:custClr name="Chart 6">
      <a:srgbClr val="E4E7FF"/>
    </a:custClr>
    <a:custClr>
      <a:srgbClr val="FFFFFF"/>
    </a:custClr>
    <a:custClr>
      <a:srgbClr val="FFFFFF"/>
    </a:custClr>
    <a:custClr>
      <a:srgbClr val="FFFFFF"/>
    </a:custClr>
    <a:custClr>
      <a:srgbClr val="FFFFFF"/>
    </a:custClr>
    <a:custClr name="Chart 7">
      <a:srgbClr val="000000"/>
    </a:custClr>
    <a:custClr name="Chart 8">
      <a:srgbClr val="6E6E6E"/>
    </a:custClr>
    <a:custClr name="Chart 9">
      <a:srgbClr val="A9A9A9"/>
    </a:custClr>
    <a:custClr name="Chart 10">
      <a:srgbClr val="D2D2D2"/>
    </a:custClr>
    <a:custClr name="Chart 11">
      <a:srgbClr val="F0F0F0"/>
    </a:custClr>
    <a:custClr>
      <a:srgbClr val="FFFFFF"/>
    </a:custClr>
    <a:custClr>
      <a:srgbClr val="FFFFFF"/>
    </a:custClr>
    <a:custClr>
      <a:srgbClr val="FFFFFF"/>
    </a:custClr>
    <a:custClr>
      <a:srgbClr val="FFFFFF"/>
    </a:custClr>
    <a:custClr>
      <a:srgbClr val="FFFFFF"/>
    </a:custClr>
    <a:custClr name="Blue">
      <a:srgbClr val="004C97"/>
    </a:custClr>
    <a:custClr name="Green">
      <a:srgbClr val="007A33"/>
    </a:custClr>
    <a:custClr name="Yellow">
      <a:srgbClr val="FFD100"/>
    </a:custClr>
  </a:custClr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6-02-05T16:10:42.38" personId="{00000000-0000-0000-0000-000000000000}" id="{B84E6948-E8D3-4263-A980-6A7747F31C83}">
    <text>The study have a industrial fous</text>
  </threadedComment>
</ThreadedComments>
</file>

<file path=xl/threadedComments/threadedComment2.xml><?xml version="1.0" encoding="utf-8"?>
<ThreadedComments xmlns="http://schemas.microsoft.com/office/spreadsheetml/2018/threadedcomments" xmlns:x="http://schemas.openxmlformats.org/spreadsheetml/2006/main">
  <threadedComment ref="O38" dT="2026-01-30T14:21:36.36" personId="{00000000-0000-0000-0000-000000000000}" id="{A8F69233-44E2-4D1A-BFC7-10F67481D66B}">
    <text xml:space="preserve">Unsure
</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2-13T08:41:00.41" personId="{00000000-0000-0000-0000-000000000000}" id="{A04AF965-84B7-4B2A-B9B2-D2949A162F83}">
    <text>Filtering: only between 2016-2026, pages &gt;=5 OR 0 (num pages wasnt included), and no duplicates from previous screenings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www.webofscience.com/wos/woscc/summary/20f4f276-9994-4d06-9ec7-00cb6cdb4fbd-019ec4b417/relevance/1"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vmlDrawing" Target="../drawings/vmlDrawing2.v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9F35-FEB8-4488-AD0F-6314FFDC35A1}">
  <dimension ref="A1:I29"/>
  <sheetViews>
    <sheetView zoomScale="85" zoomScaleNormal="85" workbookViewId="0">
      <selection activeCell="B5" sqref="B5"/>
    </sheetView>
  </sheetViews>
  <sheetFormatPr defaultRowHeight="12.75"/>
  <cols>
    <col min="1" max="1" width="21" customWidth="1"/>
    <col min="2" max="2" width="69.140625" customWidth="1"/>
    <col min="4" max="4" width="33.42578125" customWidth="1"/>
    <col min="5" max="5" width="81.42578125" customWidth="1"/>
    <col min="6" max="6" width="16.42578125" customWidth="1"/>
  </cols>
  <sheetData>
    <row r="1" spans="1:8" ht="15.75">
      <c r="A1" s="3" t="s">
        <v>5</v>
      </c>
      <c r="B1" s="3" t="s">
        <v>0</v>
      </c>
      <c r="D1" s="3" t="s">
        <v>9</v>
      </c>
      <c r="E1" s="3" t="s">
        <v>0</v>
      </c>
    </row>
    <row r="2" spans="1:8" ht="45.75" customHeight="1">
      <c r="A2" s="1" t="s">
        <v>1491</v>
      </c>
      <c r="B2" s="1" t="s">
        <v>7</v>
      </c>
      <c r="D2" s="1" t="s">
        <v>10</v>
      </c>
      <c r="E2" s="1"/>
    </row>
    <row r="3" spans="1:8" ht="51">
      <c r="A3" s="1" t="s">
        <v>8</v>
      </c>
      <c r="B3" s="1"/>
      <c r="D3" s="1" t="s">
        <v>11</v>
      </c>
      <c r="E3" s="1"/>
    </row>
    <row r="4" spans="1:8" ht="63.75">
      <c r="A4" s="1" t="s">
        <v>1492</v>
      </c>
      <c r="B4" s="1"/>
      <c r="D4" s="1" t="s">
        <v>12</v>
      </c>
      <c r="E4" s="1"/>
    </row>
    <row r="5" spans="1:8" ht="63.75">
      <c r="A5" s="1" t="s">
        <v>1488</v>
      </c>
      <c r="B5" s="1" t="s">
        <v>1489</v>
      </c>
      <c r="D5" s="1" t="s">
        <v>13</v>
      </c>
      <c r="E5" s="1"/>
    </row>
    <row r="6" spans="1:8" ht="51">
      <c r="A6" s="1" t="s">
        <v>1490</v>
      </c>
      <c r="B6" s="1"/>
      <c r="D6" s="1" t="s">
        <v>14</v>
      </c>
      <c r="E6" s="1"/>
    </row>
    <row r="7" spans="1:8">
      <c r="B7" s="1"/>
      <c r="D7" s="1" t="s">
        <v>15</v>
      </c>
      <c r="E7" s="1"/>
    </row>
    <row r="8" spans="1:8" ht="76.5">
      <c r="A8" s="1"/>
      <c r="B8" s="1"/>
      <c r="D8" s="1" t="s">
        <v>16</v>
      </c>
      <c r="E8" s="1"/>
    </row>
    <row r="9" spans="1:8">
      <c r="A9" s="1"/>
      <c r="B9" s="1"/>
      <c r="D9" s="1"/>
      <c r="E9" s="1"/>
    </row>
    <row r="10" spans="1:8">
      <c r="A10" s="1"/>
    </row>
    <row r="11" spans="1:8">
      <c r="A11" s="1"/>
    </row>
    <row r="12" spans="1:8">
      <c r="A12" s="1"/>
    </row>
    <row r="13" spans="1:8" ht="13.5" thickBot="1">
      <c r="A13" s="1"/>
    </row>
    <row r="14" spans="1:8" ht="21" thickBot="1">
      <c r="A14" s="55" t="s">
        <v>20</v>
      </c>
      <c r="B14" s="56"/>
      <c r="C14" s="7"/>
      <c r="E14" s="57" t="s">
        <v>17</v>
      </c>
      <c r="F14" s="57"/>
      <c r="G14" s="57"/>
      <c r="H14" s="6"/>
    </row>
    <row r="15" spans="1:8">
      <c r="A15" s="2" t="s">
        <v>21</v>
      </c>
      <c r="B15" s="2" t="s">
        <v>22</v>
      </c>
      <c r="E15" s="4" t="s">
        <v>18</v>
      </c>
      <c r="F15" t="s">
        <v>26</v>
      </c>
      <c r="G15" t="s">
        <v>27</v>
      </c>
    </row>
    <row r="16" spans="1:8" ht="63.75">
      <c r="A16" s="1" t="s">
        <v>23</v>
      </c>
      <c r="B16" s="1" t="s">
        <v>5702</v>
      </c>
      <c r="E16" s="5"/>
    </row>
    <row r="17" spans="1:9" ht="38.25">
      <c r="A17" s="1" t="s">
        <v>24</v>
      </c>
      <c r="B17" s="1" t="s">
        <v>5703</v>
      </c>
      <c r="E17" t="s">
        <v>19</v>
      </c>
      <c r="F17" t="s">
        <v>2338</v>
      </c>
      <c r="G17">
        <v>107</v>
      </c>
      <c r="I17" t="s">
        <v>2339</v>
      </c>
    </row>
    <row r="18" spans="1:9" ht="76.5">
      <c r="A18" s="1" t="s">
        <v>25</v>
      </c>
      <c r="B18" s="1" t="s">
        <v>5705</v>
      </c>
      <c r="E18" t="s">
        <v>28</v>
      </c>
      <c r="F18" t="s">
        <v>2340</v>
      </c>
      <c r="G18">
        <v>32</v>
      </c>
      <c r="I18" t="s">
        <v>2341</v>
      </c>
    </row>
    <row r="19" spans="1:9" ht="16.5" customHeight="1">
      <c r="A19" s="1" t="s">
        <v>1488</v>
      </c>
      <c r="B19" s="1" t="s">
        <v>5704</v>
      </c>
      <c r="E19" t="s">
        <v>1166</v>
      </c>
      <c r="F19" s="1" t="s">
        <v>2359</v>
      </c>
      <c r="G19">
        <v>18</v>
      </c>
      <c r="I19" s="11" t="s">
        <v>2360</v>
      </c>
    </row>
    <row r="20" spans="1:9">
      <c r="A20" s="1"/>
      <c r="B20" s="1"/>
      <c r="E20" t="s">
        <v>1366</v>
      </c>
      <c r="F20" t="s">
        <v>2179</v>
      </c>
      <c r="G20">
        <v>41</v>
      </c>
      <c r="I20" s="11" t="s">
        <v>2178</v>
      </c>
    </row>
    <row r="21" spans="1:9">
      <c r="A21" s="1"/>
      <c r="B21" s="1"/>
    </row>
    <row r="22" spans="1:9">
      <c r="A22" s="1"/>
      <c r="B22" s="1"/>
    </row>
    <row r="23" spans="1:9">
      <c r="A23" s="1"/>
      <c r="B23" s="1"/>
    </row>
    <row r="24" spans="1:9">
      <c r="A24" s="1"/>
      <c r="B24" s="1"/>
    </row>
    <row r="25" spans="1:9">
      <c r="A25" s="1"/>
      <c r="B25" s="1"/>
    </row>
    <row r="26" spans="1:9">
      <c r="A26" s="1"/>
      <c r="B26" s="1"/>
    </row>
    <row r="27" spans="1:9">
      <c r="A27" s="1"/>
      <c r="B27" s="1"/>
    </row>
    <row r="28" spans="1:9">
      <c r="A28" s="1"/>
      <c r="B28" s="1"/>
    </row>
    <row r="29" spans="1:9">
      <c r="A29" s="1"/>
    </row>
  </sheetData>
  <mergeCells count="2">
    <mergeCell ref="A14:B14"/>
    <mergeCell ref="E14:G14"/>
  </mergeCells>
  <hyperlinks>
    <hyperlink ref="I19" r:id="rId1" xr:uid="{A5BA0F94-F6B4-4D39-AFF8-D7A9B5EB1E77}"/>
  </hyperlinks>
  <pageMargins left="0.7" right="0.7" top="0.75" bottom="0.75" header="0.3" footer="0.3"/>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C3673-463E-47A3-BDB8-5CFB31BE4FC9}">
  <dimension ref="A1:E385"/>
  <sheetViews>
    <sheetView workbookViewId="0">
      <selection activeCell="D199" sqref="D2:D199"/>
    </sheetView>
  </sheetViews>
  <sheetFormatPr defaultRowHeight="12.75"/>
  <cols>
    <col min="3" max="3" width="77.28515625" customWidth="1"/>
    <col min="7" max="7" width="9.140625" bestFit="1" customWidth="1"/>
    <col min="9" max="9" width="9.42578125" bestFit="1" customWidth="1"/>
  </cols>
  <sheetData>
    <row r="1" spans="1:4">
      <c r="A1" t="s">
        <v>1</v>
      </c>
      <c r="B1" t="s">
        <v>18</v>
      </c>
      <c r="C1" t="s">
        <v>2</v>
      </c>
      <c r="D1" t="s">
        <v>327</v>
      </c>
    </row>
    <row r="2" spans="1:4">
      <c r="A2">
        <v>0</v>
      </c>
      <c r="B2" t="s">
        <v>19</v>
      </c>
      <c r="C2" s="12" t="str">
        <f>HYPERLINK(IEEE_NEW!$P2, IEEE_NEW!$A2)</f>
        <v>Towards a modular security testing framework for industrial automation and control systems: ISuTest</v>
      </c>
      <c r="D2" s="13">
        <f>IEEE_NEW!$AC2</f>
        <v>5</v>
      </c>
    </row>
    <row r="3" spans="1:4">
      <c r="A3">
        <v>1</v>
      </c>
      <c r="B3" t="s">
        <v>19</v>
      </c>
      <c r="C3" s="12" t="str">
        <f>HYPERLINK(IEEE_NEW!$P3, IEEE_NEW!$A3)</f>
        <v>VTET: A Virtual Industrial Control System Testbed for Cyber Security Research</v>
      </c>
      <c r="D3" s="13">
        <f>IEEE_NEW!$AC3</f>
        <v>7</v>
      </c>
    </row>
    <row r="4" spans="1:4">
      <c r="A4">
        <v>2</v>
      </c>
      <c r="B4" t="s">
        <v>19</v>
      </c>
      <c r="C4" s="12" t="str">
        <f>HYPERLINK(IEEE_NEW!$P4, IEEE_NEW!$A4)</f>
        <v>The SAir-IIoT Cyber Testbed as a Service: A Novel Cybertwins Architecture in IIoT-Based Smart Airports</v>
      </c>
      <c r="D4" s="13">
        <f>IEEE_NEW!$AC4</f>
        <v>14</v>
      </c>
    </row>
    <row r="5" spans="1:4">
      <c r="A5">
        <v>3</v>
      </c>
      <c r="B5" t="s">
        <v>19</v>
      </c>
      <c r="C5" s="12" t="str">
        <f>HYPERLINK(IEEE_NEW!$P5, IEEE_NEW!$A5)</f>
        <v>Test Bed Development for a Security Engineered SCADA Laboratory</v>
      </c>
      <c r="D5" s="13">
        <f>IEEE_NEW!$AC5</f>
        <v>5</v>
      </c>
    </row>
    <row r="6" spans="1:4">
      <c r="A6">
        <v>4</v>
      </c>
      <c r="B6" t="s">
        <v>19</v>
      </c>
      <c r="C6" s="12" t="str">
        <f>HYPERLINK(IEEE_NEW!$P6, IEEE_NEW!$A6)</f>
        <v>Industrial Internet of Things (IIoT): Testbed and Datasets for CyberSecurity and Digital Forensics</v>
      </c>
      <c r="D6" s="13">
        <f>IEEE_NEW!$AC6</f>
        <v>10</v>
      </c>
    </row>
    <row r="7" spans="1:4">
      <c r="A7">
        <v>5</v>
      </c>
      <c r="B7" t="s">
        <v>19</v>
      </c>
      <c r="C7" s="12" t="str">
        <f>HYPERLINK(IEEE_NEW!$P7, IEEE_NEW!$A7)</f>
        <v>Improving Substation Network Security with DevSecOps and AIOps</v>
      </c>
      <c r="D7" s="13">
        <f>IEEE_NEW!$AC7</f>
        <v>6</v>
      </c>
    </row>
    <row r="8" spans="1:4">
      <c r="A8">
        <v>6</v>
      </c>
      <c r="B8" t="s">
        <v>19</v>
      </c>
      <c r="C8" s="12" t="str">
        <f>HYPERLINK(IEEE_NEW!$P8, IEEE_NEW!$A8)</f>
        <v>Performance Evaluation of MQTT and CoAP Communication Protocols in IIoT for Electrical Substations Based on the IEC 61850 Standard</v>
      </c>
      <c r="D8" s="13">
        <f>IEEE_NEW!$AC8</f>
        <v>6</v>
      </c>
    </row>
    <row r="9" spans="1:4">
      <c r="A9">
        <v>7</v>
      </c>
      <c r="B9" t="s">
        <v>19</v>
      </c>
      <c r="C9" s="12" t="str">
        <f>HYPERLINK(IEEE_NEW!$P9, IEEE_NEW!$A9)</f>
        <v>Behavior and Vulnerability Assessment of Drones-Enabled Industrial Internet of Things (IIoT)</v>
      </c>
      <c r="D9" s="13">
        <f>IEEE_NEW!$AC9</f>
        <v>16</v>
      </c>
    </row>
    <row r="10" spans="1:4">
      <c r="A10">
        <v>8</v>
      </c>
      <c r="B10" t="s">
        <v>19</v>
      </c>
      <c r="C10" s="12" t="str">
        <f>HYPERLINK(IEEE_NEW!$P10, IEEE_NEW!$A10)</f>
        <v>Architecture of Modular System for Assessing Security of Telemetry Information Transmission System</v>
      </c>
      <c r="D10" s="13">
        <f>IEEE_NEW!$AC10</f>
        <v>6</v>
      </c>
    </row>
    <row r="11" spans="1:4">
      <c r="A11">
        <v>9</v>
      </c>
      <c r="B11" t="s">
        <v>19</v>
      </c>
      <c r="C11" s="12" t="str">
        <f>HYPERLINK(IEEE_NEW!$P11, IEEE_NEW!$A11)</f>
        <v>Developing a Security Testbed for Industrial Internet of Things</v>
      </c>
      <c r="D11" s="13">
        <f>IEEE_NEW!$AC11</f>
        <v>16</v>
      </c>
    </row>
    <row r="12" spans="1:4">
      <c r="A12">
        <v>10</v>
      </c>
      <c r="B12" t="s">
        <v>19</v>
      </c>
      <c r="C12" s="12" t="str">
        <f>HYPERLINK(IEEE_NEW!$P12, IEEE_NEW!$A12)</f>
        <v>SWaP: A Water Process Testbed for ICS Security Research</v>
      </c>
      <c r="D12" s="13">
        <f>IEEE_NEW!$AC12</f>
        <v>4</v>
      </c>
    </row>
    <row r="13" spans="1:4">
      <c r="A13">
        <v>11</v>
      </c>
      <c r="B13" t="s">
        <v>19</v>
      </c>
      <c r="C13" s="12" t="str">
        <f>HYPERLINK(IEEE_NEW!$P13, IEEE_NEW!$A13)</f>
        <v>A Comparative Analysis of Application Layer Protocols Within an Industrial Internet of Things Monitoring System</v>
      </c>
      <c r="D13" s="13">
        <f>IEEE_NEW!$AC13</f>
        <v>6</v>
      </c>
    </row>
    <row r="14" spans="1:4">
      <c r="A14">
        <v>12</v>
      </c>
      <c r="B14" t="s">
        <v>19</v>
      </c>
      <c r="C14" s="12" t="str">
        <f>HYPERLINK(IEEE_NEW!$P14, IEEE_NEW!$A14)</f>
        <v>Application of Industrial Internet of Things with Edge Computing and Artificial Intelligence Models</v>
      </c>
      <c r="D14" s="13">
        <f>IEEE_NEW!$AC14</f>
        <v>4</v>
      </c>
    </row>
    <row r="15" spans="1:4">
      <c r="A15">
        <v>13</v>
      </c>
      <c r="B15" t="s">
        <v>19</v>
      </c>
      <c r="C15" s="12" t="str">
        <f>HYPERLINK(IEEE_NEW!$P15, IEEE_NEW!$A15)</f>
        <v>A Cyber-Security Methodology for a Cyber-Physical Industrial Control System Testbed</v>
      </c>
      <c r="D15" s="13">
        <f>IEEE_NEW!$AC15</f>
        <v>15</v>
      </c>
    </row>
    <row r="16" spans="1:4">
      <c r="A16">
        <v>14</v>
      </c>
      <c r="B16" t="s">
        <v>19</v>
      </c>
      <c r="C16" s="12" t="str">
        <f>HYPERLINK(IEEE_NEW!$P16, IEEE_NEW!$A16)</f>
        <v>SCADA-SST: a SCADA security testbed</v>
      </c>
      <c r="D16" s="13">
        <f>IEEE_NEW!$AC16</f>
        <v>6</v>
      </c>
    </row>
    <row r="17" spans="1:4">
      <c r="A17">
        <v>15</v>
      </c>
      <c r="B17" t="s">
        <v>19</v>
      </c>
      <c r="C17" s="12" t="str">
        <f>HYPERLINK(IEEE_NEW!$P17, IEEE_NEW!$A17)</f>
        <v>Design and Implementation of Full-Scale Industrial Control System Test Bed for Assessing Cyber-Security Defenses</v>
      </c>
      <c r="D17" s="13">
        <f>IEEE_NEW!$AC17</f>
        <v>6</v>
      </c>
    </row>
    <row r="18" spans="1:4">
      <c r="A18">
        <v>16</v>
      </c>
      <c r="B18" t="s">
        <v>19</v>
      </c>
      <c r="C18" s="12" t="str">
        <f>HYPERLINK(IEEE_NEW!$P18, IEEE_NEW!$A18)</f>
        <v>A dual-standard solution for industrial Wireless Sensor Network deployment: Experimental testbed and performance evaluation</v>
      </c>
      <c r="D18" s="13">
        <f>IEEE_NEW!$AC18</f>
        <v>9</v>
      </c>
    </row>
    <row r="19" spans="1:4">
      <c r="A19">
        <v>17</v>
      </c>
      <c r="B19" t="s">
        <v>19</v>
      </c>
      <c r="C19" s="12" t="str">
        <f>HYPERLINK(IEEE_NEW!$P19, IEEE_NEW!$A19)</f>
        <v>Enhancing Industrial Communication Protocol Fuzz Testing Through Virtualization And Intelligent Guidance</v>
      </c>
      <c r="D19" s="13">
        <f>IEEE_NEW!$AC19</f>
        <v>5</v>
      </c>
    </row>
    <row r="20" spans="1:4">
      <c r="A20">
        <v>18</v>
      </c>
      <c r="B20" t="s">
        <v>19</v>
      </c>
      <c r="C20" s="12" t="str">
        <f>HYPERLINK(IEEE_NEW!$P20, IEEE_NEW!$A20)</f>
        <v>A virtual testbed for security management of industrial control systems</v>
      </c>
      <c r="D20" s="13">
        <f>IEEE_NEW!$AC20</f>
        <v>6</v>
      </c>
    </row>
    <row r="21" spans="1:4">
      <c r="A21">
        <v>19</v>
      </c>
      <c r="B21" t="s">
        <v>19</v>
      </c>
      <c r="C21" s="12" t="str">
        <f>HYPERLINK(IEEE_NEW!$P21, IEEE_NEW!$A21)</f>
        <v>Design, Analysis and Implementation of a Security Assessment/Enhancement Platform for Cyber-Physical Systems</v>
      </c>
      <c r="D21" s="13">
        <f>IEEE_NEW!$AC21</f>
        <v>11</v>
      </c>
    </row>
    <row r="22" spans="1:4">
      <c r="A22">
        <v>20</v>
      </c>
      <c r="B22" t="s">
        <v>19</v>
      </c>
      <c r="C22" s="12" t="str">
        <f>HYPERLINK(IEEE_NEW!$P22, IEEE_NEW!$A22)</f>
        <v>Cyber security of industrial communication protocols</v>
      </c>
      <c r="D22" s="13">
        <f>IEEE_NEW!$AC22</f>
        <v>4</v>
      </c>
    </row>
    <row r="23" spans="1:4">
      <c r="A23">
        <v>21</v>
      </c>
      <c r="B23" t="s">
        <v>19</v>
      </c>
      <c r="C23" s="12" t="str">
        <f>HYPERLINK(IEEE_NEW!$P23, IEEE_NEW!$A23)</f>
        <v>A Comparative Study to Evaluate the Performance of Communication Protocols for Process Industry</v>
      </c>
      <c r="D23" s="13">
        <f>IEEE_NEW!$AC23</f>
        <v>8</v>
      </c>
    </row>
    <row r="24" spans="1:4">
      <c r="A24">
        <v>22</v>
      </c>
      <c r="B24" t="s">
        <v>19</v>
      </c>
      <c r="C24" s="12" t="str">
        <f>HYPERLINK(IEEE_NEW!$P24, IEEE_NEW!$A24)</f>
        <v>Access Control Framework for Cross-Platform Interoperability in the Industrial Internet of Things</v>
      </c>
      <c r="D24" s="13">
        <f>IEEE_NEW!$AC24</f>
        <v>10</v>
      </c>
    </row>
    <row r="25" spans="1:4">
      <c r="A25">
        <v>23</v>
      </c>
      <c r="B25" t="s">
        <v>19</v>
      </c>
      <c r="C25" s="12" t="str">
        <f>HYPERLINK(IEEE_NEW!$P25, IEEE_NEW!$A25)</f>
        <v>The Cybersecurity Landscape in Industrial Control Systems</v>
      </c>
      <c r="D25" s="13">
        <f>IEEE_NEW!$AC25</f>
        <v>19</v>
      </c>
    </row>
    <row r="26" spans="1:4">
      <c r="A26">
        <v>24</v>
      </c>
      <c r="B26" t="s">
        <v>19</v>
      </c>
      <c r="C26" s="12" t="str">
        <f>HYPERLINK(IEEE_NEW!$P26, IEEE_NEW!$A26)</f>
        <v>IoTForge Pro: A Security Testbed for Generating Intrusion Dataset for Industrial IoT</v>
      </c>
      <c r="D26" s="13">
        <f>IEEE_NEW!$AC26</f>
        <v>8</v>
      </c>
    </row>
    <row r="27" spans="1:4">
      <c r="A27">
        <v>25</v>
      </c>
      <c r="B27" t="s">
        <v>19</v>
      </c>
      <c r="C27" s="12" t="str">
        <f>HYPERLINK(IEEE_NEW!$P27, IEEE_NEW!$A27)</f>
        <v>Ransomware in Resource-Constrained Industrial IoT Networks: There Actually is a Threat</v>
      </c>
      <c r="D27" s="13">
        <f>IEEE_NEW!$AC27</f>
        <v>8</v>
      </c>
    </row>
    <row r="28" spans="1:4">
      <c r="A28">
        <v>26</v>
      </c>
      <c r="B28" t="s">
        <v>19</v>
      </c>
      <c r="C28" s="12" t="str">
        <f>HYPERLINK(IEEE_NEW!$P28, IEEE_NEW!$A28)</f>
        <v>Machine Learning-Based Network Vulnerability Analysis of Industrial Internet of Things</v>
      </c>
      <c r="D28" s="13">
        <f>IEEE_NEW!$AC28</f>
        <v>13</v>
      </c>
    </row>
    <row r="29" spans="1:4">
      <c r="A29">
        <v>27</v>
      </c>
      <c r="B29" t="s">
        <v>19</v>
      </c>
      <c r="C29" s="12" t="str">
        <f>HYPERLINK(IEEE_NEW!$P29, IEEE_NEW!$A29)</f>
        <v>CPS-IIoT-P2Attention: Explainable Privacy-Preserving With Scaled Dot-Product Attention in Cyber-Physical System-Industrial IoT Network</v>
      </c>
      <c r="D29" s="13">
        <f>IEEE_NEW!$AC29</f>
        <v>25</v>
      </c>
    </row>
    <row r="30" spans="1:4">
      <c r="A30">
        <v>28</v>
      </c>
      <c r="B30" t="s">
        <v>19</v>
      </c>
      <c r="C30" s="12" t="str">
        <f>HYPERLINK(IEEE_NEW!$P30, IEEE_NEW!$A30)</f>
        <v>Network Simulation in a TCP-Enabled Industrial Internet of Things Environment-Reproducibility Issues for Performance Evaluation</v>
      </c>
      <c r="D30" s="13">
        <f>IEEE_NEW!$AC30</f>
        <v>9</v>
      </c>
    </row>
    <row r="31" spans="1:4">
      <c r="A31">
        <v>29</v>
      </c>
      <c r="B31" t="s">
        <v>19</v>
      </c>
      <c r="C31" s="12" t="str">
        <f>HYPERLINK(IEEE_NEW!$P31, IEEE_NEW!$A31)</f>
        <v>Securing IIoT Against DDoS attacks: A Stochastic Approach</v>
      </c>
      <c r="D31" s="13">
        <f>IEEE_NEW!$AC31</f>
        <v>6</v>
      </c>
    </row>
    <row r="32" spans="1:4">
      <c r="A32">
        <v>30</v>
      </c>
      <c r="B32" t="s">
        <v>19</v>
      </c>
      <c r="C32" s="12" t="str">
        <f>HYPERLINK(IEEE_NEW!$P32, IEEE_NEW!$A32)</f>
        <v>Comparative Study on Smart Grid Security Testbeds Using MITRE ATT&amp;CK Matrix</v>
      </c>
      <c r="D32" s="13">
        <f>IEEE_NEW!$AC32</f>
        <v>7</v>
      </c>
    </row>
    <row r="33" spans="1:4">
      <c r="A33">
        <v>31</v>
      </c>
      <c r="B33" t="s">
        <v>19</v>
      </c>
      <c r="C33" s="12" t="str">
        <f>HYPERLINK(IEEE_NEW!$P33, IEEE_NEW!$A33)</f>
        <v>A Survey on Industrial Control System Testbeds and Datasets for Security Research</v>
      </c>
      <c r="D33" s="13">
        <f>IEEE_NEW!$AC33</f>
        <v>47</v>
      </c>
    </row>
    <row r="34" spans="1:4">
      <c r="A34">
        <v>32</v>
      </c>
      <c r="B34" t="s">
        <v>19</v>
      </c>
      <c r="C34" s="12" t="str">
        <f>HYPERLINK(IEEE_NEW!$P34, IEEE_NEW!$A34)</f>
        <v>Li-Fi in Industrial Environments: Performance Analysis Compared to Wi-Fi and Ethernet</v>
      </c>
      <c r="D34" s="13">
        <f>IEEE_NEW!$AC34</f>
        <v>6</v>
      </c>
    </row>
    <row r="35" spans="1:4">
      <c r="A35">
        <v>33</v>
      </c>
      <c r="B35" t="s">
        <v>19</v>
      </c>
      <c r="C35" s="12" t="str">
        <f>HYPERLINK(IEEE_NEW!$P35, IEEE_NEW!$A35)</f>
        <v>URLLC-Based Cooperative Industrial IoT Networks With Nonlinear Energy Harvesting</v>
      </c>
      <c r="D35" s="13">
        <f>IEEE_NEW!$AC35</f>
        <v>11</v>
      </c>
    </row>
    <row r="36" spans="1:4">
      <c r="A36">
        <v>34</v>
      </c>
      <c r="B36" t="s">
        <v>19</v>
      </c>
      <c r="C36" s="12" t="str">
        <f>HYPERLINK(IEEE_NEW!$P36, IEEE_NEW!$A36)</f>
        <v>Methodology for Analyzing the Performance of 5G-NR Networks During Initial Planning Without Deployment Using the NS-3 Network Simulator</v>
      </c>
      <c r="D36" s="13">
        <f>IEEE_NEW!$AC36</f>
        <v>5</v>
      </c>
    </row>
    <row r="37" spans="1:4">
      <c r="A37">
        <v>35</v>
      </c>
      <c r="B37" t="s">
        <v>19</v>
      </c>
      <c r="C37" s="12" t="str">
        <f>HYPERLINK(IEEE_NEW!$P37, IEEE_NEW!$A37)</f>
        <v>Cybersecurity of Digital Twins in Industrial IoT Environments</v>
      </c>
      <c r="D37" s="13">
        <f>IEEE_NEW!$AC37</f>
        <v>6</v>
      </c>
    </row>
    <row r="38" spans="1:4">
      <c r="A38">
        <v>36</v>
      </c>
      <c r="B38" t="s">
        <v>19</v>
      </c>
      <c r="C38" s="12" t="str">
        <f>HYPERLINK(IEEE_NEW!$P38, IEEE_NEW!$A38)</f>
        <v>Security and Effectiveness Analysis of the Gateway Integrity Checking Protocol</v>
      </c>
      <c r="D38" s="13">
        <f>IEEE_NEW!$AC38</f>
        <v>9</v>
      </c>
    </row>
    <row r="39" spans="1:4">
      <c r="A39">
        <v>37</v>
      </c>
      <c r="B39" t="s">
        <v>19</v>
      </c>
      <c r="C39" s="12" t="str">
        <f>HYPERLINK(IEEE_NEW!$P39, IEEE_NEW!$A39)</f>
        <v>Secure Onboarding of IIoT Devices using OPC UA</v>
      </c>
      <c r="D39" s="13">
        <f>IEEE_NEW!$AC39</f>
        <v>4</v>
      </c>
    </row>
    <row r="40" spans="1:4">
      <c r="A40">
        <v>38</v>
      </c>
      <c r="B40" t="s">
        <v>19</v>
      </c>
      <c r="C40" s="12" t="str">
        <f>HYPERLINK(IEEE_NEW!$P40, IEEE_NEW!$A40)</f>
        <v>On the Cost of Asset Discovery Techniques for Industrial Control Systems</v>
      </c>
      <c r="D40" s="13">
        <f>IEEE_NEW!$AC40</f>
        <v>6</v>
      </c>
    </row>
    <row r="41" spans="1:4">
      <c r="A41">
        <v>39</v>
      </c>
      <c r="B41" t="s">
        <v>19</v>
      </c>
      <c r="C41" s="12" t="str">
        <f>HYPERLINK(IEEE_NEW!$P41, IEEE_NEW!$A41)</f>
        <v>CrossTest: a cross-domain physical testbed environment for cybersecurity performance evaluations</v>
      </c>
      <c r="D41" s="13">
        <f>IEEE_NEW!$AC41</f>
        <v>8</v>
      </c>
    </row>
    <row r="42" spans="1:4">
      <c r="A42">
        <v>40</v>
      </c>
      <c r="B42" t="s">
        <v>19</v>
      </c>
      <c r="C42" s="12" t="str">
        <f>HYPERLINK(IEEE_NEW!$P42, IEEE_NEW!$A42)</f>
        <v>Towards Performance Benchmarking of Cyclic OPC UA PubSub over TSN</v>
      </c>
      <c r="D42" s="13">
        <f>IEEE_NEW!$AC42</f>
        <v>8</v>
      </c>
    </row>
    <row r="43" spans="1:4">
      <c r="A43">
        <v>41</v>
      </c>
      <c r="B43" t="s">
        <v>19</v>
      </c>
      <c r="C43" s="12" t="str">
        <f>HYPERLINK(IEEE_NEW!$P43, IEEE_NEW!$A43)</f>
        <v>Performance Evaluation of Containerization in Edge-Cloud Computing Stacks for Industrial Applications: A Client Perspective</v>
      </c>
      <c r="D43" s="13">
        <f>IEEE_NEW!$AC43</f>
        <v>16</v>
      </c>
    </row>
    <row r="44" spans="1:4">
      <c r="A44">
        <v>42</v>
      </c>
      <c r="B44" t="s">
        <v>19</v>
      </c>
      <c r="C44" s="12" t="str">
        <f>HYPERLINK(IEEE_NEW!$P44, IEEE_NEW!$A44)</f>
        <v>FL-MU: A Benchmark Dataset for Federated Intrusion Detection in IoT Networks</v>
      </c>
      <c r="D44" s="13">
        <f>IEEE_NEW!$AC44</f>
        <v>28</v>
      </c>
    </row>
    <row r="45" spans="1:4">
      <c r="A45">
        <v>43</v>
      </c>
      <c r="B45" t="s">
        <v>19</v>
      </c>
      <c r="C45" s="12" t="str">
        <f>HYPERLINK(IEEE_NEW!$P45, IEEE_NEW!$A45)</f>
        <v>ROSTAM: Railway-Oriented Security and Threat Abstraction Model</v>
      </c>
      <c r="D45" s="13">
        <f>IEEE_NEW!$AC45</f>
        <v>6</v>
      </c>
    </row>
    <row r="46" spans="1:4">
      <c r="A46">
        <v>44</v>
      </c>
      <c r="B46" t="s">
        <v>19</v>
      </c>
      <c r="C46" s="12" t="str">
        <f>HYPERLINK(IEEE_NEW!$P46, IEEE_NEW!$A46)</f>
        <v>Enabling multi-layer cyber-security assessment of Industrial Control Systems through Hardware-In-The-Loop testbeds</v>
      </c>
      <c r="D46" s="13">
        <f>IEEE_NEW!$AC46</f>
        <v>8</v>
      </c>
    </row>
    <row r="47" spans="1:4">
      <c r="A47">
        <v>45</v>
      </c>
      <c r="B47" t="s">
        <v>19</v>
      </c>
      <c r="C47" s="12" t="str">
        <f>HYPERLINK(IEEE_NEW!$P47, IEEE_NEW!$A47)</f>
        <v>Performance Benchmarking of OpenPLC Across Multiple Environments for Cloud-Based Industrial Automation</v>
      </c>
      <c r="D47" s="13">
        <f>IEEE_NEW!$AC47</f>
        <v>6</v>
      </c>
    </row>
    <row r="48" spans="1:4">
      <c r="A48">
        <v>46</v>
      </c>
      <c r="B48" t="s">
        <v>19</v>
      </c>
      <c r="C48" s="12" t="str">
        <f>HYPERLINK(IEEE_NEW!$P48, IEEE_NEW!$A48)</f>
        <v>A New Dataset for Intrusion Detection in Industrial Control System: A Gas Pipeline Testbed Study</v>
      </c>
      <c r="D48" s="13">
        <f>IEEE_NEW!$AC48</f>
        <v>6</v>
      </c>
    </row>
    <row r="49" spans="1:4">
      <c r="A49">
        <v>47</v>
      </c>
      <c r="B49" t="s">
        <v>19</v>
      </c>
      <c r="C49" s="12" t="str">
        <f>HYPERLINK(IEEE_NEW!$P49, IEEE_NEW!$A49)</f>
        <v>Real-Time Communication over LoRa Networks</v>
      </c>
      <c r="D49" s="13">
        <f>IEEE_NEW!$AC49</f>
        <v>14</v>
      </c>
    </row>
    <row r="50" spans="1:4">
      <c r="A50">
        <v>48</v>
      </c>
      <c r="B50" t="s">
        <v>19</v>
      </c>
      <c r="C50" s="12" t="str">
        <f>HYPERLINK(IEEE_NEW!$P50, IEEE_NEW!$A50)</f>
        <v>Modelling Autonomous Mobile Robot Interaction with IIoT Environments</v>
      </c>
      <c r="D50" s="13">
        <f>IEEE_NEW!$AC50</f>
        <v>6</v>
      </c>
    </row>
    <row r="51" spans="1:4">
      <c r="A51">
        <v>49</v>
      </c>
      <c r="B51" t="s">
        <v>19</v>
      </c>
      <c r="C51" s="12" t="str">
        <f>HYPERLINK(IEEE_NEW!$P51, IEEE_NEW!$A51)</f>
        <v>Covert Channels-Based Stealth Attacks in Industry 4.0</v>
      </c>
      <c r="D51" s="13">
        <f>IEEE_NEW!$AC51</f>
        <v>9</v>
      </c>
    </row>
    <row r="52" spans="1:4">
      <c r="A52">
        <v>50</v>
      </c>
      <c r="B52" t="s">
        <v>19</v>
      </c>
      <c r="C52" s="12" t="str">
        <f>HYPERLINK(IEEE_NEW!$P52, IEEE_NEW!$A52)</f>
        <v>Feasibility Study on Virtual Process Controllers as Basis for Future Industrial Automation Systems</v>
      </c>
      <c r="D52" s="13">
        <f>IEEE_NEW!$AC52</f>
        <v>8</v>
      </c>
    </row>
    <row r="53" spans="1:4">
      <c r="A53">
        <v>51</v>
      </c>
      <c r="B53" t="s">
        <v>19</v>
      </c>
      <c r="C53" s="12" t="str">
        <f>HYPERLINK(IEEE_NEW!$P53, IEEE_NEW!$A53)</f>
        <v>Contention Congestion Collision Adaptive Data Rate for LoRaWAN-Based Challenging Industrial IoT</v>
      </c>
      <c r="D53" s="13">
        <f>IEEE_NEW!$AC53</f>
        <v>6</v>
      </c>
    </row>
    <row r="54" spans="1:4">
      <c r="A54">
        <v>52</v>
      </c>
      <c r="B54" t="s">
        <v>19</v>
      </c>
      <c r="C54" s="12" t="str">
        <f>HYPERLINK(IEEE_NEW!$P54, IEEE_NEW!$A54)</f>
        <v>Fog Computing Over Challenged Networks: A Real Case Evaluation</v>
      </c>
      <c r="D54" s="13">
        <f>IEEE_NEW!$AC54</f>
        <v>7</v>
      </c>
    </row>
    <row r="55" spans="1:4">
      <c r="A55">
        <v>53</v>
      </c>
      <c r="B55" t="s">
        <v>19</v>
      </c>
      <c r="C55" s="12" t="str">
        <f>HYPERLINK(IEEE_NEW!$P55, IEEE_NEW!$A55)</f>
        <v>Optimizing MQTT-CoAP Interoperability: A Broker-Based Extension for Seamless Integration</v>
      </c>
      <c r="D55" s="13">
        <f>IEEE_NEW!$AC55</f>
        <v>14</v>
      </c>
    </row>
    <row r="56" spans="1:4">
      <c r="A56">
        <v>54</v>
      </c>
      <c r="B56" t="s">
        <v>19</v>
      </c>
      <c r="C56" s="12" t="str">
        <f>HYPERLINK(IEEE_NEW!$P56, IEEE_NEW!$A56)</f>
        <v>Experimental Platform for Testing Open Process Automation Technologies Based on OPC UA and IEC 61499</v>
      </c>
      <c r="D56" s="13">
        <f>IEEE_NEW!$AC56</f>
        <v>5</v>
      </c>
    </row>
    <row r="57" spans="1:4">
      <c r="A57">
        <v>55</v>
      </c>
      <c r="B57" t="s">
        <v>19</v>
      </c>
      <c r="C57" s="12" t="str">
        <f>HYPERLINK(IEEE_NEW!$P57, IEEE_NEW!$A57)</f>
        <v>FedMqADV: A Unified Framework for End-to-End Evaluation of MQTT-Based Federated Learning in Adversarial Setting</v>
      </c>
      <c r="D57" s="13">
        <f>IEEE_NEW!$AC57</f>
        <v>6</v>
      </c>
    </row>
    <row r="58" spans="1:4">
      <c r="A58">
        <v>56</v>
      </c>
      <c r="B58" t="s">
        <v>19</v>
      </c>
      <c r="C58" s="12" t="str">
        <f>HYPERLINK(IEEE_NEW!$P58, IEEE_NEW!$A58)</f>
        <v>Safeguarding Inter-Device Communications for Connected Systems: A Holistic Security Framework</v>
      </c>
      <c r="D58" s="13">
        <f>IEEE_NEW!$AC58</f>
        <v>6</v>
      </c>
    </row>
    <row r="59" spans="1:4">
      <c r="A59">
        <v>57</v>
      </c>
      <c r="B59" t="s">
        <v>19</v>
      </c>
      <c r="C59" s="12" t="str">
        <f>HYPERLINK(IEEE_NEW!$P59, IEEE_NEW!$A59)</f>
        <v>End-to-End Delay Evaluation of Industrial Automation Systems Based on EtherCAT</v>
      </c>
      <c r="D59" s="13">
        <f>IEEE_NEW!$AC59</f>
        <v>8</v>
      </c>
    </row>
    <row r="60" spans="1:4">
      <c r="A60">
        <v>58</v>
      </c>
      <c r="B60" t="s">
        <v>19</v>
      </c>
      <c r="C60" s="12" t="str">
        <f>HYPERLINK(IEEE_NEW!$P60, IEEE_NEW!$A60)</f>
        <v>Secure IoT Deployment Checklist for Building Management System</v>
      </c>
      <c r="D60" s="13">
        <f>IEEE_NEW!$AC60</f>
        <v>6</v>
      </c>
    </row>
    <row r="61" spans="1:4">
      <c r="A61">
        <v>59</v>
      </c>
      <c r="B61" t="s">
        <v>19</v>
      </c>
      <c r="C61" s="12" t="str">
        <f>HYPERLINK(IEEE_NEW!$P61, IEEE_NEW!$A61)</f>
        <v>An FPGA-based Unidirectional Gateway Proposal for OT-IT Network Separation to Secure Industrial Automation Systems</v>
      </c>
      <c r="D61" s="13">
        <f>IEEE_NEW!$AC61</f>
        <v>6</v>
      </c>
    </row>
    <row r="62" spans="1:4">
      <c r="A62">
        <v>60</v>
      </c>
      <c r="B62" t="s">
        <v>19</v>
      </c>
      <c r="C62" s="12" t="str">
        <f>HYPERLINK(IEEE_NEW!$P62, IEEE_NEW!$A62)</f>
        <v>Security intelligence for industrial control systems</v>
      </c>
      <c r="D62" s="13">
        <f>IEEE_NEW!$AC62</f>
        <v>1.007638888888889</v>
      </c>
    </row>
    <row r="63" spans="1:4">
      <c r="A63">
        <v>61</v>
      </c>
      <c r="B63" t="s">
        <v>19</v>
      </c>
      <c r="C63" s="12" t="str">
        <f>HYPERLINK(IEEE_NEW!$P63, IEEE_NEW!$A63)</f>
        <v>Hierarchical Blockchain Framework for Node Authentication in IoT Networks: A Comprehensive Analysis</v>
      </c>
      <c r="D63" s="13">
        <f>IEEE_NEW!$AC63</f>
        <v>6</v>
      </c>
    </row>
    <row r="64" spans="1:4">
      <c r="A64">
        <v>62</v>
      </c>
      <c r="B64" t="s">
        <v>19</v>
      </c>
      <c r="C64" s="12" t="str">
        <f>HYPERLINK(IEEE_NEW!$P64, IEEE_NEW!$A64)</f>
        <v>Development of SCADA Simulator using Omnet++</v>
      </c>
      <c r="D64" s="13">
        <f>IEEE_NEW!$AC64</f>
        <v>5</v>
      </c>
    </row>
    <row r="65" spans="1:4">
      <c r="A65">
        <v>63</v>
      </c>
      <c r="B65" t="s">
        <v>19</v>
      </c>
      <c r="C65" s="12" t="str">
        <f>HYPERLINK(IEEE_NEW!$P65, IEEE_NEW!$A65)</f>
        <v>Indoor Localization-based Energy Management for Smart Home</v>
      </c>
      <c r="D65" s="13">
        <f>IEEE_NEW!$AC65</f>
        <v>5</v>
      </c>
    </row>
    <row r="66" spans="1:4">
      <c r="A66">
        <v>64</v>
      </c>
      <c r="B66" t="s">
        <v>19</v>
      </c>
      <c r="C66" s="12" t="str">
        <f>HYPERLINK(IEEE_NEW!$P66, IEEE_NEW!$A66)</f>
        <v>Toward a Unified Security Framework for Digital Twin Architectures</v>
      </c>
      <c r="D66" s="13">
        <f>IEEE_NEW!$AC66</f>
        <v>6</v>
      </c>
    </row>
    <row r="67" spans="1:4">
      <c r="A67">
        <v>65</v>
      </c>
      <c r="B67" t="s">
        <v>19</v>
      </c>
      <c r="C67" s="12" t="str">
        <f>HYPERLINK(IEEE_NEW!$P67, IEEE_NEW!$A67)</f>
        <v>Implementation of Cyber-Physical Systems with Modbus Communication for Security Studies</v>
      </c>
      <c r="D67" s="13">
        <f>IEEE_NEW!$AC67</f>
        <v>6</v>
      </c>
    </row>
    <row r="68" spans="1:4">
      <c r="A68">
        <v>66</v>
      </c>
      <c r="B68" t="s">
        <v>19</v>
      </c>
      <c r="C68" s="12" t="str">
        <f>HYPERLINK(IEEE_NEW!$P68, IEEE_NEW!$A68)</f>
        <v>Improving operational security for web-based distributed control systems in wastewater management</v>
      </c>
      <c r="D68" s="13">
        <f>IEEE_NEW!$AC68</f>
        <v>5</v>
      </c>
    </row>
    <row r="69" spans="1:4">
      <c r="A69">
        <v>67</v>
      </c>
      <c r="B69" t="s">
        <v>19</v>
      </c>
      <c r="C69" s="12" t="str">
        <f>HYPERLINK(IEEE_NEW!$P69, IEEE_NEW!$A69)</f>
        <v>Holistic Risk Assessment in Industrial Control Systems: Combining Multiple Bayesian Networks with Multi-Criteria Decision Making</v>
      </c>
      <c r="D69" s="13">
        <f>IEEE_NEW!$AC69</f>
        <v>6</v>
      </c>
    </row>
    <row r="70" spans="1:4">
      <c r="A70">
        <v>68</v>
      </c>
      <c r="B70" t="s">
        <v>19</v>
      </c>
      <c r="C70" s="12" t="str">
        <f>HYPERLINK(IEEE_NEW!$P70, IEEE_NEW!$A70)</f>
        <v>Adversarial Generation of Modbus TCP Packets Using WGANs for ICS Security Testing</v>
      </c>
      <c r="D70" s="13">
        <f>IEEE_NEW!$AC70</f>
        <v>6</v>
      </c>
    </row>
    <row r="71" spans="1:4">
      <c r="A71">
        <v>69</v>
      </c>
      <c r="B71" t="s">
        <v>19</v>
      </c>
      <c r="C71" s="12" t="str">
        <f>HYPERLINK(IEEE_NEW!$P71, IEEE_NEW!$A71)</f>
        <v>ML-Augmented Network Packet Broker based Anomaly Detection at IIoT-Edge Egress Port</v>
      </c>
      <c r="D71" s="13">
        <f>IEEE_NEW!$AC71</f>
        <v>6</v>
      </c>
    </row>
    <row r="72" spans="1:4">
      <c r="A72">
        <v>70</v>
      </c>
      <c r="B72" t="s">
        <v>19</v>
      </c>
      <c r="C72" s="12" t="str">
        <f>HYPERLINK(IEEE_NEW!$P72, IEEE_NEW!$A72)</f>
        <v>Timeliness of CSMA/CA-Based Wireless Networks With HARQ in the FBL Regime: Explicit Age Characterizations and Resource Allocation</v>
      </c>
      <c r="D72" s="13">
        <f>IEEE_NEW!$AC72</f>
        <v>13</v>
      </c>
    </row>
    <row r="73" spans="1:4">
      <c r="A73">
        <v>71</v>
      </c>
      <c r="B73" t="s">
        <v>19</v>
      </c>
      <c r="C73" s="12" t="str">
        <f>HYPERLINK(IEEE_NEW!$P73, IEEE_NEW!$A73)</f>
        <v>Performance Evaluation of Asynchronous Pulse Code Multiple Access in Massive IoT Networks</v>
      </c>
      <c r="D73" s="13">
        <f>IEEE_NEW!$AC73</f>
        <v>14</v>
      </c>
    </row>
    <row r="74" spans="1:4">
      <c r="A74">
        <v>72</v>
      </c>
      <c r="B74" t="s">
        <v>19</v>
      </c>
      <c r="C74" s="12" t="str">
        <f>HYPERLINK(IEEE_NEW!$P74, IEEE_NEW!$A74)</f>
        <v>Performance impact of commercial industrial firewalls on networked control systems</v>
      </c>
      <c r="D74" s="13">
        <f>IEEE_NEW!$AC74</f>
        <v>8</v>
      </c>
    </row>
    <row r="75" spans="1:4">
      <c r="A75">
        <v>73</v>
      </c>
      <c r="B75" t="s">
        <v>19</v>
      </c>
      <c r="C75" s="12" t="str">
        <f>HYPERLINK(IEEE_NEW!$P75, IEEE_NEW!$A75)</f>
        <v>Performance Evaluation and Modeling of an Industrial Application-Layer Firewall</v>
      </c>
      <c r="D75" s="13">
        <f>IEEE_NEW!$AC75</f>
        <v>12</v>
      </c>
    </row>
    <row r="76" spans="1:4">
      <c r="A76">
        <v>74</v>
      </c>
      <c r="B76" t="s">
        <v>19</v>
      </c>
      <c r="C76" s="12" t="str">
        <f>HYPERLINK(IEEE_NEW!$P76, IEEE_NEW!$A76)</f>
        <v>An Investigative Evaluation of Open Source Intrusion Detection Systems for Operational Technology Networks Using MITRE ICS Attack Simulation on a Thermal Power Plant Test Bed</v>
      </c>
      <c r="D76" s="13">
        <f>IEEE_NEW!$AC76</f>
        <v>6</v>
      </c>
    </row>
    <row r="77" spans="1:4">
      <c r="A77">
        <v>75</v>
      </c>
      <c r="B77" t="s">
        <v>19</v>
      </c>
      <c r="C77" s="12" t="str">
        <f>HYPERLINK(IEEE_NEW!$P77, IEEE_NEW!$A77)</f>
        <v>Future of IoTSP – IT and OT Integration</v>
      </c>
      <c r="D77" s="13">
        <f>IEEE_NEW!$AC77</f>
        <v>5</v>
      </c>
    </row>
    <row r="78" spans="1:4">
      <c r="A78">
        <v>76</v>
      </c>
      <c r="B78" t="s">
        <v>19</v>
      </c>
      <c r="C78" s="12" t="str">
        <f>HYPERLINK(IEEE_NEW!$P78, IEEE_NEW!$A78)</f>
        <v>An Adaptive Intrusion Detection System for IoT Networks Using Deep Learning</v>
      </c>
      <c r="D78" s="13">
        <f>IEEE_NEW!$AC78</f>
        <v>6</v>
      </c>
    </row>
    <row r="79" spans="1:4">
      <c r="A79">
        <v>77</v>
      </c>
      <c r="B79" t="s">
        <v>19</v>
      </c>
      <c r="C79" s="12" t="str">
        <f>HYPERLINK(IEEE_NEW!$P79, IEEE_NEW!$A79)</f>
        <v>Unleashing the Potential of Industrial IoT and Industry 5.0</v>
      </c>
      <c r="D79" s="13">
        <f>IEEE_NEW!$AC79</f>
        <v>13</v>
      </c>
    </row>
    <row r="80" spans="1:4">
      <c r="A80">
        <v>78</v>
      </c>
      <c r="B80" t="s">
        <v>19</v>
      </c>
      <c r="C80" s="12" t="str">
        <f>HYPERLINK(IEEE_NEW!$P80, IEEE_NEW!$A80)</f>
        <v>SenseFuzz: Black-box Fuzzing of ICS Protocols via Runtime Statistics Sensing</v>
      </c>
      <c r="D80" s="13">
        <f>IEEE_NEW!$AC80</f>
        <v>6</v>
      </c>
    </row>
    <row r="81" spans="1:4">
      <c r="A81">
        <v>79</v>
      </c>
      <c r="B81" t="s">
        <v>19</v>
      </c>
      <c r="C81" s="12" t="str">
        <f>HYPERLINK(IEEE_NEW!$P81, IEEE_NEW!$A81)</f>
        <v>PIM-LLN: Protocol Independent Multicast for Low-Power and Lossy Networks</v>
      </c>
      <c r="D81" s="13">
        <f>IEEE_NEW!$AC81</f>
        <v>17</v>
      </c>
    </row>
    <row r="82" spans="1:4">
      <c r="A82">
        <v>80</v>
      </c>
      <c r="B82" t="s">
        <v>19</v>
      </c>
      <c r="C82" s="12" t="str">
        <f>HYPERLINK(IEEE_NEW!$P82, IEEE_NEW!$A82)</f>
        <v>Optimizing Freshness in IoT Scans</v>
      </c>
      <c r="D82" s="13">
        <f>IEEE_NEW!$AC82</f>
        <v>6</v>
      </c>
    </row>
    <row r="83" spans="1:4">
      <c r="A83">
        <v>81</v>
      </c>
      <c r="B83" t="s">
        <v>19</v>
      </c>
      <c r="C83" s="12" t="str">
        <f>HYPERLINK(IEEE_NEW!$P83, IEEE_NEW!$A83)</f>
        <v>PQ-CAN: A Framework for Simulating Post-Quantum Cryptography in Embedded Systems</v>
      </c>
      <c r="D83" s="13">
        <f>IEEE_NEW!$AC83</f>
        <v>6</v>
      </c>
    </row>
    <row r="84" spans="1:4">
      <c r="A84">
        <v>82</v>
      </c>
      <c r="B84" t="s">
        <v>19</v>
      </c>
      <c r="C84" s="12" t="str">
        <f>HYPERLINK(IEEE_NEW!$P84, IEEE_NEW!$A84)</f>
        <v>Experimenting With Digital Signatures Over a DNP3 Protocol in a Multitenant Cloud-Based SCADA Architecture</v>
      </c>
      <c r="D84" s="13">
        <f>IEEE_NEW!$AC84</f>
        <v>20</v>
      </c>
    </row>
    <row r="85" spans="1:4">
      <c r="A85">
        <v>83</v>
      </c>
      <c r="B85" t="s">
        <v>19</v>
      </c>
      <c r="C85" s="12" t="str">
        <f>HYPERLINK(IEEE_NEW!$P85, IEEE_NEW!$A85)</f>
        <v>Analysis of Machine Learning Methods in EtherCAT-Based Anomaly Detection</v>
      </c>
      <c r="D85" s="13">
        <f>IEEE_NEW!$AC85</f>
        <v>10</v>
      </c>
    </row>
    <row r="86" spans="1:4">
      <c r="A86">
        <v>84</v>
      </c>
      <c r="B86" t="s">
        <v>19</v>
      </c>
      <c r="C86" s="12" t="str">
        <f>HYPERLINK(IEEE_NEW!$P86, IEEE_NEW!$A86)</f>
        <v>Time Synchronization Extension for the IO-Link Industrial Communication Protocol</v>
      </c>
      <c r="D86" s="13">
        <f>IEEE_NEW!$AC86</f>
        <v>6</v>
      </c>
    </row>
    <row r="87" spans="1:4">
      <c r="A87">
        <v>85</v>
      </c>
      <c r="B87" t="s">
        <v>19</v>
      </c>
      <c r="C87" s="12" t="str">
        <f>HYPERLINK(IEEE_NEW!$P87, IEEE_NEW!$A87)</f>
        <v>Industrial data-collector by enabling OPC-UA standard for Industry 4.0</v>
      </c>
      <c r="D87" s="13">
        <f>IEEE_NEW!$AC87</f>
        <v>8</v>
      </c>
    </row>
    <row r="88" spans="1:4">
      <c r="A88">
        <v>86</v>
      </c>
      <c r="B88" t="s">
        <v>19</v>
      </c>
      <c r="C88" s="12" t="str">
        <f>HYPERLINK(IEEE_NEW!$P88, IEEE_NEW!$A88)</f>
        <v>Priority-Aware Wireless Fieldbus Protocol for Mixed-Criticality Industrial Wireless Sensor Networks</v>
      </c>
      <c r="D88" s="13">
        <f>IEEE_NEW!$AC88</f>
        <v>14</v>
      </c>
    </row>
    <row r="89" spans="1:4">
      <c r="A89">
        <v>87</v>
      </c>
      <c r="B89" t="s">
        <v>19</v>
      </c>
      <c r="C89" s="12" t="str">
        <f>HYPERLINK(IEEE_NEW!$P89, IEEE_NEW!$A89)</f>
        <v>DigSiNet: Using Multiple Digital Twins to Provide Rhythmic Network Consistency</v>
      </c>
      <c r="D89" s="13">
        <f>IEEE_NEW!$AC89</f>
        <v>5</v>
      </c>
    </row>
    <row r="90" spans="1:4">
      <c r="A90">
        <v>88</v>
      </c>
      <c r="B90" t="s">
        <v>19</v>
      </c>
      <c r="C90" s="12" t="str">
        <f>HYPERLINK(IEEE_NEW!$P90, IEEE_NEW!$A90)</f>
        <v>Detection of Attacks on Modbus Industrial Communications Using the Communication Variable Memory Map Representation</v>
      </c>
      <c r="D90" s="13">
        <f>IEEE_NEW!$AC90</f>
        <v>9</v>
      </c>
    </row>
    <row r="91" spans="1:4">
      <c r="A91">
        <v>89</v>
      </c>
      <c r="B91" t="s">
        <v>19</v>
      </c>
      <c r="C91" s="12" t="str">
        <f>HYPERLINK(IEEE_NEW!$P91, IEEE_NEW!$A91)</f>
        <v>IEC 61850 Compatible OpenPLC for Cyber Attack Case Studies on Smart Substation Systems</v>
      </c>
      <c r="D91" s="13">
        <f>IEEE_NEW!$AC91</f>
        <v>10</v>
      </c>
    </row>
    <row r="92" spans="1:4">
      <c r="A92">
        <v>90</v>
      </c>
      <c r="B92" t="s">
        <v>19</v>
      </c>
      <c r="C92" s="12" t="str">
        <f>HYPERLINK(IEEE_NEW!$P92, IEEE_NEW!$A92)</f>
        <v>A Logical Performance Evaluation Methodology based on Bandwidth Estimation Strategy to Minimize Communication Delay over Wireless Sensor Networks</v>
      </c>
      <c r="D92" s="13">
        <f>IEEE_NEW!$AC92</f>
        <v>7</v>
      </c>
    </row>
    <row r="93" spans="1:4">
      <c r="A93">
        <v>91</v>
      </c>
      <c r="B93" t="s">
        <v>19</v>
      </c>
      <c r="C93" s="12" t="str">
        <f>HYPERLINK(IEEE_NEW!$P93, IEEE_NEW!$A93)</f>
        <v>Exploiting Control Device Vulnerabilities: Attacking Cyber-Physical Water System</v>
      </c>
      <c r="D93" s="13">
        <f>IEEE_NEW!$AC93</f>
        <v>10</v>
      </c>
    </row>
    <row r="94" spans="1:4">
      <c r="A94">
        <v>92</v>
      </c>
      <c r="B94" t="s">
        <v>19</v>
      </c>
      <c r="C94" s="12" t="str">
        <f>HYPERLINK(IEEE_NEW!$P94, IEEE_NEW!$A94)</f>
        <v>BIER-Based Multicast Routing for Low-Power and Lossy Networks</v>
      </c>
      <c r="D94" s="13">
        <f>IEEE_NEW!$AC94</f>
        <v>6</v>
      </c>
    </row>
    <row r="95" spans="1:4">
      <c r="A95">
        <v>93</v>
      </c>
      <c r="B95" t="s">
        <v>19</v>
      </c>
      <c r="C95" s="12" t="str">
        <f>HYPERLINK(IEEE_NEW!$P95, IEEE_NEW!$A95)</f>
        <v>Stealthy cyber attacks and impact analysis on wide-area protection of smart grid</v>
      </c>
      <c r="D95" s="13">
        <f>IEEE_NEW!$AC95</f>
        <v>6</v>
      </c>
    </row>
    <row r="96" spans="1:4">
      <c r="A96">
        <v>94</v>
      </c>
      <c r="B96" t="s">
        <v>19</v>
      </c>
      <c r="C96" s="12" t="str">
        <f>HYPERLINK(IEEE_NEW!$P96, IEEE_NEW!$A96)</f>
        <v>Knowledge Representation of Asset Information and Performance in OT Environments</v>
      </c>
      <c r="D96" s="13">
        <f>IEEE_NEW!$AC96</f>
        <v>8</v>
      </c>
    </row>
    <row r="97" spans="1:4">
      <c r="A97">
        <v>95</v>
      </c>
      <c r="B97" t="s">
        <v>19</v>
      </c>
      <c r="C97" s="12" t="str">
        <f>HYPERLINK(IEEE_NEW!$P97, IEEE_NEW!$A97)</f>
        <v>IoT Communication Framework with Ground Station Integration Using MQTT over TCP</v>
      </c>
      <c r="D97" s="13">
        <f>IEEE_NEW!$AC97</f>
        <v>6</v>
      </c>
    </row>
    <row r="98" spans="1:4">
      <c r="A98">
        <v>96</v>
      </c>
      <c r="B98" t="s">
        <v>19</v>
      </c>
      <c r="C98" s="12" t="str">
        <f>HYPERLINK(IEEE_NEW!$P98, IEEE_NEW!$A98)</f>
        <v>CRT-LoRa: An efficient and reliable MAC scheme for real-time industrial applications</v>
      </c>
      <c r="D98" s="13">
        <f>IEEE_NEW!$AC98</f>
        <v>6</v>
      </c>
    </row>
    <row r="99" spans="1:4">
      <c r="A99">
        <v>97</v>
      </c>
      <c r="B99" t="s">
        <v>19</v>
      </c>
      <c r="C99" s="12" t="str">
        <f>HYPERLINK(IEEE_NEW!$P99, IEEE_NEW!$A99)</f>
        <v>DIIG: A Distributed Industrial IoT Gateway</v>
      </c>
      <c r="D99" s="13">
        <f>IEEE_NEW!$AC99</f>
        <v>5</v>
      </c>
    </row>
    <row r="100" spans="1:4">
      <c r="A100">
        <v>98</v>
      </c>
      <c r="B100" t="s">
        <v>19</v>
      </c>
      <c r="C100" s="12" t="str">
        <f>HYPERLINK(IEEE_NEW!$P100, IEEE_NEW!$A100)</f>
        <v>The Role of Monitoring Frequency in Optimizing Digital Twin Networks</v>
      </c>
      <c r="D100" s="13">
        <f>IEEE_NEW!$AC100</f>
        <v>7</v>
      </c>
    </row>
    <row r="101" spans="1:4">
      <c r="A101">
        <v>99</v>
      </c>
      <c r="B101" t="s">
        <v>19</v>
      </c>
      <c r="C101" s="12" t="str">
        <f>HYPERLINK(IEEE_NEW!$P101, IEEE_NEW!$A101)</f>
        <v>Energy-Efficient Wireless Sensor Networks Optimization using Deep Q-Networks for Smart Energy Applications</v>
      </c>
      <c r="D101" s="13">
        <f>IEEE_NEW!$AC101</f>
        <v>5</v>
      </c>
    </row>
    <row r="102" spans="1:4">
      <c r="A102">
        <v>100</v>
      </c>
      <c r="B102" t="s">
        <v>1366</v>
      </c>
      <c r="C102" s="12" t="str">
        <f>HYPERLINK(ACM_NEW!$D2, ACM_NEW!$B2)</f>
        <v>ICSNet: A Hybrid-Interaction Honeynet for Industrial Control Systems</v>
      </c>
      <c r="D102" s="13">
        <f>ACM_NEW!$H2</f>
        <v>12</v>
      </c>
    </row>
    <row r="103" spans="1:4">
      <c r="A103">
        <v>101</v>
      </c>
      <c r="B103" t="s">
        <v>1366</v>
      </c>
      <c r="C103" s="12" t="str">
        <f>HYPERLINK(ACM_NEW!$D3, ACM_NEW!$B3)</f>
        <v>RTPL: A Real-Time Communication Protocol for LoRa Network</v>
      </c>
      <c r="D103" s="13">
        <f>ACM_NEW!$H3</f>
        <v>31</v>
      </c>
    </row>
    <row r="104" spans="1:4">
      <c r="A104">
        <v>102</v>
      </c>
      <c r="B104" t="s">
        <v>1366</v>
      </c>
      <c r="C104" s="12" t="str">
        <f>HYPERLINK(ACM_NEW!$D4, ACM_NEW!$B4)</f>
        <v>EmuFlex: A Flexible OT Testbed for Security Experiments with OPC UA</v>
      </c>
      <c r="D104" s="13">
        <f>ACM_NEW!$H4</f>
        <v>9</v>
      </c>
    </row>
    <row r="105" spans="1:4">
      <c r="A105">
        <v>103</v>
      </c>
      <c r="B105" t="s">
        <v>1366</v>
      </c>
      <c r="C105" s="12" t="str">
        <f>HYPERLINK(ACM_NEW!$D5, ACM_NEW!$B5)</f>
        <v>A Comprehensive Survey on Interoperability for IIoT: Taxonomy, Standards, and Future Directions</v>
      </c>
      <c r="D105" s="13">
        <f>ACM_NEW!$H5</f>
        <v>35</v>
      </c>
    </row>
    <row r="106" spans="1:4">
      <c r="A106">
        <v>104</v>
      </c>
      <c r="B106" t="s">
        <v>1366</v>
      </c>
      <c r="C106" s="12" t="str">
        <f>HYPERLINK(ACM_NEW!$D6, ACM_NEW!$B6)</f>
        <v>On Practical Realization of Evasion Attacks for Industrial Control Systems</v>
      </c>
      <c r="D106" s="13">
        <f>ACM_NEW!$H6</f>
        <v>17</v>
      </c>
    </row>
    <row r="107" spans="1:4">
      <c r="A107">
        <v>105</v>
      </c>
      <c r="B107" t="s">
        <v>1366</v>
      </c>
      <c r="C107" s="12" t="str">
        <f>HYPERLINK(ACM_NEW!$D7, ACM_NEW!$B7)</f>
        <v>An Industrial Internet of Things (IIoT) platform for intelligent wind turbine gearbox fault detection with automatic annotation</v>
      </c>
      <c r="D107" s="13">
        <f>ACM_NEW!$H7</f>
        <v>5</v>
      </c>
    </row>
    <row r="108" spans="1:4">
      <c r="A108">
        <v>106</v>
      </c>
      <c r="B108" t="s">
        <v>1366</v>
      </c>
      <c r="C108" s="12" t="str">
        <f>HYPERLINK(ACM_NEW!$D8, ACM_NEW!$B8)</f>
        <v>Examining the Suitability of Stream Ciphers for Modbus-TCP Encryption on Resource Constrained Devices</v>
      </c>
      <c r="D108" s="13">
        <f>ACM_NEW!$H8</f>
        <v>7</v>
      </c>
    </row>
    <row r="109" spans="1:4">
      <c r="A109">
        <v>107</v>
      </c>
      <c r="B109" t="s">
        <v>1366</v>
      </c>
      <c r="C109" s="12" t="str">
        <f>HYPERLINK(ACM_NEW!$D9, ACM_NEW!$B9)</f>
        <v>HoneyICS: A High-interaction Physics-aware Honeynet for Industrial Control Systems</v>
      </c>
      <c r="D109" s="13">
        <f>ACM_NEW!$H9</f>
        <v>10</v>
      </c>
    </row>
    <row r="110" spans="1:4">
      <c r="A110">
        <v>108</v>
      </c>
      <c r="B110" t="s">
        <v>1366</v>
      </c>
      <c r="C110" s="12" t="str">
        <f>HYPERLINK(ACM_NEW!$D10, ACM_NEW!$B10)</f>
        <v>The PRECINCT Ecosystem Platform for Critical Infrastructure Protection: Architecture, Deployment and Transferability</v>
      </c>
      <c r="D110" s="13">
        <f>ACM_NEW!$H10</f>
        <v>8</v>
      </c>
    </row>
    <row r="111" spans="1:4">
      <c r="A111">
        <v>109</v>
      </c>
      <c r="B111" t="s">
        <v>1366</v>
      </c>
      <c r="C111" s="12" t="str">
        <f>HYPERLINK(ACM_NEW!$D11, ACM_NEW!$B11)</f>
        <v>Controller-in-the-Middle: Attacks on Software Defined Networks in Industrial Control Systems</v>
      </c>
      <c r="D111" s="13">
        <f>ACM_NEW!$H11</f>
        <v>6</v>
      </c>
    </row>
    <row r="112" spans="1:4">
      <c r="A112">
        <v>110</v>
      </c>
      <c r="B112" t="s">
        <v>1366</v>
      </c>
      <c r="C112" s="12" t="str">
        <f>HYPERLINK(ACM_NEW!$D12, ACM_NEW!$B12)</f>
        <v>Identifying key attacks on an IEEE 9-Bus System by leveraging the MITRE ATT&amp;amp;CK ICS Matrix</v>
      </c>
      <c r="D112" s="13">
        <f>ACM_NEW!$H12</f>
        <v>8</v>
      </c>
    </row>
    <row r="113" spans="1:4">
      <c r="A113">
        <v>111</v>
      </c>
      <c r="B113" t="s">
        <v>1366</v>
      </c>
      <c r="C113" s="12" t="str">
        <f>HYPERLINK(ACM_NEW!$D13, ACM_NEW!$B13)</f>
        <v>SoK: A Taxonomy for Contrasting Industrial Control Systems Asset Discovery Tools</v>
      </c>
      <c r="D113" s="13">
        <f>ACM_NEW!$H13</f>
        <v>12</v>
      </c>
    </row>
    <row r="114" spans="1:4">
      <c r="A114">
        <v>112</v>
      </c>
      <c r="B114" t="s">
        <v>1366</v>
      </c>
      <c r="C114" s="12" t="str">
        <f>HYPERLINK(ACM_NEW!$D14, ACM_NEW!$B14)</f>
        <v>"If You Build it, They will Come" - A Blueprint for ICS-focused Capture-The-Flag Competitions</v>
      </c>
      <c r="D114" s="13">
        <f>ACM_NEW!$H14</f>
        <v>14</v>
      </c>
    </row>
    <row r="115" spans="1:4">
      <c r="A115">
        <v>113</v>
      </c>
      <c r="B115" t="s">
        <v>1366</v>
      </c>
      <c r="C115" s="12" t="str">
        <f>HYPERLINK(ACM_NEW!$D15, ACM_NEW!$B15)</f>
        <v>Research on the Secure Transmission Mechanism of Time Series Data in Power Plants</v>
      </c>
      <c r="D115" s="13">
        <f>ACM_NEW!$H15</f>
        <v>8</v>
      </c>
    </row>
    <row r="116" spans="1:4">
      <c r="A116">
        <v>114</v>
      </c>
      <c r="B116" t="s">
        <v>1366</v>
      </c>
      <c r="C116" s="12" t="str">
        <f>HYPERLINK(ACM_NEW!$D16, ACM_NEW!$B16)</f>
        <v>Modelling IoT Application Requirements for Benchmarking IoT Middleware Platforms</v>
      </c>
      <c r="D116" s="13">
        <f>ACM_NEW!$H16</f>
        <v>9</v>
      </c>
    </row>
    <row r="117" spans="1:4">
      <c r="A117">
        <v>115</v>
      </c>
      <c r="B117" t="s">
        <v>1366</v>
      </c>
      <c r="C117" s="12" t="str">
        <f>HYPERLINK(ACM_NEW!$D17, ACM_NEW!$B17)</f>
        <v>A Forensic I/O Recorder for Industrial Control Systems Using PLCs and OPC UA</v>
      </c>
      <c r="D117" s="13">
        <f>ACM_NEW!$H17</f>
        <v>9</v>
      </c>
    </row>
    <row r="118" spans="1:4">
      <c r="A118">
        <v>116</v>
      </c>
      <c r="B118" t="s">
        <v>1366</v>
      </c>
      <c r="C118" s="12" t="str">
        <f>HYPERLINK(ACM_NEW!$D18, ACM_NEW!$B18)</f>
        <v>Employing Digital Twins for Security-by-Design System Testing</v>
      </c>
      <c r="D118" s="13">
        <f>ACM_NEW!$H18</f>
        <v>10</v>
      </c>
    </row>
    <row r="119" spans="1:4">
      <c r="A119">
        <v>117</v>
      </c>
      <c r="B119" t="s">
        <v>1366</v>
      </c>
      <c r="C119" s="12" t="str">
        <f>HYPERLINK(ACM_NEW!$D19, ACM_NEW!$B19)</f>
        <v>Exploration and practice of industrial control system information security incident emergency exercise</v>
      </c>
      <c r="D119" s="13">
        <f>ACM_NEW!$H19</f>
        <v>7</v>
      </c>
    </row>
    <row r="120" spans="1:4">
      <c r="A120">
        <v>118</v>
      </c>
      <c r="B120" t="s">
        <v>1366</v>
      </c>
      <c r="C120" s="12" t="str">
        <f>HYPERLINK(ACM_NEW!$D20, ACM_NEW!$B20)</f>
        <v>QPUF 3.0: Sustainable Cybersecurity of Smart Grid through Security-By-Design based on Quantum-PUF and Quantum Key Distribution</v>
      </c>
      <c r="D120" s="13">
        <f>ACM_NEW!$H20</f>
        <v>6</v>
      </c>
    </row>
    <row r="121" spans="1:4">
      <c r="A121">
        <v>119</v>
      </c>
      <c r="B121" t="s">
        <v>1366</v>
      </c>
      <c r="C121" s="12" t="str">
        <f>HYPERLINK(ACM_NEW!$D21, ACM_NEW!$B21)</f>
        <v>Comparative Analysis and Implementation of HTTP3, MQTT, and CoAP for IoT Applications</v>
      </c>
      <c r="D121" s="13">
        <f>ACM_NEW!$H21</f>
        <v>6</v>
      </c>
    </row>
    <row r="122" spans="1:4">
      <c r="A122">
        <v>120</v>
      </c>
      <c r="B122" t="s">
        <v>1366</v>
      </c>
      <c r="C122" s="12" t="str">
        <f>HYPERLINK(ACM_NEW!$D22, ACM_NEW!$B22)</f>
        <v>D&amp;amp;R of Digital Twin-based Intelligent Control Practical Training System</v>
      </c>
      <c r="D122" s="13">
        <f>ACM_NEW!$H22</f>
        <v>7</v>
      </c>
    </row>
    <row r="123" spans="1:4">
      <c r="A123">
        <v>121</v>
      </c>
      <c r="B123" t="s">
        <v>1366</v>
      </c>
      <c r="C123" s="12" t="str">
        <f>HYPERLINK(ACM_NEW!$D23, ACM_NEW!$B23)</f>
        <v>A Model-based Approach for Assessing the Security of Cyber-Physical Systems</v>
      </c>
      <c r="D123" s="13">
        <f>ACM_NEW!$H23</f>
        <v>10</v>
      </c>
    </row>
    <row r="124" spans="1:4">
      <c r="A124">
        <v>122</v>
      </c>
      <c r="B124" t="s">
        <v>1366</v>
      </c>
      <c r="C124" s="12" t="str">
        <f>HYPERLINK(ACM_NEW!$D24, ACM_NEW!$B24)</f>
        <v>A Survey of Protocol Fuzzing</v>
      </c>
      <c r="D124" s="13">
        <f>ACM_NEW!$H24</f>
        <v>36</v>
      </c>
    </row>
    <row r="125" spans="1:4">
      <c r="A125">
        <v>123</v>
      </c>
      <c r="B125" t="s">
        <v>1366</v>
      </c>
      <c r="C125" s="12" t="str">
        <f>HYPERLINK(ACM_NEW!$D25, ACM_NEW!$B25)</f>
        <v>Enabling Industry 4.0 Communication Protocol Interoperability: An OPC UA Case Study</v>
      </c>
      <c r="D125" s="13">
        <f>ACM_NEW!$H25</f>
        <v>9</v>
      </c>
    </row>
    <row r="126" spans="1:4">
      <c r="A126">
        <v>124</v>
      </c>
      <c r="B126" t="s">
        <v>1366</v>
      </c>
      <c r="C126" s="12" t="str">
        <f>HYPERLINK(ACM_NEW!$D26, ACM_NEW!$B26)</f>
        <v>Using Machine Learning to detect abnormalities on Modbus/TCP Networks</v>
      </c>
      <c r="D126" s="13">
        <f>ACM_NEW!$H26</f>
        <v>6</v>
      </c>
    </row>
    <row r="127" spans="1:4">
      <c r="A127">
        <v>125</v>
      </c>
      <c r="B127" t="s">
        <v>1366</v>
      </c>
      <c r="C127" s="12" t="str">
        <f>HYPERLINK(ACM_NEW!$D27, ACM_NEW!$B27)</f>
        <v>A Medium-Interaction Emulation and Monitoring System for Operational Technology</v>
      </c>
      <c r="D127" s="13">
        <f>ACM_NEW!$H27</f>
        <v>7</v>
      </c>
    </row>
    <row r="128" spans="1:4">
      <c r="A128">
        <v>126</v>
      </c>
      <c r="B128" t="s">
        <v>1366</v>
      </c>
      <c r="C128" s="12" t="str">
        <f>HYPERLINK(ACM_NEW!$D28, ACM_NEW!$B28)</f>
        <v>vBump: Securing Ethernet-based Industrial Control System Networks with VLAN-based Traffic Aggregation</v>
      </c>
      <c r="D128" s="13">
        <f>ACM_NEW!$H28</f>
        <v>12</v>
      </c>
    </row>
    <row r="129" spans="1:4">
      <c r="A129">
        <v>127</v>
      </c>
      <c r="B129" t="s">
        <v>1366</v>
      </c>
      <c r="C129" s="12" t="str">
        <f>HYPERLINK(ACM_NEW!$D29, ACM_NEW!$B29)</f>
        <v>BayesImposter: Bayesian Estimation Based.bss Imposter Attack on Industrial Control Systems</v>
      </c>
      <c r="D129" s="13">
        <f>ACM_NEW!$H29</f>
        <v>15</v>
      </c>
    </row>
    <row r="130" spans="1:4">
      <c r="A130">
        <v>128</v>
      </c>
      <c r="B130" t="s">
        <v>1366</v>
      </c>
      <c r="C130" s="12" t="str">
        <f>HYPERLINK(ACM_NEW!$D30, ACM_NEW!$B30)</f>
        <v>ICS3Fuzzer: A Framework for Discovering Protocol Implementation Bugs in ICS Supervisory Software by Fuzzing</v>
      </c>
      <c r="D130" s="13">
        <f>ACM_NEW!$H30</f>
        <v>12</v>
      </c>
    </row>
    <row r="131" spans="1:4">
      <c r="A131">
        <v>129</v>
      </c>
      <c r="B131" t="s">
        <v>1366</v>
      </c>
      <c r="C131" s="12" t="str">
        <f>HYPERLINK(ACM_NEW!$D31, ACM_NEW!$B31)</f>
        <v>Adaptability of Microservices Architecture in IoT Systems : A Comprehensive Review</v>
      </c>
      <c r="D131" s="13">
        <f>ACM_NEW!$H31</f>
        <v>9</v>
      </c>
    </row>
    <row r="132" spans="1:4">
      <c r="A132">
        <v>130</v>
      </c>
      <c r="B132" t="s">
        <v>1366</v>
      </c>
      <c r="C132" s="12" t="str">
        <f>HYPERLINK(ACM_NEW!$D32, ACM_NEW!$B32)</f>
        <v>BEANet: An Energy-efficient BLE Solution for High-capacity Equipment Area Network</v>
      </c>
      <c r="D132" s="13">
        <f>ACM_NEW!$H32</f>
        <v>23</v>
      </c>
    </row>
    <row r="133" spans="1:4">
      <c r="A133">
        <v>131</v>
      </c>
      <c r="B133" t="s">
        <v>1366</v>
      </c>
      <c r="C133" s="12" t="str">
        <f>HYPERLINK(ACM_NEW!$D33, ACM_NEW!$B33)</f>
        <v>Old MacDonald had a smart farm: Building a testbed to study cybersecurity in smart dairy farming</v>
      </c>
      <c r="D133" s="13">
        <f>ACM_NEW!$H33</f>
        <v>9</v>
      </c>
    </row>
    <row r="134" spans="1:4">
      <c r="A134">
        <v>132</v>
      </c>
      <c r="B134" t="s">
        <v>1366</v>
      </c>
      <c r="C134" s="12" t="str">
        <f>HYPERLINK(ACM_NEW!$D34, ACM_NEW!$B34)</f>
        <v>From Playground to Battleground: Cyber Range Training for Industrial Cybersecurity Education</v>
      </c>
      <c r="D134" s="13">
        <f>ACM_NEW!$H34</f>
        <v>6</v>
      </c>
    </row>
    <row r="135" spans="1:4">
      <c r="A135">
        <v>133</v>
      </c>
      <c r="B135" t="s">
        <v>1366</v>
      </c>
      <c r="C135" s="12" t="str">
        <f>HYPERLINK(ACM_NEW!$D35, ACM_NEW!$B35)</f>
        <v>Design and Implementation of Hardware and Peripheral System for IoT Gateway</v>
      </c>
      <c r="D135" s="13">
        <f>ACM_NEW!$H35</f>
        <v>7</v>
      </c>
    </row>
    <row r="136" spans="1:4">
      <c r="A136">
        <v>134</v>
      </c>
      <c r="B136" t="s">
        <v>1366</v>
      </c>
      <c r="C136" s="12" t="str">
        <f>HYPERLINK(ACM_NEW!$D36, ACM_NEW!$B36)</f>
        <v>A Digital Twin Architecture for the Provisioning, Management, and Monitoring of Heterogenous IoT Devices</v>
      </c>
      <c r="D136" s="13">
        <f>ACM_NEW!$H36</f>
        <v>11</v>
      </c>
    </row>
    <row r="137" spans="1:4">
      <c r="A137">
        <v>135</v>
      </c>
      <c r="B137" t="s">
        <v>1366</v>
      </c>
      <c r="C137" s="12" t="str">
        <f>HYPERLINK(ACM_NEW!$D37, ACM_NEW!$B37)</f>
        <v>A Time-Sensitive Network Traffic Scheduling Method Under Critical Time-Triggered Stream Constraints</v>
      </c>
      <c r="D137" s="13">
        <f>ACM_NEW!$H37</f>
        <v>9</v>
      </c>
    </row>
    <row r="138" spans="1:4">
      <c r="A138">
        <v>136</v>
      </c>
      <c r="B138" t="s">
        <v>1366</v>
      </c>
      <c r="C138" s="12" t="str">
        <f>HYPERLINK(ACM_NEW!$D38, ACM_NEW!$B38)</f>
        <v>Model-Driven approach to Cyber Risk Analysis in Industry 4.0</v>
      </c>
      <c r="D138" s="13">
        <f>ACM_NEW!$H38</f>
        <v>7</v>
      </c>
    </row>
    <row r="139" spans="1:4">
      <c r="A139">
        <v>137</v>
      </c>
      <c r="B139" t="s">
        <v>1366</v>
      </c>
      <c r="C139" s="12" t="str">
        <f>HYPERLINK(ACM_NEW!$D39, ACM_NEW!$B39)</f>
        <v>Research on the realization of distance education practical training courses based on digital twin technology</v>
      </c>
      <c r="D139" s="13">
        <f>ACM_NEW!$H39</f>
        <v>7</v>
      </c>
    </row>
    <row r="140" spans="1:4">
      <c r="A140">
        <v>138</v>
      </c>
      <c r="B140" t="s">
        <v>1366</v>
      </c>
      <c r="C140" s="12" t="str">
        <f>HYPERLINK(ACM_NEW!$D40, ACM_NEW!$B40)</f>
        <v>Sentinel: A Robust Intrusion Detection System for IoT Networks Using Kernel-Level System Information</v>
      </c>
      <c r="D140" s="13">
        <f>ACM_NEW!$H40</f>
        <v>14</v>
      </c>
    </row>
    <row r="141" spans="1:4">
      <c r="A141">
        <v>139</v>
      </c>
      <c r="B141" t="s">
        <v>28</v>
      </c>
      <c r="C141" s="12" t="str">
        <f>HYPERLINK(SCOPUS_NEW!$N2, SCOPUS_NEW!$D2)</f>
        <v>Edge Computing-Enabled Predictive Maintenance System with Multi-Protocol RTU Integration for Industry 4.0 Applications</v>
      </c>
      <c r="D141" s="13">
        <f>SCOPUS_NEW!$V2</f>
        <v>8</v>
      </c>
    </row>
    <row r="142" spans="1:4">
      <c r="A142">
        <v>140</v>
      </c>
      <c r="B142" t="s">
        <v>28</v>
      </c>
      <c r="C142" s="12" t="str">
        <f>HYPERLINK(SCOPUS_NEW!$N3, SCOPUS_NEW!$D3)</f>
        <v>Cyber4OT dataset: Network traces for cyber-security vulnerability evaluation in industrial control systems</v>
      </c>
      <c r="D142" s="13">
        <f>SCOPUS_NEW!$V3</f>
        <v>0</v>
      </c>
    </row>
    <row r="143" spans="1:4">
      <c r="A143">
        <v>141</v>
      </c>
      <c r="B143" t="s">
        <v>28</v>
      </c>
      <c r="C143" s="12" t="str">
        <f>HYPERLINK(SCOPUS_NEW!$N4, SCOPUS_NEW!$D4)</f>
        <v>Exponential Backoff and Its Security Implications for Safety-Critical OT Protocols over TCP/IP Networks</v>
      </c>
      <c r="D143" s="13">
        <f>SCOPUS_NEW!$V4</f>
        <v>0</v>
      </c>
    </row>
    <row r="144" spans="1:4">
      <c r="A144">
        <v>142</v>
      </c>
      <c r="B144" t="s">
        <v>28</v>
      </c>
      <c r="C144" s="12" t="str">
        <f>HYPERLINK(SCOPUS_NEW!$N5, SCOPUS_NEW!$D5)</f>
        <v>TSCH in Edge IoT: A Comprehensive Survey of Research Challenges</v>
      </c>
      <c r="D144" s="13">
        <f>SCOPUS_NEW!$V5</f>
        <v>0</v>
      </c>
    </row>
    <row r="145" spans="1:4">
      <c r="A145">
        <v>143</v>
      </c>
      <c r="B145" t="s">
        <v>28</v>
      </c>
      <c r="C145" s="12" t="str">
        <f>HYPERLINK(SCOPUS_NEW!$N6, SCOPUS_NEW!$D6)</f>
        <v>Unleashing the Potential of Industrial IoT and Industry 5.0</v>
      </c>
      <c r="D145" s="13">
        <f>SCOPUS_NEW!$V6</f>
        <v>0</v>
      </c>
    </row>
    <row r="146" spans="1:4">
      <c r="A146">
        <v>144</v>
      </c>
      <c r="B146" t="s">
        <v>28</v>
      </c>
      <c r="C146" s="12" t="str">
        <f>HYPERLINK(SCOPUS_NEW!$N7, SCOPUS_NEW!$D7)</f>
        <v>Energy-Efficient Wireless Sensor Networks Optimization using Deep Q-Networks for Smart Energy Applications</v>
      </c>
      <c r="D146" s="13">
        <f>SCOPUS_NEW!$V7</f>
        <v>4</v>
      </c>
    </row>
    <row r="147" spans="1:4">
      <c r="A147">
        <v>145</v>
      </c>
      <c r="B147" t="s">
        <v>28</v>
      </c>
      <c r="C147" s="12" t="str">
        <f>HYPERLINK(SCOPUS_NEW!$N8, SCOPUS_NEW!$D8)</f>
        <v>Methodology for Assessing Existing Vulnerabilities in Modbus Protocol</v>
      </c>
      <c r="D147" s="13">
        <f>SCOPUS_NEW!$V8</f>
        <v>10</v>
      </c>
    </row>
    <row r="148" spans="1:4">
      <c r="A148">
        <v>146</v>
      </c>
      <c r="B148" t="s">
        <v>28</v>
      </c>
      <c r="C148" s="12" t="str">
        <f>HYPERLINK(SCOPUS_NEW!$N9, SCOPUS_NEW!$D9)</f>
        <v>IoTForge Pro: A Security Testbed for Generating Intrusion Dataset for Industrial IoT</v>
      </c>
      <c r="D148" s="13">
        <f>SCOPUS_NEW!$V9</f>
        <v>7</v>
      </c>
    </row>
    <row r="149" spans="1:4">
      <c r="A149">
        <v>147</v>
      </c>
      <c r="B149" t="s">
        <v>28</v>
      </c>
      <c r="C149" s="12" t="str">
        <f>HYPERLINK(SCOPUS_NEW!$N10, SCOPUS_NEW!$D10)</f>
        <v>Simulation and modeling of a robust cybersecurity system for next-generation manufacturing execution</v>
      </c>
      <c r="D149" s="13">
        <f>SCOPUS_NEW!$V10</f>
        <v>0</v>
      </c>
    </row>
    <row r="150" spans="1:4">
      <c r="A150">
        <v>148</v>
      </c>
      <c r="B150" t="s">
        <v>28</v>
      </c>
      <c r="C150" s="12" t="str">
        <f>HYPERLINK(SCOPUS_NEW!$N11, SCOPUS_NEW!$D11)</f>
        <v>Securing industrial control systems: Developing a SCADA/IoT test bench and evaluating lightweight cipher performance on hardware simulator</v>
      </c>
      <c r="D150" s="13">
        <f>SCOPUS_NEW!$V11</f>
        <v>0</v>
      </c>
    </row>
    <row r="151" spans="1:4">
      <c r="A151">
        <v>149</v>
      </c>
      <c r="B151" t="s">
        <v>28</v>
      </c>
      <c r="C151" s="12" t="str">
        <f>HYPERLINK(SCOPUS_NEW!$N12, SCOPUS_NEW!$D12)</f>
        <v>OPC-UA in interoperability - a performance comparative testing</v>
      </c>
      <c r="D151" s="13">
        <f>SCOPUS_NEW!$V12</f>
        <v>5</v>
      </c>
    </row>
    <row r="152" spans="1:4">
      <c r="A152">
        <v>150</v>
      </c>
      <c r="B152" t="s">
        <v>28</v>
      </c>
      <c r="C152" s="12" t="str">
        <f>HYPERLINK(SCOPUS_NEW!$N13, SCOPUS_NEW!$D13)</f>
        <v>A Comparative Analysis of Application Layer Protocols Within an Industrial Internet of Things Monitoring System</v>
      </c>
      <c r="D152" s="13">
        <f>SCOPUS_NEW!$V13</f>
        <v>0</v>
      </c>
    </row>
    <row r="153" spans="1:4">
      <c r="A153">
        <v>151</v>
      </c>
      <c r="B153" t="s">
        <v>28</v>
      </c>
      <c r="C153" s="12" t="str">
        <f>HYPERLINK(SCOPUS_NEW!$N14, SCOPUS_NEW!$D14)</f>
        <v>Holistic Risk Assessment in Industrial Control Systems: Combining Multiple Bayesian Networks with Multi-Criteria Decision Making</v>
      </c>
      <c r="D153" s="13">
        <f>SCOPUS_NEW!$V14</f>
        <v>5</v>
      </c>
    </row>
    <row r="154" spans="1:4">
      <c r="A154">
        <v>152</v>
      </c>
      <c r="B154" t="s">
        <v>28</v>
      </c>
      <c r="C154" s="12" t="str">
        <f>HYPERLINK(SCOPUS_NEW!$N15, SCOPUS_NEW!$D15)</f>
        <v>Enhancing Industrial Communication Protocol Fuzz Testing Through Virtualization And Intelligent Guidance</v>
      </c>
      <c r="D154" s="13">
        <f>SCOPUS_NEW!$V15</f>
        <v>4</v>
      </c>
    </row>
    <row r="155" spans="1:4">
      <c r="A155">
        <v>153</v>
      </c>
      <c r="B155" t="s">
        <v>28</v>
      </c>
      <c r="C155" s="12" t="str">
        <f>HYPERLINK(SCOPUS_NEW!$N16, SCOPUS_NEW!$D16)</f>
        <v>SEAG: A novel dynamic security risk assessment method for industrial control systems with consideration of social engineering</v>
      </c>
      <c r="D155" s="13">
        <f>SCOPUS_NEW!$V16</f>
        <v>0</v>
      </c>
    </row>
    <row r="156" spans="1:4">
      <c r="A156">
        <v>154</v>
      </c>
      <c r="B156" t="s">
        <v>28</v>
      </c>
      <c r="C156" s="12" t="str">
        <f>HYPERLINK(SCOPUS_NEW!$N17, SCOPUS_NEW!$D17)</f>
        <v>Secure Sensor Prototype Using Hardware Security Modules and Trusted Execution Environments in a Blockchain Application: Wine Logistic Use Case</v>
      </c>
      <c r="D156" s="13">
        <f>SCOPUS_NEW!$V17</f>
        <v>0</v>
      </c>
    </row>
    <row r="157" spans="1:4">
      <c r="A157">
        <v>155</v>
      </c>
      <c r="B157" t="s">
        <v>28</v>
      </c>
      <c r="C157" s="12" t="str">
        <f>HYPERLINK(SCOPUS_NEW!$N18, SCOPUS_NEW!$D18)</f>
        <v>The SAir-IIoT Cyber Testbed as a Service: A Novel Cybertwins Architecture in IIoT-Based Smart Airports</v>
      </c>
      <c r="D157" s="13">
        <f>SCOPUS_NEW!$V18</f>
        <v>13</v>
      </c>
    </row>
    <row r="158" spans="1:4">
      <c r="A158">
        <v>156</v>
      </c>
      <c r="B158" t="s">
        <v>28</v>
      </c>
      <c r="C158" s="12" t="str">
        <f>HYPERLINK(SCOPUS_NEW!$N19, SCOPUS_NEW!$D19)</f>
        <v>Contention Congestion Collision Adaptive Data Rate for LoRaWAN-Based Challenging Industrial IoT</v>
      </c>
      <c r="D158" s="13">
        <f>SCOPUS_NEW!$V19</f>
        <v>5</v>
      </c>
    </row>
    <row r="159" spans="1:4">
      <c r="A159">
        <v>157</v>
      </c>
      <c r="B159" t="s">
        <v>28</v>
      </c>
      <c r="C159" s="12" t="str">
        <f>HYPERLINK(SCOPUS_NEW!$N20, SCOPUS_NEW!$D20)</f>
        <v>Performance evaluation of MQTT and CoAP communication protocols in IIoT for electrical substations based on the IEC 61850 standard</v>
      </c>
      <c r="D159" s="13">
        <f>SCOPUS_NEW!$V20</f>
        <v>5</v>
      </c>
    </row>
    <row r="160" spans="1:4">
      <c r="A160">
        <v>158</v>
      </c>
      <c r="B160" t="s">
        <v>28</v>
      </c>
      <c r="C160" s="12" t="str">
        <f>HYPERLINK(SCOPUS_NEW!$N21, SCOPUS_NEW!$D21)</f>
        <v>SWaP: A Water Process Testbed for ICS Security Research</v>
      </c>
      <c r="D160" s="13">
        <f>SCOPUS_NEW!$V21</f>
        <v>0</v>
      </c>
    </row>
    <row r="161" spans="1:4">
      <c r="A161">
        <v>159</v>
      </c>
      <c r="B161" t="s">
        <v>28</v>
      </c>
      <c r="C161" s="12" t="str">
        <f>HYPERLINK(SCOPUS_NEW!$N22, SCOPUS_NEW!$D22)</f>
        <v>Towards Performance Benchmarking of Cyclic OPC UA PubSub over TSN</v>
      </c>
      <c r="D161" s="13">
        <f>SCOPUS_NEW!$V22</f>
        <v>0</v>
      </c>
    </row>
    <row r="162" spans="1:4">
      <c r="A162">
        <v>160</v>
      </c>
      <c r="B162" t="s">
        <v>28</v>
      </c>
      <c r="C162" s="12" t="str">
        <f>HYPERLINK(SCOPUS_NEW!$N23, SCOPUS_NEW!$D23)</f>
        <v>Security and Effectiveness Analysis of the Gateway Integrity Checking Protocol</v>
      </c>
      <c r="D162" s="13">
        <f>SCOPUS_NEW!$V23</f>
        <v>8</v>
      </c>
    </row>
    <row r="163" spans="1:4">
      <c r="A163">
        <v>161</v>
      </c>
      <c r="B163" t="s">
        <v>28</v>
      </c>
      <c r="C163" s="12" t="str">
        <f>HYPERLINK(SCOPUS_NEW!$N24, SCOPUS_NEW!$D24)</f>
        <v>ICS3Fuzzer: A Framework for Discovering Protocol Implementation Bugs in ICS Supervisory Software by Fuzzing</v>
      </c>
      <c r="D163" s="13">
        <f>SCOPUS_NEW!$V24</f>
        <v>11</v>
      </c>
    </row>
    <row r="164" spans="1:4">
      <c r="A164">
        <v>162</v>
      </c>
      <c r="B164" t="s">
        <v>28</v>
      </c>
      <c r="C164" s="12" t="str">
        <f>HYPERLINK(SCOPUS_NEW!$N25, SCOPUS_NEW!$D25)</f>
        <v>A performance analysis of internet of things networking protocols: Evaluating MQTT, CoAP, OPC UA</v>
      </c>
      <c r="D164" s="13">
        <f>SCOPUS_NEW!$V25</f>
        <v>0</v>
      </c>
    </row>
    <row r="165" spans="1:4">
      <c r="A165">
        <v>163</v>
      </c>
      <c r="B165" t="s">
        <v>28</v>
      </c>
      <c r="C165" s="12" t="str">
        <f>HYPERLINK(SCOPUS_NEW!$N26, SCOPUS_NEW!$D26)</f>
        <v>Developing a security testbed for industrial internet of things</v>
      </c>
      <c r="D165" s="13">
        <f>SCOPUS_NEW!$V26</f>
        <v>15</v>
      </c>
    </row>
    <row r="166" spans="1:4">
      <c r="A166">
        <v>164</v>
      </c>
      <c r="B166" t="s">
        <v>28</v>
      </c>
      <c r="C166" s="12" t="str">
        <f>HYPERLINK(SCOPUS_NEW!$N27, SCOPUS_NEW!$D27)</f>
        <v>Security Transformation Technology for Electricity Metering Communication Protocol; 电能计量用通信规约安全改造技术</v>
      </c>
      <c r="D166" s="13">
        <f>SCOPUS_NEW!$V27</f>
        <v>7</v>
      </c>
    </row>
    <row r="167" spans="1:4">
      <c r="A167">
        <v>165</v>
      </c>
      <c r="B167" t="s">
        <v>28</v>
      </c>
      <c r="C167" s="12" t="str">
        <f>HYPERLINK(SCOPUS_NEW!$N28, SCOPUS_NEW!$D28)</f>
        <v>Implementation of Cyber-Physical Systems with Modbus Communication for Security Studies</v>
      </c>
      <c r="D167" s="13">
        <f>SCOPUS_NEW!$V28</f>
        <v>5</v>
      </c>
    </row>
    <row r="168" spans="1:4">
      <c r="A168">
        <v>166</v>
      </c>
      <c r="B168" t="s">
        <v>28</v>
      </c>
      <c r="C168" s="12" t="str">
        <f>HYPERLINK(SCOPUS_NEW!$N29, SCOPUS_NEW!$D29)</f>
        <v>SCADA Testbed Implementation, Attacks, and Security Solutions</v>
      </c>
      <c r="D168" s="13">
        <f>SCOPUS_NEW!$V29</f>
        <v>19</v>
      </c>
    </row>
    <row r="169" spans="1:4">
      <c r="A169">
        <v>167</v>
      </c>
      <c r="B169" t="s">
        <v>28</v>
      </c>
      <c r="C169" s="12" t="str">
        <f>HYPERLINK(SCOPUS_NEW!$N30, SCOPUS_NEW!$D30)</f>
        <v>Performance Evaluation and Modeling of an Industrial Application-Layer Firewall</v>
      </c>
      <c r="D169" s="13">
        <f>SCOPUS_NEW!$V30</f>
        <v>11</v>
      </c>
    </row>
    <row r="170" spans="1:4">
      <c r="A170">
        <v>168</v>
      </c>
      <c r="B170" t="s">
        <v>28</v>
      </c>
      <c r="C170" s="12" t="str">
        <f>HYPERLINK(SCOPUS_NEW!$N31, SCOPUS_NEW!$D31)</f>
        <v>End-to-End Delay Evaluation of Industrial Automation Systems Based on EtherCAT</v>
      </c>
      <c r="D170" s="13">
        <f>SCOPUS_NEW!$V31</f>
        <v>7</v>
      </c>
    </row>
    <row r="171" spans="1:4">
      <c r="A171">
        <v>169</v>
      </c>
      <c r="B171" t="s">
        <v>1365</v>
      </c>
      <c r="C171" s="12" t="str">
        <f>HYPERLINK(WoS_NEW!$BF2, WoS_NEW!$I2)</f>
        <v>SEAG: A novel dynamic security risk assessment method for industrial control systems with consideration of social engineering</v>
      </c>
      <c r="D171" s="13">
        <f>WoS_NEW!$BW2</f>
        <v>0</v>
      </c>
    </row>
    <row r="172" spans="1:4">
      <c r="A172">
        <v>170</v>
      </c>
      <c r="B172" t="s">
        <v>1365</v>
      </c>
      <c r="C172" s="12" t="str">
        <f>HYPERLINK(WoS_NEW!$BF3, WoS_NEW!$I3)</f>
        <v>Developing a Security Testbed for Industrial Internet of Things</v>
      </c>
      <c r="D172" s="13">
        <f>WoS_NEW!$BW3</f>
        <v>15</v>
      </c>
    </row>
    <row r="173" spans="1:4">
      <c r="A173">
        <v>171</v>
      </c>
      <c r="B173" t="s">
        <v>1365</v>
      </c>
      <c r="C173" s="12" t="str">
        <f>HYPERLINK(WoS_NEW!$BF4, WoS_NEW!$I4)</f>
        <v>Securing industrial control systems: Developing a SCADA/IoT test bench and evaluating lightweight cipher performance on hardware simulator</v>
      </c>
      <c r="D173" s="13">
        <f>WoS_NEW!$BW4</f>
        <v>0</v>
      </c>
    </row>
    <row r="174" spans="1:4">
      <c r="A174">
        <v>172</v>
      </c>
      <c r="B174" t="s">
        <v>1365</v>
      </c>
      <c r="C174" s="12" t="str">
        <f>HYPERLINK(WoS_NEW!$BF5, WoS_NEW!$I5)</f>
        <v>IoTForge Pro: A Security Testbed for Generating Intrusion Dataset for Industrial IoT</v>
      </c>
      <c r="D174" s="13">
        <f>WoS_NEW!$BW5</f>
        <v>7</v>
      </c>
    </row>
    <row r="175" spans="1:4">
      <c r="A175">
        <v>173</v>
      </c>
      <c r="B175" t="s">
        <v>1365</v>
      </c>
      <c r="C175" s="12" t="str">
        <f>HYPERLINK(WoS_NEW!$BF6, WoS_NEW!$I6)</f>
        <v>The SAir-IIoT Cyber Testbed as a Service: A Novel Cybertwins Architecture in IIoT-Based Smart Airports</v>
      </c>
      <c r="D175" s="13">
        <f>WoS_NEW!$BW6</f>
        <v>13</v>
      </c>
    </row>
    <row r="176" spans="1:4">
      <c r="A176">
        <v>174</v>
      </c>
      <c r="B176" t="s">
        <v>1365</v>
      </c>
      <c r="C176" s="12" t="str">
        <f>HYPERLINK(WoS_NEW!$BF7, WoS_NEW!$I7)</f>
        <v>End-to-end Delay Evaluation of Industrial Automation Systems based on EtherCAT</v>
      </c>
      <c r="D176" s="13">
        <f>WoS_NEW!$BW7</f>
        <v>7</v>
      </c>
    </row>
    <row r="177" spans="1:4">
      <c r="A177">
        <v>175</v>
      </c>
      <c r="B177" t="s">
        <v>1365</v>
      </c>
      <c r="C177" s="12" t="str">
        <f>HYPERLINK(WoS_NEW!$BF8, WoS_NEW!$I8)</f>
        <v>Towards Performance Benchmarking of Cyclic OPC UA PubSub over TSN</v>
      </c>
      <c r="D177" s="13">
        <f>WoS_NEW!$BW8</f>
        <v>0</v>
      </c>
    </row>
    <row r="178" spans="1:4">
      <c r="A178">
        <v>176</v>
      </c>
      <c r="B178" t="s">
        <v>1365</v>
      </c>
      <c r="C178" s="12" t="str">
        <f>HYPERLINK(WoS_NEW!$BF9, WoS_NEW!$I9)</f>
        <v>A Comparative Analysis of Application Layer Protocols within an Industrial Internet of Things Monitoring System</v>
      </c>
      <c r="D178" s="13">
        <f>WoS_NEW!$BW9</f>
        <v>0</v>
      </c>
    </row>
    <row r="179" spans="1:4">
      <c r="A179">
        <v>177</v>
      </c>
      <c r="B179" t="s">
        <v>1365</v>
      </c>
      <c r="C179" s="12" t="str">
        <f>HYPERLINK(WoS_NEW!$BF10, WoS_NEW!$I10)</f>
        <v>Holistic Risk Assessment in Industrial Control Systems: Combining Multiple Bayesian Networks with Multi-Criteria Decision Making</v>
      </c>
      <c r="D179" s="13">
        <f>WoS_NEW!$BW10</f>
        <v>5</v>
      </c>
    </row>
    <row r="180" spans="1:4">
      <c r="A180">
        <v>178</v>
      </c>
      <c r="B180" t="s">
        <v>1365</v>
      </c>
      <c r="C180" s="12" t="str">
        <f>HYPERLINK(WoS_NEW!$BF11, WoS_NEW!$I11)</f>
        <v>Performance Evaluation and Modeling of an Industrial Application-Layer Firewall</v>
      </c>
      <c r="D180" s="13">
        <f>WoS_NEW!$BW11</f>
        <v>11</v>
      </c>
    </row>
    <row r="181" spans="1:4">
      <c r="A181">
        <v>179</v>
      </c>
      <c r="B181" t="s">
        <v>1365</v>
      </c>
      <c r="C181" s="12" t="str">
        <f>HYPERLINK(WoS_NEW!$BF12, WoS_NEW!$I12)</f>
        <v>A Performance Analysis of Internet of Things Networking Protocols: Evaluating MQTT, CoAP, OPC UA</v>
      </c>
      <c r="D181" s="13">
        <f>WoS_NEW!$BW12</f>
        <v>0</v>
      </c>
    </row>
    <row r="182" spans="1:4">
      <c r="A182">
        <v>180</v>
      </c>
      <c r="B182" t="s">
        <v>1365</v>
      </c>
      <c r="C182" s="12" t="str">
        <f>HYPERLINK(WoS_NEW!$BF13, WoS_NEW!$I13)</f>
        <v>Secure Sensor Prototype Using Hardware Security Modules and Trusted Execution Environments in a Blockchain Application: Wine Logistic Use Case</v>
      </c>
      <c r="D182" s="13">
        <f>WoS_NEW!$BW13</f>
        <v>0</v>
      </c>
    </row>
    <row r="183" spans="1:4">
      <c r="A183">
        <v>181</v>
      </c>
      <c r="B183" t="s">
        <v>1365</v>
      </c>
      <c r="C183" s="12" t="str">
        <f>HYPERLINK(WoS_NEW!$BF14, WoS_NEW!$I14)</f>
        <v>Cyber4OT dataset: Network traces for cyber-security vulnerability evaluation in industrial control systems</v>
      </c>
      <c r="D183" s="13">
        <f>WoS_NEW!$BW14</f>
        <v>0</v>
      </c>
    </row>
    <row r="184" spans="1:4">
      <c r="A184">
        <v>182</v>
      </c>
      <c r="B184" t="s">
        <v>1365</v>
      </c>
      <c r="C184" s="12" t="str">
        <f>HYPERLINK(WoS_NEW!$BF15, WoS_NEW!$I15)</f>
        <v>ICS3Fuzzer: A Framework for Discovering Protocol Implementation Bugs in ICS Supervisory Software by Fuzzing</v>
      </c>
      <c r="D184" s="13">
        <f>WoS_NEW!$BW15</f>
        <v>11</v>
      </c>
    </row>
    <row r="185" spans="1:4">
      <c r="A185">
        <v>183</v>
      </c>
      <c r="B185" t="s">
        <v>1365</v>
      </c>
      <c r="C185" s="12" t="str">
        <f>HYPERLINK(WoS_NEW!$BF16, WoS_NEW!$I16)</f>
        <v>Energy-Efficient Wireless Sensor Networks Optimization using Deep Q-Networks for Smart Energy Applications</v>
      </c>
      <c r="D185" s="13">
        <f>WoS_NEW!$BW16</f>
        <v>4</v>
      </c>
    </row>
    <row r="186" spans="1:4">
      <c r="A186">
        <v>184</v>
      </c>
      <c r="B186" t="s">
        <v>1365</v>
      </c>
      <c r="C186" s="12" t="str">
        <f>HYPERLINK(WoS_NEW!$BF17, WoS_NEW!$I17)</f>
        <v>Exponential Backoff and Its Security Implications for Safety-Critical OT Protocols over TCP/IP Networks</v>
      </c>
      <c r="D186" s="13">
        <f>WoS_NEW!$BW17</f>
        <v>0</v>
      </c>
    </row>
    <row r="187" spans="1:4">
      <c r="A187">
        <v>185</v>
      </c>
      <c r="B187" t="s">
        <v>1365</v>
      </c>
      <c r="C187" s="12" t="str">
        <f>HYPERLINK(WoS_NEW!$BF18, WoS_NEW!$I18)</f>
        <v>Security and Effectiveness Analysis of the Gateway Integrity Checking Protocol</v>
      </c>
      <c r="D187" s="13">
        <f>WoS_NEW!$BW18</f>
        <v>8</v>
      </c>
    </row>
    <row r="188" spans="1:4">
      <c r="A188">
        <v>186</v>
      </c>
      <c r="B188" t="s">
        <v>1365</v>
      </c>
      <c r="C188" s="12" t="str">
        <f>HYPERLINK(WoS_NEW!$BF19, WoS_NEW!$I19)</f>
        <v>Simulation and modeling of a robust cybersecurity system for next-generation manufacturing execution</v>
      </c>
      <c r="D188" s="13">
        <f>WoS_NEW!$BW19</f>
        <v>0</v>
      </c>
    </row>
    <row r="189" spans="1:4">
      <c r="A189">
        <v>187</v>
      </c>
      <c r="B189" t="s">
        <v>19</v>
      </c>
      <c r="C189" s="12" t="str">
        <f>HYPERLINK(IEEE_NEW!$P102, IEEE_NEW!$A102)</f>
        <v>A Testbed for Evaluating Performance and Cybersecurity Implications of IEC-61850 GOOSE Hardware Implementations</v>
      </c>
      <c r="D189" s="13">
        <f>IEEE_NEW!$AC102</f>
        <v>6</v>
      </c>
    </row>
    <row r="190" spans="1:4">
      <c r="A190">
        <v>188</v>
      </c>
      <c r="B190" t="s">
        <v>19</v>
      </c>
      <c r="C190" s="12" t="str">
        <f>HYPERLINK(IEEE_NEW!$P103, IEEE_NEW!$A103)</f>
        <v>Benchmarking Cloud-Based SCADA System</v>
      </c>
      <c r="D190" s="13">
        <f>IEEE_NEW!$AC103</f>
        <v>8</v>
      </c>
    </row>
    <row r="191" spans="1:4">
      <c r="A191">
        <v>189</v>
      </c>
      <c r="B191" t="s">
        <v>19</v>
      </c>
      <c r="C191" s="12" t="str">
        <f>HYPERLINK(IEEE_NEW!$P104, IEEE_NEW!$A104)</f>
        <v>Implementing a performant security control for Industrial Ethernet</v>
      </c>
      <c r="D191" s="13">
        <f>IEEE_NEW!$AC104</f>
        <v>4</v>
      </c>
    </row>
    <row r="192" spans="1:4">
      <c r="A192">
        <v>190</v>
      </c>
      <c r="B192" t="s">
        <v>19</v>
      </c>
      <c r="C192" s="12" t="str">
        <f>HYPERLINK(IEEE_NEW!$P105, IEEE_NEW!$A105)</f>
        <v>Passive Device Fingerprinting for OT Networks Using Byte Histograms</v>
      </c>
      <c r="D192" s="13">
        <f>IEEE_NEW!$AC105</f>
        <v>6</v>
      </c>
    </row>
    <row r="193" spans="1:4">
      <c r="A193">
        <v>191</v>
      </c>
      <c r="B193" t="s">
        <v>19</v>
      </c>
      <c r="C193" s="12" t="str">
        <f>HYPERLINK(IEEE_NEW!$P106, IEEE_NEW!$A106)</f>
        <v>Safety and Security: A Field of Tension in Industrial Practice</v>
      </c>
      <c r="D193" s="13">
        <f>IEEE_NEW!$AC106</f>
        <v>7</v>
      </c>
    </row>
    <row r="194" spans="1:4">
      <c r="A194">
        <v>192</v>
      </c>
      <c r="B194" t="s">
        <v>19</v>
      </c>
      <c r="C194" s="12" t="str">
        <f>HYPERLINK(IEEE_NEW!$P107, IEEE_NEW!$A107)</f>
        <v>The importance of testing Smart Grid IEDs against security vulnerabilities</v>
      </c>
      <c r="D194" s="13">
        <f>IEEE_NEW!$AC107</f>
        <v>21</v>
      </c>
    </row>
    <row r="195" spans="1:4">
      <c r="A195">
        <v>193</v>
      </c>
      <c r="B195" t="s">
        <v>19</v>
      </c>
      <c r="C195" s="12" t="str">
        <f>HYPERLINK(IEEE_NEW!$P108, IEEE_NEW!$A108)</f>
        <v>Virtual PLC in Industrial Edge Platform: Performance Evaluation of Supervision and Control Communication</v>
      </c>
      <c r="D195" s="13">
        <f>IEEE_NEW!$AC108</f>
        <v>10</v>
      </c>
    </row>
    <row r="196" spans="1:4">
      <c r="A196">
        <v>194</v>
      </c>
      <c r="B196" t="s">
        <v>28</v>
      </c>
      <c r="C196" s="12" t="str">
        <f>HYPERLINK(SCOPUS_NEW!$N32, SCOPUS_NEW!$D32)</f>
        <v>A Testbed for Evaluating Performance and Cybersecurity Implications of IEC-61850 GOOSE Hardware Implementations</v>
      </c>
      <c r="D196" s="13">
        <f>SCOPUS_NEW!$V32</f>
        <v>0</v>
      </c>
    </row>
    <row r="197" spans="1:4">
      <c r="A197">
        <v>195</v>
      </c>
      <c r="B197" t="s">
        <v>28</v>
      </c>
      <c r="C197" s="12" t="str">
        <f>HYPERLINK(SCOPUS_NEW!$N33, SCOPUS_NEW!$D33)</f>
        <v>Integrity Enhancing Protocols: Performance and Recommendations for Nuclear Systems</v>
      </c>
      <c r="D197" s="13">
        <f>SCOPUS_NEW!$V33</f>
        <v>10</v>
      </c>
    </row>
    <row r="198" spans="1:4">
      <c r="A198">
        <v>196</v>
      </c>
      <c r="B198" t="s">
        <v>1366</v>
      </c>
      <c r="C198" s="12" t="str">
        <f>HYPERLINK(ACM_NEW!$D41, ACM_NEW!$B41)</f>
        <v>Identification of industrial devices based on payload</v>
      </c>
      <c r="D198" s="13">
        <f>ACM_NEW!$H41</f>
        <v>9</v>
      </c>
    </row>
    <row r="199" spans="1:4">
      <c r="A199">
        <v>197</v>
      </c>
      <c r="B199" t="s">
        <v>1366</v>
      </c>
      <c r="C199" s="12" t="str">
        <f>HYPERLINK(ACM_NEW!$D42, ACM_NEW!$B42)</f>
        <v>Research on the realization of distance education practical training courses based on digital twin technology</v>
      </c>
      <c r="D199" s="13">
        <f>ACM_NEW!$H42</f>
        <v>7</v>
      </c>
    </row>
    <row r="254" spans="5:5">
      <c r="E254" s="9"/>
    </row>
    <row r="255" spans="5:5">
      <c r="E255" s="10"/>
    </row>
    <row r="256" spans="5:5">
      <c r="E256" s="9"/>
    </row>
    <row r="257" spans="5:5">
      <c r="E257" s="10"/>
    </row>
    <row r="258" spans="5:5">
      <c r="E258" s="9"/>
    </row>
    <row r="259" spans="5:5">
      <c r="E259" s="10"/>
    </row>
    <row r="260" spans="5:5">
      <c r="E260" s="9"/>
    </row>
    <row r="261" spans="5:5">
      <c r="E261" s="10"/>
    </row>
    <row r="262" spans="5:5">
      <c r="E262" s="9"/>
    </row>
    <row r="263" spans="5:5">
      <c r="E263" s="10"/>
    </row>
    <row r="264" spans="5:5">
      <c r="E264" s="9"/>
    </row>
    <row r="265" spans="5:5">
      <c r="E265" s="10"/>
    </row>
    <row r="266" spans="5:5">
      <c r="E266" s="9"/>
    </row>
    <row r="267" spans="5:5">
      <c r="E267" s="10"/>
    </row>
    <row r="268" spans="5:5">
      <c r="E268" s="9"/>
    </row>
    <row r="269" spans="5:5">
      <c r="E269" s="10"/>
    </row>
    <row r="270" spans="5:5">
      <c r="E270" s="9"/>
    </row>
    <row r="271" spans="5:5">
      <c r="E271" s="10"/>
    </row>
    <row r="272" spans="5:5">
      <c r="E272" s="9"/>
    </row>
    <row r="273" spans="5:5">
      <c r="E273" s="10"/>
    </row>
    <row r="274" spans="5:5">
      <c r="E274" s="9"/>
    </row>
    <row r="275" spans="5:5">
      <c r="E275" s="10"/>
    </row>
    <row r="276" spans="5:5">
      <c r="E276" s="9"/>
    </row>
    <row r="277" spans="5:5">
      <c r="E277" s="10"/>
    </row>
    <row r="278" spans="5:5">
      <c r="E278" s="9"/>
    </row>
    <row r="279" spans="5:5">
      <c r="E279" s="10"/>
    </row>
    <row r="280" spans="5:5">
      <c r="E280" s="9"/>
    </row>
    <row r="281" spans="5:5">
      <c r="E281" s="10"/>
    </row>
    <row r="282" spans="5:5">
      <c r="E282" s="9"/>
    </row>
    <row r="283" spans="5:5">
      <c r="E283" s="10"/>
    </row>
    <row r="284" spans="5:5">
      <c r="E284" s="9"/>
    </row>
    <row r="285" spans="5:5">
      <c r="E285" s="10"/>
    </row>
    <row r="286" spans="5:5">
      <c r="E286" s="9"/>
    </row>
    <row r="287" spans="5:5">
      <c r="E287" s="10"/>
    </row>
    <row r="288" spans="5:5">
      <c r="E288" s="9"/>
    </row>
    <row r="289" spans="3:5">
      <c r="E289" s="10"/>
    </row>
    <row r="290" spans="3:5">
      <c r="E290" s="9"/>
    </row>
    <row r="291" spans="3:5">
      <c r="E291" s="10"/>
    </row>
    <row r="292" spans="3:5">
      <c r="E292" s="9"/>
    </row>
    <row r="293" spans="3:5">
      <c r="E293" s="10"/>
    </row>
    <row r="294" spans="3:5">
      <c r="E294" s="9"/>
    </row>
    <row r="295" spans="3:5">
      <c r="E295" s="10"/>
    </row>
    <row r="296" spans="3:5">
      <c r="E296" s="9"/>
    </row>
    <row r="297" spans="3:5">
      <c r="E297" s="10"/>
    </row>
    <row r="298" spans="3:5">
      <c r="E298" s="9"/>
    </row>
    <row r="299" spans="3:5">
      <c r="E299" s="10"/>
    </row>
    <row r="300" spans="3:5">
      <c r="E300" s="9"/>
    </row>
    <row r="301" spans="3:5">
      <c r="E301" s="10"/>
    </row>
    <row r="302" spans="3:5">
      <c r="C302" s="12"/>
      <c r="D302" s="13"/>
      <c r="E302" s="9"/>
    </row>
    <row r="303" spans="3:5">
      <c r="C303" s="12"/>
      <c r="D303" s="13"/>
      <c r="E303" s="10"/>
    </row>
    <row r="304" spans="3:5">
      <c r="C304" s="12"/>
      <c r="D304" s="13"/>
      <c r="E304" s="9"/>
    </row>
    <row r="305" spans="3:5">
      <c r="C305" s="12"/>
      <c r="D305" s="13"/>
      <c r="E305" s="10"/>
    </row>
    <row r="306" spans="3:5">
      <c r="C306" s="12"/>
      <c r="D306" s="13"/>
      <c r="E306" s="9"/>
    </row>
    <row r="307" spans="3:5">
      <c r="C307" s="12"/>
      <c r="D307" s="13"/>
      <c r="E307" s="10"/>
    </row>
    <row r="308" spans="3:5">
      <c r="C308" s="12"/>
      <c r="D308" s="13"/>
      <c r="E308" s="9"/>
    </row>
    <row r="309" spans="3:5">
      <c r="C309" s="12"/>
      <c r="D309" s="13"/>
      <c r="E309" s="10"/>
    </row>
    <row r="310" spans="3:5">
      <c r="C310" s="12"/>
      <c r="D310" s="13"/>
      <c r="E310" s="9"/>
    </row>
    <row r="311" spans="3:5">
      <c r="C311" s="12"/>
      <c r="D311" s="13"/>
      <c r="E311" s="10"/>
    </row>
    <row r="312" spans="3:5">
      <c r="C312" s="12"/>
      <c r="D312" s="13"/>
      <c r="E312" s="9"/>
    </row>
    <row r="313" spans="3:5">
      <c r="C313" s="12"/>
      <c r="D313" s="13"/>
      <c r="E313" s="10"/>
    </row>
    <row r="314" spans="3:5">
      <c r="C314" s="12"/>
      <c r="D314" s="13"/>
      <c r="E314" s="9"/>
    </row>
    <row r="315" spans="3:5">
      <c r="C315" s="12"/>
      <c r="D315" s="13"/>
      <c r="E315" s="10"/>
    </row>
    <row r="316" spans="3:5">
      <c r="C316" s="12"/>
      <c r="D316" s="13"/>
      <c r="E316" s="9"/>
    </row>
    <row r="317" spans="3:5">
      <c r="C317" s="12"/>
      <c r="D317" s="13"/>
      <c r="E317" s="10"/>
    </row>
    <row r="318" spans="3:5">
      <c r="C318" s="12"/>
      <c r="D318" s="13"/>
      <c r="E318" s="9"/>
    </row>
    <row r="319" spans="3:5">
      <c r="C319" s="12"/>
      <c r="D319" s="13"/>
      <c r="E319" s="10"/>
    </row>
    <row r="320" spans="3:5">
      <c r="C320" s="12"/>
      <c r="D320" s="13"/>
      <c r="E320" s="9"/>
    </row>
    <row r="321" spans="3:5">
      <c r="C321" s="12"/>
      <c r="D321" s="13"/>
      <c r="E321" s="10"/>
    </row>
    <row r="322" spans="3:5">
      <c r="C322" s="12"/>
      <c r="D322" s="13"/>
      <c r="E322" s="9"/>
    </row>
    <row r="341" spans="3:4">
      <c r="C341" s="12"/>
      <c r="D341" s="13"/>
    </row>
    <row r="342" spans="3:4">
      <c r="C342" s="12"/>
      <c r="D342" s="13"/>
    </row>
    <row r="343" spans="3:4">
      <c r="C343" s="12"/>
      <c r="D343" s="13"/>
    </row>
    <row r="344" spans="3:4">
      <c r="C344" s="12"/>
      <c r="D344" s="13"/>
    </row>
    <row r="345" spans="3:4">
      <c r="C345" s="12"/>
      <c r="D345" s="13"/>
    </row>
    <row r="346" spans="3:4">
      <c r="C346" s="12"/>
      <c r="D346" s="13"/>
    </row>
    <row r="347" spans="3:4">
      <c r="C347" s="12"/>
      <c r="D347" s="13"/>
    </row>
    <row r="348" spans="3:4">
      <c r="C348" s="12"/>
      <c r="D348" s="13"/>
    </row>
    <row r="349" spans="3:4">
      <c r="C349" s="12"/>
      <c r="D349" s="13"/>
    </row>
    <row r="350" spans="3:4">
      <c r="C350" s="12"/>
      <c r="D350" s="13"/>
    </row>
    <row r="351" spans="3:4">
      <c r="C351" s="12"/>
      <c r="D351" s="13"/>
    </row>
    <row r="352" spans="3:4">
      <c r="C352" s="12"/>
      <c r="D352" s="13"/>
    </row>
    <row r="353" spans="3:4">
      <c r="C353" s="12"/>
      <c r="D353" s="13"/>
    </row>
    <row r="354" spans="3:4">
      <c r="C354" s="12"/>
      <c r="D354" s="13"/>
    </row>
    <row r="355" spans="3:4">
      <c r="C355" s="12"/>
      <c r="D355" s="13"/>
    </row>
    <row r="356" spans="3:4">
      <c r="C356" s="12"/>
      <c r="D356" s="13"/>
    </row>
    <row r="357" spans="3:4">
      <c r="C357" s="12"/>
      <c r="D357" s="13"/>
    </row>
    <row r="358" spans="3:4">
      <c r="C358" s="12"/>
      <c r="D358" s="13"/>
    </row>
    <row r="359" spans="3:4">
      <c r="C359" s="12"/>
      <c r="D359" s="13"/>
    </row>
    <row r="360" spans="3:4">
      <c r="C360" s="12"/>
      <c r="D360" s="13"/>
    </row>
    <row r="361" spans="3:4">
      <c r="C361" s="12"/>
      <c r="D361" s="13"/>
    </row>
    <row r="362" spans="3:4">
      <c r="C362" s="12"/>
      <c r="D362" s="13"/>
    </row>
    <row r="363" spans="3:4">
      <c r="C363" s="12"/>
      <c r="D363" s="13"/>
    </row>
    <row r="364" spans="3:4">
      <c r="C364" s="12"/>
      <c r="D364" s="13"/>
    </row>
    <row r="365" spans="3:4">
      <c r="C365" s="12"/>
      <c r="D365" s="13"/>
    </row>
    <row r="366" spans="3:4">
      <c r="C366" s="12"/>
      <c r="D366" s="13"/>
    </row>
    <row r="367" spans="3:4">
      <c r="C367" s="12"/>
      <c r="D367" s="13"/>
    </row>
    <row r="368" spans="3:4">
      <c r="C368" s="12"/>
      <c r="D368" s="13"/>
    </row>
    <row r="369" spans="3:4">
      <c r="C369" s="12"/>
      <c r="D369" s="13"/>
    </row>
    <row r="370" spans="3:4">
      <c r="C370" s="12"/>
      <c r="D370" s="13"/>
    </row>
    <row r="371" spans="3:4">
      <c r="C371" s="11"/>
      <c r="D371" s="13"/>
    </row>
    <row r="372" spans="3:4">
      <c r="C372" s="11"/>
      <c r="D372" s="13"/>
    </row>
    <row r="373" spans="3:4">
      <c r="C373" s="11"/>
      <c r="D373" s="13"/>
    </row>
    <row r="374" spans="3:4">
      <c r="C374" s="11"/>
      <c r="D374" s="13"/>
    </row>
    <row r="375" spans="3:4">
      <c r="C375" s="11"/>
      <c r="D375" s="13"/>
    </row>
    <row r="376" spans="3:4">
      <c r="C376" s="11"/>
      <c r="D376" s="13"/>
    </row>
    <row r="377" spans="3:4">
      <c r="C377" s="11"/>
      <c r="D377" s="13"/>
    </row>
    <row r="378" spans="3:4">
      <c r="C378" s="11"/>
      <c r="D378" s="13"/>
    </row>
    <row r="379" spans="3:4">
      <c r="C379" s="11"/>
      <c r="D379" s="13"/>
    </row>
    <row r="380" spans="3:4">
      <c r="C380" s="11"/>
      <c r="D380" s="13"/>
    </row>
    <row r="381" spans="3:4">
      <c r="C381" s="12"/>
      <c r="D381" s="13"/>
    </row>
    <row r="382" spans="3:4">
      <c r="C382" s="12"/>
      <c r="D382" s="13"/>
    </row>
    <row r="383" spans="3:4">
      <c r="C383" s="12"/>
      <c r="D383" s="13"/>
    </row>
    <row r="384" spans="3:4">
      <c r="C384" s="12"/>
      <c r="D384" s="13"/>
    </row>
    <row r="385" spans="3:3">
      <c r="C385" s="12"/>
    </row>
  </sheetData>
  <phoneticPr fontId="28" type="noConversion"/>
  <conditionalFormatting sqref="C341:C370 C302:C322 C1:C199">
    <cfRule type="duplicateValues" dxfId="106" priority="1901"/>
  </conditionalFormatting>
  <conditionalFormatting sqref="C341:C370 C302:C322 C2:C199">
    <cfRule type="duplicateValues" dxfId="105" priority="1905"/>
  </conditionalFormatting>
  <conditionalFormatting sqref="C381:C385">
    <cfRule type="duplicateValues" dxfId="104" priority="1"/>
    <cfRule type="duplicateValues" dxfId="103" priority="2"/>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738E-7CC4-4F8E-8956-B262D31DB983}">
  <dimension ref="A1:E313"/>
  <sheetViews>
    <sheetView topLeftCell="A149" workbookViewId="0">
      <selection activeCell="D2" sqref="D2:D162"/>
    </sheetView>
  </sheetViews>
  <sheetFormatPr defaultRowHeight="12.75"/>
  <cols>
    <col min="3" max="3" width="38.7109375" customWidth="1"/>
  </cols>
  <sheetData>
    <row r="1" spans="1:4">
      <c r="A1" t="s">
        <v>1</v>
      </c>
      <c r="B1" t="s">
        <v>18</v>
      </c>
      <c r="C1" t="s">
        <v>2</v>
      </c>
      <c r="D1" t="s">
        <v>327</v>
      </c>
    </row>
    <row r="2" spans="1:4">
      <c r="A2">
        <v>0</v>
      </c>
      <c r="B2" t="s">
        <v>19</v>
      </c>
      <c r="C2" s="12" t="str">
        <f>HYPERLINK(IEEE_NEW!$P2, IEEE_NEW!$A2)</f>
        <v>Towards a modular security testing framework for industrial automation and control systems: ISuTest</v>
      </c>
      <c r="D2" s="13">
        <f>IEEE_NEW!$AC2</f>
        <v>5</v>
      </c>
    </row>
    <row r="3" spans="1:4">
      <c r="A3">
        <v>1</v>
      </c>
      <c r="B3" t="s">
        <v>19</v>
      </c>
      <c r="C3" s="12" t="str">
        <f>HYPERLINK(IEEE_NEW!$P3, IEEE_NEW!$A3)</f>
        <v>VTET: A Virtual Industrial Control System Testbed for Cyber Security Research</v>
      </c>
      <c r="D3" s="13">
        <f>IEEE_NEW!$AC3</f>
        <v>7</v>
      </c>
    </row>
    <row r="4" spans="1:4">
      <c r="A4">
        <v>2</v>
      </c>
      <c r="B4" t="s">
        <v>19</v>
      </c>
      <c r="C4" s="12" t="str">
        <f>HYPERLINK(IEEE_NEW!$P4, IEEE_NEW!$A4)</f>
        <v>The SAir-IIoT Cyber Testbed as a Service: A Novel Cybertwins Architecture in IIoT-Based Smart Airports</v>
      </c>
      <c r="D4" s="13">
        <f>IEEE_NEW!$AC4</f>
        <v>14</v>
      </c>
    </row>
    <row r="5" spans="1:4">
      <c r="A5">
        <v>3</v>
      </c>
      <c r="B5" t="s">
        <v>19</v>
      </c>
      <c r="C5" s="12" t="str">
        <f>HYPERLINK(IEEE_NEW!$P5, IEEE_NEW!$A5)</f>
        <v>Test Bed Development for a Security Engineered SCADA Laboratory</v>
      </c>
      <c r="D5" s="13">
        <f>IEEE_NEW!$AC5</f>
        <v>5</v>
      </c>
    </row>
    <row r="6" spans="1:4">
      <c r="A6">
        <v>4</v>
      </c>
      <c r="B6" t="s">
        <v>19</v>
      </c>
      <c r="C6" s="12" t="str">
        <f>HYPERLINK(IEEE_NEW!$P6, IEEE_NEW!$A6)</f>
        <v>Industrial Internet of Things (IIoT): Testbed and Datasets for CyberSecurity and Digital Forensics</v>
      </c>
      <c r="D6" s="13">
        <f>IEEE_NEW!$AC6</f>
        <v>10</v>
      </c>
    </row>
    <row r="7" spans="1:4">
      <c r="A7">
        <v>5</v>
      </c>
      <c r="B7" t="s">
        <v>19</v>
      </c>
      <c r="C7" s="12" t="str">
        <f>HYPERLINK(IEEE_NEW!$P7, IEEE_NEW!$A7)</f>
        <v>Improving Substation Network Security with DevSecOps and AIOps</v>
      </c>
      <c r="D7" s="13">
        <f>IEEE_NEW!$AC7</f>
        <v>6</v>
      </c>
    </row>
    <row r="8" spans="1:4">
      <c r="A8">
        <v>6</v>
      </c>
      <c r="B8" t="s">
        <v>19</v>
      </c>
      <c r="C8" s="12" t="str">
        <f>HYPERLINK(IEEE_NEW!$P8, IEEE_NEW!$A8)</f>
        <v>Performance Evaluation of MQTT and CoAP Communication Protocols in IIoT for Electrical Substations Based on the IEC 61850 Standard</v>
      </c>
      <c r="D8" s="13">
        <f>IEEE_NEW!$AC8</f>
        <v>6</v>
      </c>
    </row>
    <row r="9" spans="1:4">
      <c r="A9">
        <v>7</v>
      </c>
      <c r="B9" t="s">
        <v>19</v>
      </c>
      <c r="C9" s="12" t="str">
        <f>HYPERLINK(IEEE_NEW!$P9, IEEE_NEW!$A9)</f>
        <v>Behavior and Vulnerability Assessment of Drones-Enabled Industrial Internet of Things (IIoT)</v>
      </c>
      <c r="D9" s="13">
        <f>IEEE_NEW!$AC9</f>
        <v>16</v>
      </c>
    </row>
    <row r="10" spans="1:4">
      <c r="A10">
        <v>8</v>
      </c>
      <c r="B10" t="s">
        <v>19</v>
      </c>
      <c r="C10" s="12" t="str">
        <f>HYPERLINK(IEEE_NEW!$P10, IEEE_NEW!$A10)</f>
        <v>Architecture of Modular System for Assessing Security of Telemetry Information Transmission System</v>
      </c>
      <c r="D10" s="13">
        <f>IEEE_NEW!$AC10</f>
        <v>6</v>
      </c>
    </row>
    <row r="11" spans="1:4">
      <c r="A11">
        <v>9</v>
      </c>
      <c r="B11" t="s">
        <v>19</v>
      </c>
      <c r="C11" s="12" t="str">
        <f>HYPERLINK(IEEE_NEW!$P11, IEEE_NEW!$A11)</f>
        <v>Developing a Security Testbed for Industrial Internet of Things</v>
      </c>
      <c r="D11" s="13">
        <f>IEEE_NEW!$AC11</f>
        <v>16</v>
      </c>
    </row>
    <row r="12" spans="1:4">
      <c r="A12">
        <v>10</v>
      </c>
      <c r="B12" t="s">
        <v>19</v>
      </c>
      <c r="C12" s="12" t="str">
        <f>HYPERLINK(IEEE_NEW!$P12, IEEE_NEW!$A12)</f>
        <v>SWaP: A Water Process Testbed for ICS Security Research</v>
      </c>
      <c r="D12" s="13">
        <f>IEEE_NEW!$AC12</f>
        <v>4</v>
      </c>
    </row>
    <row r="13" spans="1:4">
      <c r="A13">
        <v>11</v>
      </c>
      <c r="B13" t="s">
        <v>19</v>
      </c>
      <c r="C13" s="12" t="str">
        <f>HYPERLINK(IEEE_NEW!$P13, IEEE_NEW!$A13)</f>
        <v>A Comparative Analysis of Application Layer Protocols Within an Industrial Internet of Things Monitoring System</v>
      </c>
      <c r="D13" s="13">
        <f>IEEE_NEW!$AC13</f>
        <v>6</v>
      </c>
    </row>
    <row r="14" spans="1:4">
      <c r="A14">
        <v>12</v>
      </c>
      <c r="B14" t="s">
        <v>19</v>
      </c>
      <c r="C14" s="12" t="str">
        <f>HYPERLINK(IEEE_NEW!$P14, IEEE_NEW!$A14)</f>
        <v>Application of Industrial Internet of Things with Edge Computing and Artificial Intelligence Models</v>
      </c>
      <c r="D14" s="13">
        <f>IEEE_NEW!$AC14</f>
        <v>4</v>
      </c>
    </row>
    <row r="15" spans="1:4">
      <c r="A15">
        <v>13</v>
      </c>
      <c r="B15" t="s">
        <v>19</v>
      </c>
      <c r="C15" s="12" t="str">
        <f>HYPERLINK(IEEE_NEW!$P15, IEEE_NEW!$A15)</f>
        <v>A Cyber-Security Methodology for a Cyber-Physical Industrial Control System Testbed</v>
      </c>
      <c r="D15" s="13">
        <f>IEEE_NEW!$AC15</f>
        <v>15</v>
      </c>
    </row>
    <row r="16" spans="1:4">
      <c r="A16">
        <v>14</v>
      </c>
      <c r="B16" t="s">
        <v>19</v>
      </c>
      <c r="C16" s="12" t="str">
        <f>HYPERLINK(IEEE_NEW!$P16, IEEE_NEW!$A16)</f>
        <v>SCADA-SST: a SCADA security testbed</v>
      </c>
      <c r="D16" s="13">
        <f>IEEE_NEW!$AC16</f>
        <v>6</v>
      </c>
    </row>
    <row r="17" spans="1:4">
      <c r="A17">
        <v>15</v>
      </c>
      <c r="B17" t="s">
        <v>19</v>
      </c>
      <c r="C17" s="12" t="str">
        <f>HYPERLINK(IEEE_NEW!$P17, IEEE_NEW!$A17)</f>
        <v>Design and Implementation of Full-Scale Industrial Control System Test Bed for Assessing Cyber-Security Defenses</v>
      </c>
      <c r="D17" s="13">
        <f>IEEE_NEW!$AC17</f>
        <v>6</v>
      </c>
    </row>
    <row r="18" spans="1:4">
      <c r="A18">
        <v>16</v>
      </c>
      <c r="B18" t="s">
        <v>19</v>
      </c>
      <c r="C18" s="12" t="str">
        <f>HYPERLINK(IEEE_NEW!$P18, IEEE_NEW!$A18)</f>
        <v>A dual-standard solution for industrial Wireless Sensor Network deployment: Experimental testbed and performance evaluation</v>
      </c>
      <c r="D18" s="13">
        <f>IEEE_NEW!$AC18</f>
        <v>9</v>
      </c>
    </row>
    <row r="19" spans="1:4">
      <c r="A19">
        <v>17</v>
      </c>
      <c r="B19" t="s">
        <v>19</v>
      </c>
      <c r="C19" s="12" t="str">
        <f>HYPERLINK(IEEE_NEW!$P19, IEEE_NEW!$A19)</f>
        <v>Enhancing Industrial Communication Protocol Fuzz Testing Through Virtualization And Intelligent Guidance</v>
      </c>
      <c r="D19" s="13">
        <f>IEEE_NEW!$AC19</f>
        <v>5</v>
      </c>
    </row>
    <row r="20" spans="1:4">
      <c r="A20">
        <v>18</v>
      </c>
      <c r="B20" t="s">
        <v>19</v>
      </c>
      <c r="C20" s="12" t="str">
        <f>HYPERLINK(IEEE_NEW!$P20, IEEE_NEW!$A20)</f>
        <v>A virtual testbed for security management of industrial control systems</v>
      </c>
      <c r="D20" s="13">
        <f>IEEE_NEW!$AC20</f>
        <v>6</v>
      </c>
    </row>
    <row r="21" spans="1:4">
      <c r="A21">
        <v>19</v>
      </c>
      <c r="B21" t="s">
        <v>19</v>
      </c>
      <c r="C21" s="12" t="str">
        <f>HYPERLINK(IEEE_NEW!$P21, IEEE_NEW!$A21)</f>
        <v>Design, Analysis and Implementation of a Security Assessment/Enhancement Platform for Cyber-Physical Systems</v>
      </c>
      <c r="D21" s="13">
        <f>IEEE_NEW!$AC21</f>
        <v>11</v>
      </c>
    </row>
    <row r="22" spans="1:4">
      <c r="A22">
        <v>20</v>
      </c>
      <c r="B22" t="s">
        <v>19</v>
      </c>
      <c r="C22" s="12" t="str">
        <f>HYPERLINK(IEEE_NEW!$P22, IEEE_NEW!$A22)</f>
        <v>Cyber security of industrial communication protocols</v>
      </c>
      <c r="D22" s="13">
        <f>IEEE_NEW!$AC22</f>
        <v>4</v>
      </c>
    </row>
    <row r="23" spans="1:4">
      <c r="A23">
        <v>21</v>
      </c>
      <c r="B23" t="s">
        <v>19</v>
      </c>
      <c r="C23" s="12" t="str">
        <f>HYPERLINK(IEEE_NEW!$P23, IEEE_NEW!$A23)</f>
        <v>A Comparative Study to Evaluate the Performance of Communication Protocols for Process Industry</v>
      </c>
      <c r="D23" s="13">
        <f>IEEE_NEW!$AC23</f>
        <v>8</v>
      </c>
    </row>
    <row r="24" spans="1:4">
      <c r="A24">
        <v>22</v>
      </c>
      <c r="B24" t="s">
        <v>19</v>
      </c>
      <c r="C24" s="12" t="str">
        <f>HYPERLINK(IEEE_NEW!$P24, IEEE_NEW!$A24)</f>
        <v>Access Control Framework for Cross-Platform Interoperability in the Industrial Internet of Things</v>
      </c>
      <c r="D24" s="13">
        <f>IEEE_NEW!$AC24</f>
        <v>10</v>
      </c>
    </row>
    <row r="25" spans="1:4">
      <c r="A25">
        <v>23</v>
      </c>
      <c r="B25" t="s">
        <v>19</v>
      </c>
      <c r="C25" s="12" t="str">
        <f>HYPERLINK(IEEE_NEW!$P25, IEEE_NEW!$A25)</f>
        <v>The Cybersecurity Landscape in Industrial Control Systems</v>
      </c>
      <c r="D25" s="13">
        <f>IEEE_NEW!$AC25</f>
        <v>19</v>
      </c>
    </row>
    <row r="26" spans="1:4">
      <c r="A26">
        <v>24</v>
      </c>
      <c r="B26" t="s">
        <v>19</v>
      </c>
      <c r="C26" s="12" t="str">
        <f>HYPERLINK(IEEE_NEW!$P26, IEEE_NEW!$A26)</f>
        <v>IoTForge Pro: A Security Testbed for Generating Intrusion Dataset for Industrial IoT</v>
      </c>
      <c r="D26" s="13">
        <f>IEEE_NEW!$AC26</f>
        <v>8</v>
      </c>
    </row>
    <row r="27" spans="1:4">
      <c r="A27">
        <v>25</v>
      </c>
      <c r="B27" t="s">
        <v>19</v>
      </c>
      <c r="C27" s="12" t="str">
        <f>HYPERLINK(IEEE_NEW!$P27, IEEE_NEW!$A27)</f>
        <v>Ransomware in Resource-Constrained Industrial IoT Networks: There Actually is a Threat</v>
      </c>
      <c r="D27" s="13">
        <f>IEEE_NEW!$AC27</f>
        <v>8</v>
      </c>
    </row>
    <row r="28" spans="1:4">
      <c r="A28">
        <v>26</v>
      </c>
      <c r="B28" t="s">
        <v>19</v>
      </c>
      <c r="C28" s="12" t="str">
        <f>HYPERLINK(IEEE_NEW!$P28, IEEE_NEW!$A28)</f>
        <v>Machine Learning-Based Network Vulnerability Analysis of Industrial Internet of Things</v>
      </c>
      <c r="D28" s="13">
        <f>IEEE_NEW!$AC28</f>
        <v>13</v>
      </c>
    </row>
    <row r="29" spans="1:4">
      <c r="A29">
        <v>27</v>
      </c>
      <c r="B29" t="s">
        <v>19</v>
      </c>
      <c r="C29" s="12" t="str">
        <f>HYPERLINK(IEEE_NEW!$P29, IEEE_NEW!$A29)</f>
        <v>CPS-IIoT-P2Attention: Explainable Privacy-Preserving With Scaled Dot-Product Attention in Cyber-Physical System-Industrial IoT Network</v>
      </c>
      <c r="D29" s="13">
        <f>IEEE_NEW!$AC29</f>
        <v>25</v>
      </c>
    </row>
    <row r="30" spans="1:4">
      <c r="A30">
        <v>28</v>
      </c>
      <c r="B30" t="s">
        <v>19</v>
      </c>
      <c r="C30" s="12" t="str">
        <f>HYPERLINK(IEEE_NEW!$P30, IEEE_NEW!$A30)</f>
        <v>Network Simulation in a TCP-Enabled Industrial Internet of Things Environment-Reproducibility Issues for Performance Evaluation</v>
      </c>
      <c r="D30" s="13">
        <f>IEEE_NEW!$AC30</f>
        <v>9</v>
      </c>
    </row>
    <row r="31" spans="1:4">
      <c r="A31">
        <v>29</v>
      </c>
      <c r="B31" t="s">
        <v>19</v>
      </c>
      <c r="C31" s="12" t="str">
        <f>HYPERLINK(IEEE_NEW!$P31, IEEE_NEW!$A31)</f>
        <v>Securing IIoT Against DDoS attacks: A Stochastic Approach</v>
      </c>
      <c r="D31" s="13">
        <f>IEEE_NEW!$AC31</f>
        <v>6</v>
      </c>
    </row>
    <row r="32" spans="1:4">
      <c r="A32">
        <v>30</v>
      </c>
      <c r="B32" t="s">
        <v>19</v>
      </c>
      <c r="C32" s="12" t="str">
        <f>HYPERLINK(IEEE_NEW!$P32, IEEE_NEW!$A32)</f>
        <v>Comparative Study on Smart Grid Security Testbeds Using MITRE ATT&amp;CK Matrix</v>
      </c>
      <c r="D32" s="13">
        <f>IEEE_NEW!$AC32</f>
        <v>7</v>
      </c>
    </row>
    <row r="33" spans="1:4">
      <c r="A33">
        <v>31</v>
      </c>
      <c r="B33" t="s">
        <v>19</v>
      </c>
      <c r="C33" s="12" t="str">
        <f>HYPERLINK(IEEE_NEW!$P33, IEEE_NEW!$A33)</f>
        <v>A Survey on Industrial Control System Testbeds and Datasets for Security Research</v>
      </c>
      <c r="D33" s="13">
        <f>IEEE_NEW!$AC33</f>
        <v>47</v>
      </c>
    </row>
    <row r="34" spans="1:4">
      <c r="A34">
        <v>32</v>
      </c>
      <c r="B34" t="s">
        <v>19</v>
      </c>
      <c r="C34" s="12" t="str">
        <f>HYPERLINK(IEEE_NEW!$P34, IEEE_NEW!$A34)</f>
        <v>Li-Fi in Industrial Environments: Performance Analysis Compared to Wi-Fi and Ethernet</v>
      </c>
      <c r="D34" s="13">
        <f>IEEE_NEW!$AC34</f>
        <v>6</v>
      </c>
    </row>
    <row r="35" spans="1:4">
      <c r="A35">
        <v>33</v>
      </c>
      <c r="B35" t="s">
        <v>19</v>
      </c>
      <c r="C35" s="12" t="str">
        <f>HYPERLINK(IEEE_NEW!$P35, IEEE_NEW!$A35)</f>
        <v>URLLC-Based Cooperative Industrial IoT Networks With Nonlinear Energy Harvesting</v>
      </c>
      <c r="D35" s="13">
        <f>IEEE_NEW!$AC35</f>
        <v>11</v>
      </c>
    </row>
    <row r="36" spans="1:4">
      <c r="A36">
        <v>34</v>
      </c>
      <c r="B36" t="s">
        <v>19</v>
      </c>
      <c r="C36" s="12" t="str">
        <f>HYPERLINK(IEEE_NEW!$P36, IEEE_NEW!$A36)</f>
        <v>Methodology for Analyzing the Performance of 5G-NR Networks During Initial Planning Without Deployment Using the NS-3 Network Simulator</v>
      </c>
      <c r="D36" s="13">
        <f>IEEE_NEW!$AC36</f>
        <v>5</v>
      </c>
    </row>
    <row r="37" spans="1:4">
      <c r="A37">
        <v>35</v>
      </c>
      <c r="B37" t="s">
        <v>19</v>
      </c>
      <c r="C37" s="12" t="str">
        <f>HYPERLINK(IEEE_NEW!$P37, IEEE_NEW!$A37)</f>
        <v>Cybersecurity of Digital Twins in Industrial IoT Environments</v>
      </c>
      <c r="D37" s="13">
        <f>IEEE_NEW!$AC37</f>
        <v>6</v>
      </c>
    </row>
    <row r="38" spans="1:4">
      <c r="A38">
        <v>36</v>
      </c>
      <c r="B38" t="s">
        <v>19</v>
      </c>
      <c r="C38" s="12" t="str">
        <f>HYPERLINK(IEEE_NEW!$P38, IEEE_NEW!$A38)</f>
        <v>Security and Effectiveness Analysis of the Gateway Integrity Checking Protocol</v>
      </c>
      <c r="D38" s="13">
        <f>IEEE_NEW!$AC38</f>
        <v>9</v>
      </c>
    </row>
    <row r="39" spans="1:4">
      <c r="A39">
        <v>37</v>
      </c>
      <c r="B39" t="s">
        <v>19</v>
      </c>
      <c r="C39" s="12" t="str">
        <f>HYPERLINK(IEEE_NEW!$P39, IEEE_NEW!$A39)</f>
        <v>Secure Onboarding of IIoT Devices using OPC UA</v>
      </c>
      <c r="D39" s="13">
        <f>IEEE_NEW!$AC39</f>
        <v>4</v>
      </c>
    </row>
    <row r="40" spans="1:4">
      <c r="A40">
        <v>38</v>
      </c>
      <c r="B40" t="s">
        <v>19</v>
      </c>
      <c r="C40" s="12" t="str">
        <f>HYPERLINK(IEEE_NEW!$P40, IEEE_NEW!$A40)</f>
        <v>On the Cost of Asset Discovery Techniques for Industrial Control Systems</v>
      </c>
      <c r="D40" s="13">
        <f>IEEE_NEW!$AC40</f>
        <v>6</v>
      </c>
    </row>
    <row r="41" spans="1:4">
      <c r="A41">
        <v>39</v>
      </c>
      <c r="B41" t="s">
        <v>19</v>
      </c>
      <c r="C41" s="12" t="str">
        <f>HYPERLINK(IEEE_NEW!$P41, IEEE_NEW!$A41)</f>
        <v>CrossTest: a cross-domain physical testbed environment for cybersecurity performance evaluations</v>
      </c>
      <c r="D41" s="13">
        <f>IEEE_NEW!$AC41</f>
        <v>8</v>
      </c>
    </row>
    <row r="42" spans="1:4">
      <c r="A42">
        <v>40</v>
      </c>
      <c r="B42" t="s">
        <v>19</v>
      </c>
      <c r="C42" s="12" t="str">
        <f>HYPERLINK(IEEE_NEW!$P42, IEEE_NEW!$A42)</f>
        <v>Towards Performance Benchmarking of Cyclic OPC UA PubSub over TSN</v>
      </c>
      <c r="D42" s="13">
        <f>IEEE_NEW!$AC42</f>
        <v>8</v>
      </c>
    </row>
    <row r="43" spans="1:4">
      <c r="A43">
        <v>41</v>
      </c>
      <c r="B43" t="s">
        <v>19</v>
      </c>
      <c r="C43" s="12" t="str">
        <f>HYPERLINK(IEEE_NEW!$P43, IEEE_NEW!$A43)</f>
        <v>Performance Evaluation of Containerization in Edge-Cloud Computing Stacks for Industrial Applications: A Client Perspective</v>
      </c>
      <c r="D43" s="13">
        <f>IEEE_NEW!$AC43</f>
        <v>16</v>
      </c>
    </row>
    <row r="44" spans="1:4">
      <c r="A44">
        <v>42</v>
      </c>
      <c r="B44" t="s">
        <v>19</v>
      </c>
      <c r="C44" s="12" t="str">
        <f>HYPERLINK(IEEE_NEW!$P44, IEEE_NEW!$A44)</f>
        <v>FL-MU: A Benchmark Dataset for Federated Intrusion Detection in IoT Networks</v>
      </c>
      <c r="D44" s="13">
        <f>IEEE_NEW!$AC44</f>
        <v>28</v>
      </c>
    </row>
    <row r="45" spans="1:4">
      <c r="A45">
        <v>43</v>
      </c>
      <c r="B45" t="s">
        <v>19</v>
      </c>
      <c r="C45" s="12" t="str">
        <f>HYPERLINK(IEEE_NEW!$P45, IEEE_NEW!$A45)</f>
        <v>ROSTAM: Railway-Oriented Security and Threat Abstraction Model</v>
      </c>
      <c r="D45" s="13">
        <f>IEEE_NEW!$AC45</f>
        <v>6</v>
      </c>
    </row>
    <row r="46" spans="1:4">
      <c r="A46">
        <v>44</v>
      </c>
      <c r="B46" t="s">
        <v>19</v>
      </c>
      <c r="C46" s="12" t="str">
        <f>HYPERLINK(IEEE_NEW!$P46, IEEE_NEW!$A46)</f>
        <v>Enabling multi-layer cyber-security assessment of Industrial Control Systems through Hardware-In-The-Loop testbeds</v>
      </c>
      <c r="D46" s="13">
        <f>IEEE_NEW!$AC46</f>
        <v>8</v>
      </c>
    </row>
    <row r="47" spans="1:4">
      <c r="A47">
        <v>45</v>
      </c>
      <c r="B47" t="s">
        <v>19</v>
      </c>
      <c r="C47" s="12" t="str">
        <f>HYPERLINK(IEEE_NEW!$P47, IEEE_NEW!$A47)</f>
        <v>Performance Benchmarking of OpenPLC Across Multiple Environments for Cloud-Based Industrial Automation</v>
      </c>
      <c r="D47" s="13">
        <f>IEEE_NEW!$AC47</f>
        <v>6</v>
      </c>
    </row>
    <row r="48" spans="1:4">
      <c r="A48">
        <v>46</v>
      </c>
      <c r="B48" t="s">
        <v>19</v>
      </c>
      <c r="C48" s="12" t="str">
        <f>HYPERLINK(IEEE_NEW!$P48, IEEE_NEW!$A48)</f>
        <v>A New Dataset for Intrusion Detection in Industrial Control System: A Gas Pipeline Testbed Study</v>
      </c>
      <c r="D48" s="13">
        <f>IEEE_NEW!$AC48</f>
        <v>6</v>
      </c>
    </row>
    <row r="49" spans="1:4">
      <c r="A49">
        <v>47</v>
      </c>
      <c r="B49" t="s">
        <v>19</v>
      </c>
      <c r="C49" s="12" t="str">
        <f>HYPERLINK(IEEE_NEW!$P49, IEEE_NEW!$A49)</f>
        <v>Real-Time Communication over LoRa Networks</v>
      </c>
      <c r="D49" s="13">
        <f>IEEE_NEW!$AC49</f>
        <v>14</v>
      </c>
    </row>
    <row r="50" spans="1:4">
      <c r="A50">
        <v>48</v>
      </c>
      <c r="B50" t="s">
        <v>19</v>
      </c>
      <c r="C50" s="12" t="str">
        <f>HYPERLINK(IEEE_NEW!$P50, IEEE_NEW!$A50)</f>
        <v>Modelling Autonomous Mobile Robot Interaction with IIoT Environments</v>
      </c>
      <c r="D50" s="13">
        <f>IEEE_NEW!$AC50</f>
        <v>6</v>
      </c>
    </row>
    <row r="51" spans="1:4">
      <c r="A51">
        <v>49</v>
      </c>
      <c r="B51" t="s">
        <v>19</v>
      </c>
      <c r="C51" s="12" t="str">
        <f>HYPERLINK(IEEE_NEW!$P51, IEEE_NEW!$A51)</f>
        <v>Covert Channels-Based Stealth Attacks in Industry 4.0</v>
      </c>
      <c r="D51" s="13">
        <f>IEEE_NEW!$AC51</f>
        <v>9</v>
      </c>
    </row>
    <row r="52" spans="1:4">
      <c r="A52">
        <v>50</v>
      </c>
      <c r="B52" t="s">
        <v>19</v>
      </c>
      <c r="C52" s="12" t="str">
        <f>HYPERLINK(IEEE_NEW!$P52, IEEE_NEW!$A52)</f>
        <v>Feasibility Study on Virtual Process Controllers as Basis for Future Industrial Automation Systems</v>
      </c>
      <c r="D52" s="13">
        <f>IEEE_NEW!$AC52</f>
        <v>8</v>
      </c>
    </row>
    <row r="53" spans="1:4">
      <c r="A53">
        <v>51</v>
      </c>
      <c r="B53" t="s">
        <v>19</v>
      </c>
      <c r="C53" s="12" t="str">
        <f>HYPERLINK(IEEE_NEW!$P53, IEEE_NEW!$A53)</f>
        <v>Contention Congestion Collision Adaptive Data Rate for LoRaWAN-Based Challenging Industrial IoT</v>
      </c>
      <c r="D53" s="13">
        <f>IEEE_NEW!$AC53</f>
        <v>6</v>
      </c>
    </row>
    <row r="54" spans="1:4">
      <c r="A54">
        <v>52</v>
      </c>
      <c r="B54" t="s">
        <v>19</v>
      </c>
      <c r="C54" s="12" t="str">
        <f>HYPERLINK(IEEE_NEW!$P54, IEEE_NEW!$A54)</f>
        <v>Fog Computing Over Challenged Networks: A Real Case Evaluation</v>
      </c>
      <c r="D54" s="13">
        <f>IEEE_NEW!$AC54</f>
        <v>7</v>
      </c>
    </row>
    <row r="55" spans="1:4">
      <c r="A55">
        <v>53</v>
      </c>
      <c r="B55" t="s">
        <v>19</v>
      </c>
      <c r="C55" s="12" t="str">
        <f>HYPERLINK(IEEE_NEW!$P55, IEEE_NEW!$A55)</f>
        <v>Optimizing MQTT-CoAP Interoperability: A Broker-Based Extension for Seamless Integration</v>
      </c>
      <c r="D55" s="13">
        <f>IEEE_NEW!$AC55</f>
        <v>14</v>
      </c>
    </row>
    <row r="56" spans="1:4">
      <c r="A56">
        <v>54</v>
      </c>
      <c r="B56" t="s">
        <v>19</v>
      </c>
      <c r="C56" s="12" t="str">
        <f>HYPERLINK(IEEE_NEW!$P56, IEEE_NEW!$A56)</f>
        <v>Experimental Platform for Testing Open Process Automation Technologies Based on OPC UA and IEC 61499</v>
      </c>
      <c r="D56" s="13">
        <f>IEEE_NEW!$AC56</f>
        <v>5</v>
      </c>
    </row>
    <row r="57" spans="1:4">
      <c r="A57">
        <v>55</v>
      </c>
      <c r="B57" t="s">
        <v>19</v>
      </c>
      <c r="C57" s="12" t="str">
        <f>HYPERLINK(IEEE_NEW!$P57, IEEE_NEW!$A57)</f>
        <v>FedMqADV: A Unified Framework for End-to-End Evaluation of MQTT-Based Federated Learning in Adversarial Setting</v>
      </c>
      <c r="D57" s="13">
        <f>IEEE_NEW!$AC57</f>
        <v>6</v>
      </c>
    </row>
    <row r="58" spans="1:4">
      <c r="A58">
        <v>56</v>
      </c>
      <c r="B58" t="s">
        <v>19</v>
      </c>
      <c r="C58" s="12" t="str">
        <f>HYPERLINK(IEEE_NEW!$P58, IEEE_NEW!$A58)</f>
        <v>Safeguarding Inter-Device Communications for Connected Systems: A Holistic Security Framework</v>
      </c>
      <c r="D58" s="13">
        <f>IEEE_NEW!$AC58</f>
        <v>6</v>
      </c>
    </row>
    <row r="59" spans="1:4">
      <c r="A59">
        <v>57</v>
      </c>
      <c r="B59" t="s">
        <v>19</v>
      </c>
      <c r="C59" s="12" t="str">
        <f>HYPERLINK(IEEE_NEW!$P59, IEEE_NEW!$A59)</f>
        <v>End-to-End Delay Evaluation of Industrial Automation Systems Based on EtherCAT</v>
      </c>
      <c r="D59" s="13">
        <f>IEEE_NEW!$AC59</f>
        <v>8</v>
      </c>
    </row>
    <row r="60" spans="1:4">
      <c r="A60">
        <v>58</v>
      </c>
      <c r="B60" t="s">
        <v>19</v>
      </c>
      <c r="C60" s="12" t="str">
        <f>HYPERLINK(IEEE_NEW!$P60, IEEE_NEW!$A60)</f>
        <v>Secure IoT Deployment Checklist for Building Management System</v>
      </c>
      <c r="D60" s="13">
        <f>IEEE_NEW!$AC60</f>
        <v>6</v>
      </c>
    </row>
    <row r="61" spans="1:4">
      <c r="A61">
        <v>59</v>
      </c>
      <c r="B61" t="s">
        <v>19</v>
      </c>
      <c r="C61" s="12" t="str">
        <f>HYPERLINK(IEEE_NEW!$P61, IEEE_NEW!$A61)</f>
        <v>An FPGA-based Unidirectional Gateway Proposal for OT-IT Network Separation to Secure Industrial Automation Systems</v>
      </c>
      <c r="D61" s="13">
        <f>IEEE_NEW!$AC61</f>
        <v>6</v>
      </c>
    </row>
    <row r="62" spans="1:4">
      <c r="A62">
        <v>60</v>
      </c>
      <c r="B62" t="s">
        <v>19</v>
      </c>
      <c r="C62" s="12" t="str">
        <f>HYPERLINK(IEEE_NEW!$P62, IEEE_NEW!$A62)</f>
        <v>Security intelligence for industrial control systems</v>
      </c>
      <c r="D62" s="13">
        <f>IEEE_NEW!$AC62</f>
        <v>1.007638888888889</v>
      </c>
    </row>
    <row r="63" spans="1:4">
      <c r="A63">
        <v>61</v>
      </c>
      <c r="B63" t="s">
        <v>19</v>
      </c>
      <c r="C63" s="12" t="str">
        <f>HYPERLINK(IEEE_NEW!$P63, IEEE_NEW!$A63)</f>
        <v>Hierarchical Blockchain Framework for Node Authentication in IoT Networks: A Comprehensive Analysis</v>
      </c>
      <c r="D63" s="13">
        <f>IEEE_NEW!$AC63</f>
        <v>6</v>
      </c>
    </row>
    <row r="64" spans="1:4">
      <c r="A64">
        <v>62</v>
      </c>
      <c r="B64" t="s">
        <v>19</v>
      </c>
      <c r="C64" s="12" t="str">
        <f>HYPERLINK(IEEE_NEW!$P64, IEEE_NEW!$A64)</f>
        <v>Development of SCADA Simulator using Omnet++</v>
      </c>
      <c r="D64" s="13">
        <f>IEEE_NEW!$AC64</f>
        <v>5</v>
      </c>
    </row>
    <row r="65" spans="1:4">
      <c r="A65">
        <v>63</v>
      </c>
      <c r="B65" t="s">
        <v>19</v>
      </c>
      <c r="C65" s="12" t="str">
        <f>HYPERLINK(IEEE_NEW!$P65, IEEE_NEW!$A65)</f>
        <v>Indoor Localization-based Energy Management for Smart Home</v>
      </c>
      <c r="D65" s="13">
        <f>IEEE_NEW!$AC65</f>
        <v>5</v>
      </c>
    </row>
    <row r="66" spans="1:4">
      <c r="A66">
        <v>64</v>
      </c>
      <c r="B66" t="s">
        <v>19</v>
      </c>
      <c r="C66" s="12" t="str">
        <f>HYPERLINK(IEEE_NEW!$P66, IEEE_NEW!$A66)</f>
        <v>Toward a Unified Security Framework for Digital Twin Architectures</v>
      </c>
      <c r="D66" s="13">
        <f>IEEE_NEW!$AC66</f>
        <v>6</v>
      </c>
    </row>
    <row r="67" spans="1:4">
      <c r="A67">
        <v>65</v>
      </c>
      <c r="B67" t="s">
        <v>19</v>
      </c>
      <c r="C67" s="12" t="str">
        <f>HYPERLINK(IEEE_NEW!$P67, IEEE_NEW!$A67)</f>
        <v>Implementation of Cyber-Physical Systems with Modbus Communication for Security Studies</v>
      </c>
      <c r="D67" s="13">
        <f>IEEE_NEW!$AC67</f>
        <v>6</v>
      </c>
    </row>
    <row r="68" spans="1:4">
      <c r="A68">
        <v>66</v>
      </c>
      <c r="B68" t="s">
        <v>19</v>
      </c>
      <c r="C68" s="12" t="str">
        <f>HYPERLINK(IEEE_NEW!$P68, IEEE_NEW!$A68)</f>
        <v>Improving operational security for web-based distributed control systems in wastewater management</v>
      </c>
      <c r="D68" s="13">
        <f>IEEE_NEW!$AC68</f>
        <v>5</v>
      </c>
    </row>
    <row r="69" spans="1:4">
      <c r="A69">
        <v>67</v>
      </c>
      <c r="B69" t="s">
        <v>19</v>
      </c>
      <c r="C69" s="12" t="str">
        <f>HYPERLINK(IEEE_NEW!$P69, IEEE_NEW!$A69)</f>
        <v>Holistic Risk Assessment in Industrial Control Systems: Combining Multiple Bayesian Networks with Multi-Criteria Decision Making</v>
      </c>
      <c r="D69" s="13">
        <f>IEEE_NEW!$AC69</f>
        <v>6</v>
      </c>
    </row>
    <row r="70" spans="1:4">
      <c r="A70">
        <v>68</v>
      </c>
      <c r="B70" t="s">
        <v>19</v>
      </c>
      <c r="C70" s="12" t="str">
        <f>HYPERLINK(IEEE_NEW!$P70, IEEE_NEW!$A70)</f>
        <v>Adversarial Generation of Modbus TCP Packets Using WGANs for ICS Security Testing</v>
      </c>
      <c r="D70" s="13">
        <f>IEEE_NEW!$AC70</f>
        <v>6</v>
      </c>
    </row>
    <row r="71" spans="1:4">
      <c r="A71">
        <v>69</v>
      </c>
      <c r="B71" t="s">
        <v>19</v>
      </c>
      <c r="C71" s="12" t="str">
        <f>HYPERLINK(IEEE_NEW!$P71, IEEE_NEW!$A71)</f>
        <v>ML-Augmented Network Packet Broker based Anomaly Detection at IIoT-Edge Egress Port</v>
      </c>
      <c r="D71" s="13">
        <f>IEEE_NEW!$AC71</f>
        <v>6</v>
      </c>
    </row>
    <row r="72" spans="1:4">
      <c r="A72">
        <v>70</v>
      </c>
      <c r="B72" t="s">
        <v>19</v>
      </c>
      <c r="C72" s="12" t="str">
        <f>HYPERLINK(IEEE_NEW!$P72, IEEE_NEW!$A72)</f>
        <v>Timeliness of CSMA/CA-Based Wireless Networks With HARQ in the FBL Regime: Explicit Age Characterizations and Resource Allocation</v>
      </c>
      <c r="D72" s="13">
        <f>IEEE_NEW!$AC72</f>
        <v>13</v>
      </c>
    </row>
    <row r="73" spans="1:4">
      <c r="A73">
        <v>71</v>
      </c>
      <c r="B73" t="s">
        <v>19</v>
      </c>
      <c r="C73" s="12" t="str">
        <f>HYPERLINK(IEEE_NEW!$P73, IEEE_NEW!$A73)</f>
        <v>Performance Evaluation of Asynchronous Pulse Code Multiple Access in Massive IoT Networks</v>
      </c>
      <c r="D73" s="13">
        <f>IEEE_NEW!$AC73</f>
        <v>14</v>
      </c>
    </row>
    <row r="74" spans="1:4">
      <c r="A74">
        <v>72</v>
      </c>
      <c r="B74" t="s">
        <v>19</v>
      </c>
      <c r="C74" s="12" t="str">
        <f>HYPERLINK(IEEE_NEW!$P74, IEEE_NEW!$A74)</f>
        <v>Performance impact of commercial industrial firewalls on networked control systems</v>
      </c>
      <c r="D74" s="13">
        <f>IEEE_NEW!$AC74</f>
        <v>8</v>
      </c>
    </row>
    <row r="75" spans="1:4">
      <c r="A75">
        <v>73</v>
      </c>
      <c r="B75" t="s">
        <v>19</v>
      </c>
      <c r="C75" s="12" t="str">
        <f>HYPERLINK(IEEE_NEW!$P75, IEEE_NEW!$A75)</f>
        <v>Performance Evaluation and Modeling of an Industrial Application-Layer Firewall</v>
      </c>
      <c r="D75" s="13">
        <f>IEEE_NEW!$AC75</f>
        <v>12</v>
      </c>
    </row>
    <row r="76" spans="1:4">
      <c r="A76">
        <v>74</v>
      </c>
      <c r="B76" t="s">
        <v>19</v>
      </c>
      <c r="C76" s="12" t="str">
        <f>HYPERLINK(IEEE_NEW!$P76, IEEE_NEW!$A76)</f>
        <v>An Investigative Evaluation of Open Source Intrusion Detection Systems for Operational Technology Networks Using MITRE ICS Attack Simulation on a Thermal Power Plant Test Bed</v>
      </c>
      <c r="D76" s="13">
        <f>IEEE_NEW!$AC76</f>
        <v>6</v>
      </c>
    </row>
    <row r="77" spans="1:4">
      <c r="A77">
        <v>75</v>
      </c>
      <c r="B77" t="s">
        <v>19</v>
      </c>
      <c r="C77" s="12" t="str">
        <f>HYPERLINK(IEEE_NEW!$P77, IEEE_NEW!$A77)</f>
        <v>Future of IoTSP – IT and OT Integration</v>
      </c>
      <c r="D77" s="13">
        <f>IEEE_NEW!$AC77</f>
        <v>5</v>
      </c>
    </row>
    <row r="78" spans="1:4">
      <c r="A78">
        <v>76</v>
      </c>
      <c r="B78" t="s">
        <v>19</v>
      </c>
      <c r="C78" s="12" t="str">
        <f>HYPERLINK(IEEE_NEW!$P78, IEEE_NEW!$A78)</f>
        <v>An Adaptive Intrusion Detection System for IoT Networks Using Deep Learning</v>
      </c>
      <c r="D78" s="13">
        <f>IEEE_NEW!$AC78</f>
        <v>6</v>
      </c>
    </row>
    <row r="79" spans="1:4">
      <c r="A79">
        <v>77</v>
      </c>
      <c r="B79" t="s">
        <v>19</v>
      </c>
      <c r="C79" s="12" t="str">
        <f>HYPERLINK(IEEE_NEW!$P79, IEEE_NEW!$A79)</f>
        <v>Unleashing the Potential of Industrial IoT and Industry 5.0</v>
      </c>
      <c r="D79" s="13">
        <f>IEEE_NEW!$AC79</f>
        <v>13</v>
      </c>
    </row>
    <row r="80" spans="1:4">
      <c r="A80">
        <v>78</v>
      </c>
      <c r="B80" t="s">
        <v>19</v>
      </c>
      <c r="C80" s="12" t="str">
        <f>HYPERLINK(IEEE_NEW!$P80, IEEE_NEW!$A80)</f>
        <v>SenseFuzz: Black-box Fuzzing of ICS Protocols via Runtime Statistics Sensing</v>
      </c>
      <c r="D80" s="13">
        <f>IEEE_NEW!$AC80</f>
        <v>6</v>
      </c>
    </row>
    <row r="81" spans="1:4">
      <c r="A81">
        <v>79</v>
      </c>
      <c r="B81" t="s">
        <v>19</v>
      </c>
      <c r="C81" s="12" t="str">
        <f>HYPERLINK(IEEE_NEW!$P81, IEEE_NEW!$A81)</f>
        <v>PIM-LLN: Protocol Independent Multicast for Low-Power and Lossy Networks</v>
      </c>
      <c r="D81" s="13">
        <f>IEEE_NEW!$AC81</f>
        <v>17</v>
      </c>
    </row>
    <row r="82" spans="1:4">
      <c r="A82">
        <v>80</v>
      </c>
      <c r="B82" t="s">
        <v>19</v>
      </c>
      <c r="C82" s="12" t="str">
        <f>HYPERLINK(IEEE_NEW!$P82, IEEE_NEW!$A82)</f>
        <v>Optimizing Freshness in IoT Scans</v>
      </c>
      <c r="D82" s="13">
        <f>IEEE_NEW!$AC82</f>
        <v>6</v>
      </c>
    </row>
    <row r="83" spans="1:4">
      <c r="A83">
        <v>81</v>
      </c>
      <c r="B83" t="s">
        <v>19</v>
      </c>
      <c r="C83" s="12" t="str">
        <f>HYPERLINK(IEEE_NEW!$P83, IEEE_NEW!$A83)</f>
        <v>PQ-CAN: A Framework for Simulating Post-Quantum Cryptography in Embedded Systems</v>
      </c>
      <c r="D83" s="13">
        <f>IEEE_NEW!$AC83</f>
        <v>6</v>
      </c>
    </row>
    <row r="84" spans="1:4">
      <c r="A84">
        <v>82</v>
      </c>
      <c r="B84" t="s">
        <v>19</v>
      </c>
      <c r="C84" s="12" t="str">
        <f>HYPERLINK(IEEE_NEW!$P84, IEEE_NEW!$A84)</f>
        <v>Experimenting With Digital Signatures Over a DNP3 Protocol in a Multitenant Cloud-Based SCADA Architecture</v>
      </c>
      <c r="D84" s="13">
        <f>IEEE_NEW!$AC84</f>
        <v>20</v>
      </c>
    </row>
    <row r="85" spans="1:4">
      <c r="A85">
        <v>83</v>
      </c>
      <c r="B85" t="s">
        <v>19</v>
      </c>
      <c r="C85" s="12" t="str">
        <f>HYPERLINK(IEEE_NEW!$P85, IEEE_NEW!$A85)</f>
        <v>Analysis of Machine Learning Methods in EtherCAT-Based Anomaly Detection</v>
      </c>
      <c r="D85" s="13">
        <f>IEEE_NEW!$AC85</f>
        <v>10</v>
      </c>
    </row>
    <row r="86" spans="1:4">
      <c r="A86">
        <v>84</v>
      </c>
      <c r="B86" t="s">
        <v>19</v>
      </c>
      <c r="C86" s="12" t="str">
        <f>HYPERLINK(IEEE_NEW!$P86, IEEE_NEW!$A86)</f>
        <v>Time Synchronization Extension for the IO-Link Industrial Communication Protocol</v>
      </c>
      <c r="D86" s="13">
        <f>IEEE_NEW!$AC86</f>
        <v>6</v>
      </c>
    </row>
    <row r="87" spans="1:4">
      <c r="A87">
        <v>85</v>
      </c>
      <c r="B87" t="s">
        <v>19</v>
      </c>
      <c r="C87" s="12" t="str">
        <f>HYPERLINK(IEEE_NEW!$P87, IEEE_NEW!$A87)</f>
        <v>Industrial data-collector by enabling OPC-UA standard for Industry 4.0</v>
      </c>
      <c r="D87" s="13">
        <f>IEEE_NEW!$AC87</f>
        <v>8</v>
      </c>
    </row>
    <row r="88" spans="1:4">
      <c r="A88">
        <v>86</v>
      </c>
      <c r="B88" t="s">
        <v>19</v>
      </c>
      <c r="C88" s="12" t="str">
        <f>HYPERLINK(IEEE_NEW!$P88, IEEE_NEW!$A88)</f>
        <v>Priority-Aware Wireless Fieldbus Protocol for Mixed-Criticality Industrial Wireless Sensor Networks</v>
      </c>
      <c r="D88" s="13">
        <f>IEEE_NEW!$AC88</f>
        <v>14</v>
      </c>
    </row>
    <row r="89" spans="1:4">
      <c r="A89">
        <v>87</v>
      </c>
      <c r="B89" t="s">
        <v>19</v>
      </c>
      <c r="C89" s="12" t="str">
        <f>HYPERLINK(IEEE_NEW!$P89, IEEE_NEW!$A89)</f>
        <v>DigSiNet: Using Multiple Digital Twins to Provide Rhythmic Network Consistency</v>
      </c>
      <c r="D89" s="13">
        <f>IEEE_NEW!$AC89</f>
        <v>5</v>
      </c>
    </row>
    <row r="90" spans="1:4">
      <c r="A90">
        <v>88</v>
      </c>
      <c r="B90" t="s">
        <v>19</v>
      </c>
      <c r="C90" s="12" t="str">
        <f>HYPERLINK(IEEE_NEW!$P90, IEEE_NEW!$A90)</f>
        <v>Detection of Attacks on Modbus Industrial Communications Using the Communication Variable Memory Map Representation</v>
      </c>
      <c r="D90" s="13">
        <f>IEEE_NEW!$AC90</f>
        <v>9</v>
      </c>
    </row>
    <row r="91" spans="1:4">
      <c r="A91">
        <v>89</v>
      </c>
      <c r="B91" t="s">
        <v>19</v>
      </c>
      <c r="C91" s="12" t="str">
        <f>HYPERLINK(IEEE_NEW!$P91, IEEE_NEW!$A91)</f>
        <v>IEC 61850 Compatible OpenPLC for Cyber Attack Case Studies on Smart Substation Systems</v>
      </c>
      <c r="D91" s="13">
        <f>IEEE_NEW!$AC91</f>
        <v>10</v>
      </c>
    </row>
    <row r="92" spans="1:4">
      <c r="A92">
        <v>90</v>
      </c>
      <c r="B92" t="s">
        <v>19</v>
      </c>
      <c r="C92" s="12" t="str">
        <f>HYPERLINK(IEEE_NEW!$P92, IEEE_NEW!$A92)</f>
        <v>A Logical Performance Evaluation Methodology based on Bandwidth Estimation Strategy to Minimize Communication Delay over Wireless Sensor Networks</v>
      </c>
      <c r="D92" s="13">
        <f>IEEE_NEW!$AC92</f>
        <v>7</v>
      </c>
    </row>
    <row r="93" spans="1:4">
      <c r="A93">
        <v>91</v>
      </c>
      <c r="B93" t="s">
        <v>19</v>
      </c>
      <c r="C93" s="12" t="str">
        <f>HYPERLINK(IEEE_NEW!$P93, IEEE_NEW!$A93)</f>
        <v>Exploiting Control Device Vulnerabilities: Attacking Cyber-Physical Water System</v>
      </c>
      <c r="D93" s="13">
        <f>IEEE_NEW!$AC93</f>
        <v>10</v>
      </c>
    </row>
    <row r="94" spans="1:4">
      <c r="A94">
        <v>92</v>
      </c>
      <c r="B94" t="s">
        <v>19</v>
      </c>
      <c r="C94" s="12" t="str">
        <f>HYPERLINK(IEEE_NEW!$P94, IEEE_NEW!$A94)</f>
        <v>BIER-Based Multicast Routing for Low-Power and Lossy Networks</v>
      </c>
      <c r="D94" s="13">
        <f>IEEE_NEW!$AC94</f>
        <v>6</v>
      </c>
    </row>
    <row r="95" spans="1:4">
      <c r="A95">
        <v>93</v>
      </c>
      <c r="B95" t="s">
        <v>19</v>
      </c>
      <c r="C95" s="12" t="str">
        <f>HYPERLINK(IEEE_NEW!$P95, IEEE_NEW!$A95)</f>
        <v>Stealthy cyber attacks and impact analysis on wide-area protection of smart grid</v>
      </c>
      <c r="D95" s="13">
        <f>IEEE_NEW!$AC95</f>
        <v>6</v>
      </c>
    </row>
    <row r="96" spans="1:4">
      <c r="A96">
        <v>94</v>
      </c>
      <c r="B96" t="s">
        <v>19</v>
      </c>
      <c r="C96" s="12" t="str">
        <f>HYPERLINK(IEEE_NEW!$P96, IEEE_NEW!$A96)</f>
        <v>Knowledge Representation of Asset Information and Performance in OT Environments</v>
      </c>
      <c r="D96" s="13">
        <f>IEEE_NEW!$AC96</f>
        <v>8</v>
      </c>
    </row>
    <row r="97" spans="1:4">
      <c r="A97">
        <v>95</v>
      </c>
      <c r="B97" t="s">
        <v>19</v>
      </c>
      <c r="C97" s="12" t="str">
        <f>HYPERLINK(IEEE_NEW!$P97, IEEE_NEW!$A97)</f>
        <v>IoT Communication Framework with Ground Station Integration Using MQTT over TCP</v>
      </c>
      <c r="D97" s="13">
        <f>IEEE_NEW!$AC97</f>
        <v>6</v>
      </c>
    </row>
    <row r="98" spans="1:4">
      <c r="A98">
        <v>96</v>
      </c>
      <c r="B98" t="s">
        <v>19</v>
      </c>
      <c r="C98" s="12" t="str">
        <f>HYPERLINK(IEEE_NEW!$P98, IEEE_NEW!$A98)</f>
        <v>CRT-LoRa: An efficient and reliable MAC scheme for real-time industrial applications</v>
      </c>
      <c r="D98" s="13">
        <f>IEEE_NEW!$AC98</f>
        <v>6</v>
      </c>
    </row>
    <row r="99" spans="1:4">
      <c r="A99">
        <v>97</v>
      </c>
      <c r="B99" t="s">
        <v>19</v>
      </c>
      <c r="C99" s="12" t="str">
        <f>HYPERLINK(IEEE_NEW!$P99, IEEE_NEW!$A99)</f>
        <v>DIIG: A Distributed Industrial IoT Gateway</v>
      </c>
      <c r="D99" s="13">
        <f>IEEE_NEW!$AC99</f>
        <v>5</v>
      </c>
    </row>
    <row r="100" spans="1:4">
      <c r="A100">
        <v>98</v>
      </c>
      <c r="B100" t="s">
        <v>19</v>
      </c>
      <c r="C100" s="12" t="str">
        <f>HYPERLINK(IEEE_NEW!$P100, IEEE_NEW!$A100)</f>
        <v>The Role of Monitoring Frequency in Optimizing Digital Twin Networks</v>
      </c>
      <c r="D100" s="13">
        <f>IEEE_NEW!$AC100</f>
        <v>7</v>
      </c>
    </row>
    <row r="101" spans="1:4">
      <c r="A101">
        <v>99</v>
      </c>
      <c r="B101" t="s">
        <v>19</v>
      </c>
      <c r="C101" s="12" t="str">
        <f>HYPERLINK(IEEE_NEW!$P101, IEEE_NEW!$A101)</f>
        <v>Energy-Efficient Wireless Sensor Networks Optimization using Deep Q-Networks for Smart Energy Applications</v>
      </c>
      <c r="D101" s="13">
        <f>IEEE_NEW!$AC101</f>
        <v>5</v>
      </c>
    </row>
    <row r="102" spans="1:4">
      <c r="A102">
        <v>100</v>
      </c>
      <c r="B102" t="s">
        <v>1366</v>
      </c>
      <c r="C102" s="12" t="str">
        <f>HYPERLINK(ACM_NEW!$D2, ACM_NEW!$B2)</f>
        <v>ICSNet: A Hybrid-Interaction Honeynet for Industrial Control Systems</v>
      </c>
      <c r="D102" s="13">
        <f>ACM_NEW!$H2</f>
        <v>12</v>
      </c>
    </row>
    <row r="103" spans="1:4">
      <c r="A103">
        <v>101</v>
      </c>
      <c r="B103" t="s">
        <v>1366</v>
      </c>
      <c r="C103" s="12" t="str">
        <f>HYPERLINK(ACM_NEW!$D3, ACM_NEW!$B3)</f>
        <v>RTPL: A Real-Time Communication Protocol for LoRa Network</v>
      </c>
      <c r="D103" s="13">
        <f>ACM_NEW!$H3</f>
        <v>31</v>
      </c>
    </row>
    <row r="104" spans="1:4">
      <c r="A104">
        <v>102</v>
      </c>
      <c r="B104" t="s">
        <v>1366</v>
      </c>
      <c r="C104" s="12" t="str">
        <f>HYPERLINK(ACM_NEW!$D4, ACM_NEW!$B4)</f>
        <v>EmuFlex: A Flexible OT Testbed for Security Experiments with OPC UA</v>
      </c>
      <c r="D104" s="13">
        <f>ACM_NEW!$H4</f>
        <v>9</v>
      </c>
    </row>
    <row r="105" spans="1:4">
      <c r="A105">
        <v>103</v>
      </c>
      <c r="B105" t="s">
        <v>1366</v>
      </c>
      <c r="C105" s="12" t="str">
        <f>HYPERLINK(ACM_NEW!$D5, ACM_NEW!$B5)</f>
        <v>A Comprehensive Survey on Interoperability for IIoT: Taxonomy, Standards, and Future Directions</v>
      </c>
      <c r="D105" s="13">
        <f>ACM_NEW!$H5</f>
        <v>35</v>
      </c>
    </row>
    <row r="106" spans="1:4">
      <c r="A106">
        <v>104</v>
      </c>
      <c r="B106" t="s">
        <v>1366</v>
      </c>
      <c r="C106" s="12" t="str">
        <f>HYPERLINK(ACM_NEW!$D6, ACM_NEW!$B6)</f>
        <v>On Practical Realization of Evasion Attacks for Industrial Control Systems</v>
      </c>
      <c r="D106" s="13">
        <f>ACM_NEW!$H6</f>
        <v>17</v>
      </c>
    </row>
    <row r="107" spans="1:4">
      <c r="A107">
        <v>105</v>
      </c>
      <c r="B107" t="s">
        <v>1366</v>
      </c>
      <c r="C107" s="12" t="str">
        <f>HYPERLINK(ACM_NEW!$D7, ACM_NEW!$B7)</f>
        <v>An Industrial Internet of Things (IIoT) platform for intelligent wind turbine gearbox fault detection with automatic annotation</v>
      </c>
      <c r="D107" s="13">
        <f>ACM_NEW!$H7</f>
        <v>5</v>
      </c>
    </row>
    <row r="108" spans="1:4">
      <c r="A108">
        <v>106</v>
      </c>
      <c r="B108" t="s">
        <v>1366</v>
      </c>
      <c r="C108" s="12" t="str">
        <f>HYPERLINK(ACM_NEW!$D8, ACM_NEW!$B8)</f>
        <v>Examining the Suitability of Stream Ciphers for Modbus-TCP Encryption on Resource Constrained Devices</v>
      </c>
      <c r="D108" s="13">
        <f>ACM_NEW!$H8</f>
        <v>7</v>
      </c>
    </row>
    <row r="109" spans="1:4">
      <c r="A109">
        <v>107</v>
      </c>
      <c r="B109" t="s">
        <v>1366</v>
      </c>
      <c r="C109" s="12" t="str">
        <f>HYPERLINK(ACM_NEW!$D9, ACM_NEW!$B9)</f>
        <v>HoneyICS: A High-interaction Physics-aware Honeynet for Industrial Control Systems</v>
      </c>
      <c r="D109" s="13">
        <f>ACM_NEW!$H9</f>
        <v>10</v>
      </c>
    </row>
    <row r="110" spans="1:4">
      <c r="A110">
        <v>108</v>
      </c>
      <c r="B110" t="s">
        <v>1366</v>
      </c>
      <c r="C110" s="12" t="str">
        <f>HYPERLINK(ACM_NEW!$D10, ACM_NEW!$B10)</f>
        <v>The PRECINCT Ecosystem Platform for Critical Infrastructure Protection: Architecture, Deployment and Transferability</v>
      </c>
      <c r="D110" s="13">
        <f>ACM_NEW!$H10</f>
        <v>8</v>
      </c>
    </row>
    <row r="111" spans="1:4">
      <c r="A111">
        <v>109</v>
      </c>
      <c r="B111" t="s">
        <v>1366</v>
      </c>
      <c r="C111" s="12" t="str">
        <f>HYPERLINK(ACM_NEW!$D11, ACM_NEW!$B11)</f>
        <v>Controller-in-the-Middle: Attacks on Software Defined Networks in Industrial Control Systems</v>
      </c>
      <c r="D111" s="13">
        <f>ACM_NEW!$H11</f>
        <v>6</v>
      </c>
    </row>
    <row r="112" spans="1:4">
      <c r="A112">
        <v>110</v>
      </c>
      <c r="B112" t="s">
        <v>1366</v>
      </c>
      <c r="C112" s="12" t="str">
        <f>HYPERLINK(ACM_NEW!$D12, ACM_NEW!$B12)</f>
        <v>Identifying key attacks on an IEEE 9-Bus System by leveraging the MITRE ATT&amp;amp;CK ICS Matrix</v>
      </c>
      <c r="D112" s="13">
        <f>ACM_NEW!$H12</f>
        <v>8</v>
      </c>
    </row>
    <row r="113" spans="1:4">
      <c r="A113">
        <v>111</v>
      </c>
      <c r="B113" t="s">
        <v>1366</v>
      </c>
      <c r="C113" s="12" t="str">
        <f>HYPERLINK(ACM_NEW!$D13, ACM_NEW!$B13)</f>
        <v>SoK: A Taxonomy for Contrasting Industrial Control Systems Asset Discovery Tools</v>
      </c>
      <c r="D113" s="13">
        <f>ACM_NEW!$H13</f>
        <v>12</v>
      </c>
    </row>
    <row r="114" spans="1:4">
      <c r="A114">
        <v>112</v>
      </c>
      <c r="B114" t="s">
        <v>1366</v>
      </c>
      <c r="C114" s="12" t="str">
        <f>HYPERLINK(ACM_NEW!$D14, ACM_NEW!$B14)</f>
        <v>"If You Build it, They will Come" - A Blueprint for ICS-focused Capture-The-Flag Competitions</v>
      </c>
      <c r="D114" s="13">
        <f>ACM_NEW!$H14</f>
        <v>14</v>
      </c>
    </row>
    <row r="115" spans="1:4">
      <c r="A115">
        <v>113</v>
      </c>
      <c r="B115" t="s">
        <v>1366</v>
      </c>
      <c r="C115" s="12" t="str">
        <f>HYPERLINK(ACM_NEW!$D15, ACM_NEW!$B15)</f>
        <v>Research on the Secure Transmission Mechanism of Time Series Data in Power Plants</v>
      </c>
      <c r="D115" s="13">
        <f>ACM_NEW!$H15</f>
        <v>8</v>
      </c>
    </row>
    <row r="116" spans="1:4">
      <c r="A116">
        <v>114</v>
      </c>
      <c r="B116" t="s">
        <v>1366</v>
      </c>
      <c r="C116" s="12" t="str">
        <f>HYPERLINK(ACM_NEW!$D16, ACM_NEW!$B16)</f>
        <v>Modelling IoT Application Requirements for Benchmarking IoT Middleware Platforms</v>
      </c>
      <c r="D116" s="13">
        <f>ACM_NEW!$H16</f>
        <v>9</v>
      </c>
    </row>
    <row r="117" spans="1:4">
      <c r="A117">
        <v>115</v>
      </c>
      <c r="B117" t="s">
        <v>1366</v>
      </c>
      <c r="C117" s="12" t="str">
        <f>HYPERLINK(ACM_NEW!$D17, ACM_NEW!$B17)</f>
        <v>A Forensic I/O Recorder for Industrial Control Systems Using PLCs and OPC UA</v>
      </c>
      <c r="D117" s="13">
        <f>ACM_NEW!$H17</f>
        <v>9</v>
      </c>
    </row>
    <row r="118" spans="1:4">
      <c r="A118">
        <v>116</v>
      </c>
      <c r="B118" t="s">
        <v>1366</v>
      </c>
      <c r="C118" s="12" t="str">
        <f>HYPERLINK(ACM_NEW!$D18, ACM_NEW!$B18)</f>
        <v>Employing Digital Twins for Security-by-Design System Testing</v>
      </c>
      <c r="D118" s="13">
        <f>ACM_NEW!$H18</f>
        <v>10</v>
      </c>
    </row>
    <row r="119" spans="1:4">
      <c r="A119">
        <v>117</v>
      </c>
      <c r="B119" t="s">
        <v>1366</v>
      </c>
      <c r="C119" s="12" t="str">
        <f>HYPERLINK(ACM_NEW!$D19, ACM_NEW!$B19)</f>
        <v>Exploration and practice of industrial control system information security incident emergency exercise</v>
      </c>
      <c r="D119" s="13">
        <f>ACM_NEW!$H19</f>
        <v>7</v>
      </c>
    </row>
    <row r="120" spans="1:4">
      <c r="A120">
        <v>118</v>
      </c>
      <c r="B120" t="s">
        <v>1366</v>
      </c>
      <c r="C120" s="12" t="str">
        <f>HYPERLINK(ACM_NEW!$D20, ACM_NEW!$B20)</f>
        <v>QPUF 3.0: Sustainable Cybersecurity of Smart Grid through Security-By-Design based on Quantum-PUF and Quantum Key Distribution</v>
      </c>
      <c r="D120" s="13">
        <f>ACM_NEW!$H20</f>
        <v>6</v>
      </c>
    </row>
    <row r="121" spans="1:4">
      <c r="A121">
        <v>119</v>
      </c>
      <c r="B121" t="s">
        <v>1366</v>
      </c>
      <c r="C121" s="12" t="str">
        <f>HYPERLINK(ACM_NEW!$D21, ACM_NEW!$B21)</f>
        <v>Comparative Analysis and Implementation of HTTP3, MQTT, and CoAP for IoT Applications</v>
      </c>
      <c r="D121" s="13">
        <f>ACM_NEW!$H21</f>
        <v>6</v>
      </c>
    </row>
    <row r="122" spans="1:4">
      <c r="A122">
        <v>120</v>
      </c>
      <c r="B122" t="s">
        <v>1366</v>
      </c>
      <c r="C122" s="12" t="str">
        <f>HYPERLINK(ACM_NEW!$D22, ACM_NEW!$B22)</f>
        <v>D&amp;amp;R of Digital Twin-based Intelligent Control Practical Training System</v>
      </c>
      <c r="D122" s="13">
        <f>ACM_NEW!$H22</f>
        <v>7</v>
      </c>
    </row>
    <row r="123" spans="1:4">
      <c r="A123">
        <v>121</v>
      </c>
      <c r="B123" t="s">
        <v>1366</v>
      </c>
      <c r="C123" s="12" t="str">
        <f>HYPERLINK(ACM_NEW!$D23, ACM_NEW!$B23)</f>
        <v>A Model-based Approach for Assessing the Security of Cyber-Physical Systems</v>
      </c>
      <c r="D123" s="13">
        <f>ACM_NEW!$H23</f>
        <v>10</v>
      </c>
    </row>
    <row r="124" spans="1:4">
      <c r="A124">
        <v>122</v>
      </c>
      <c r="B124" t="s">
        <v>1366</v>
      </c>
      <c r="C124" s="12" t="str">
        <f>HYPERLINK(ACM_NEW!$D24, ACM_NEW!$B24)</f>
        <v>A Survey of Protocol Fuzzing</v>
      </c>
      <c r="D124" s="13">
        <f>ACM_NEW!$H24</f>
        <v>36</v>
      </c>
    </row>
    <row r="125" spans="1:4">
      <c r="A125">
        <v>123</v>
      </c>
      <c r="B125" t="s">
        <v>1366</v>
      </c>
      <c r="C125" s="12" t="str">
        <f>HYPERLINK(ACM_NEW!$D25, ACM_NEW!$B25)</f>
        <v>Enabling Industry 4.0 Communication Protocol Interoperability: An OPC UA Case Study</v>
      </c>
      <c r="D125" s="13">
        <f>ACM_NEW!$H25</f>
        <v>9</v>
      </c>
    </row>
    <row r="126" spans="1:4">
      <c r="A126">
        <v>124</v>
      </c>
      <c r="B126" t="s">
        <v>1366</v>
      </c>
      <c r="C126" s="12" t="str">
        <f>HYPERLINK(ACM_NEW!$D26, ACM_NEW!$B26)</f>
        <v>Using Machine Learning to detect abnormalities on Modbus/TCP Networks</v>
      </c>
      <c r="D126" s="13">
        <f>ACM_NEW!$H26</f>
        <v>6</v>
      </c>
    </row>
    <row r="127" spans="1:4">
      <c r="A127">
        <v>125</v>
      </c>
      <c r="B127" t="s">
        <v>1366</v>
      </c>
      <c r="C127" s="12" t="str">
        <f>HYPERLINK(ACM_NEW!$D27, ACM_NEW!$B27)</f>
        <v>A Medium-Interaction Emulation and Monitoring System for Operational Technology</v>
      </c>
      <c r="D127" s="13">
        <f>ACM_NEW!$H27</f>
        <v>7</v>
      </c>
    </row>
    <row r="128" spans="1:4">
      <c r="A128">
        <v>126</v>
      </c>
      <c r="B128" t="s">
        <v>1366</v>
      </c>
      <c r="C128" s="12" t="str">
        <f>HYPERLINK(ACM_NEW!$D28, ACM_NEW!$B28)</f>
        <v>vBump: Securing Ethernet-based Industrial Control System Networks with VLAN-based Traffic Aggregation</v>
      </c>
      <c r="D128" s="13">
        <f>ACM_NEW!$H28</f>
        <v>12</v>
      </c>
    </row>
    <row r="129" spans="1:4">
      <c r="A129">
        <v>127</v>
      </c>
      <c r="B129" t="s">
        <v>1366</v>
      </c>
      <c r="C129" s="12" t="str">
        <f>HYPERLINK(ACM_NEW!$D29, ACM_NEW!$B29)</f>
        <v>BayesImposter: Bayesian Estimation Based.bss Imposter Attack on Industrial Control Systems</v>
      </c>
      <c r="D129" s="13">
        <f>ACM_NEW!$H29</f>
        <v>15</v>
      </c>
    </row>
    <row r="130" spans="1:4">
      <c r="A130">
        <v>128</v>
      </c>
      <c r="B130" t="s">
        <v>1366</v>
      </c>
      <c r="C130" s="12" t="str">
        <f>HYPERLINK(ACM_NEW!$D30, ACM_NEW!$B30)</f>
        <v>ICS3Fuzzer: A Framework for Discovering Protocol Implementation Bugs in ICS Supervisory Software by Fuzzing</v>
      </c>
      <c r="D130" s="13">
        <f>ACM_NEW!$H30</f>
        <v>12</v>
      </c>
    </row>
    <row r="131" spans="1:4">
      <c r="A131">
        <v>129</v>
      </c>
      <c r="B131" t="s">
        <v>1366</v>
      </c>
      <c r="C131" s="12" t="str">
        <f>HYPERLINK(ACM_NEW!$D31, ACM_NEW!$B31)</f>
        <v>Adaptability of Microservices Architecture in IoT Systems : A Comprehensive Review</v>
      </c>
      <c r="D131" s="13">
        <f>ACM_NEW!$H31</f>
        <v>9</v>
      </c>
    </row>
    <row r="132" spans="1:4">
      <c r="A132">
        <v>130</v>
      </c>
      <c r="B132" t="s">
        <v>1366</v>
      </c>
      <c r="C132" s="12" t="str">
        <f>HYPERLINK(ACM_NEW!$D32, ACM_NEW!$B32)</f>
        <v>BEANet: An Energy-efficient BLE Solution for High-capacity Equipment Area Network</v>
      </c>
      <c r="D132" s="13">
        <f>ACM_NEW!$H32</f>
        <v>23</v>
      </c>
    </row>
    <row r="133" spans="1:4">
      <c r="A133">
        <v>131</v>
      </c>
      <c r="B133" t="s">
        <v>1366</v>
      </c>
      <c r="C133" s="12" t="str">
        <f>HYPERLINK(ACM_NEW!$D33, ACM_NEW!$B33)</f>
        <v>Old MacDonald had a smart farm: Building a testbed to study cybersecurity in smart dairy farming</v>
      </c>
      <c r="D133" s="13">
        <f>ACM_NEW!$H33</f>
        <v>9</v>
      </c>
    </row>
    <row r="134" spans="1:4">
      <c r="A134">
        <v>132</v>
      </c>
      <c r="B134" t="s">
        <v>1366</v>
      </c>
      <c r="C134" s="12" t="str">
        <f>HYPERLINK(ACM_NEW!$D34, ACM_NEW!$B34)</f>
        <v>From Playground to Battleground: Cyber Range Training for Industrial Cybersecurity Education</v>
      </c>
      <c r="D134" s="13">
        <f>ACM_NEW!$H34</f>
        <v>6</v>
      </c>
    </row>
    <row r="135" spans="1:4">
      <c r="A135">
        <v>133</v>
      </c>
      <c r="B135" t="s">
        <v>1366</v>
      </c>
      <c r="C135" s="12" t="str">
        <f>HYPERLINK(ACM_NEW!$D35, ACM_NEW!$B35)</f>
        <v>Design and Implementation of Hardware and Peripheral System for IoT Gateway</v>
      </c>
      <c r="D135" s="13">
        <f>ACM_NEW!$H35</f>
        <v>7</v>
      </c>
    </row>
    <row r="136" spans="1:4">
      <c r="A136">
        <v>134</v>
      </c>
      <c r="B136" t="s">
        <v>1366</v>
      </c>
      <c r="C136" s="12" t="str">
        <f>HYPERLINK(ACM_NEW!$D36, ACM_NEW!$B36)</f>
        <v>A Digital Twin Architecture for the Provisioning, Management, and Monitoring of Heterogenous IoT Devices</v>
      </c>
      <c r="D136" s="13">
        <f>ACM_NEW!$H36</f>
        <v>11</v>
      </c>
    </row>
    <row r="137" spans="1:4">
      <c r="A137">
        <v>135</v>
      </c>
      <c r="B137" t="s">
        <v>1366</v>
      </c>
      <c r="C137" s="12" t="str">
        <f>HYPERLINK(ACM_NEW!$D37, ACM_NEW!$B37)</f>
        <v>A Time-Sensitive Network Traffic Scheduling Method Under Critical Time-Triggered Stream Constraints</v>
      </c>
      <c r="D137" s="13">
        <f>ACM_NEW!$H37</f>
        <v>9</v>
      </c>
    </row>
    <row r="138" spans="1:4">
      <c r="A138">
        <v>136</v>
      </c>
      <c r="B138" t="s">
        <v>1366</v>
      </c>
      <c r="C138" s="12" t="str">
        <f>HYPERLINK(ACM_NEW!$D38, ACM_NEW!$B38)</f>
        <v>Model-Driven approach to Cyber Risk Analysis in Industry 4.0</v>
      </c>
      <c r="D138" s="13">
        <f>ACM_NEW!$H38</f>
        <v>7</v>
      </c>
    </row>
    <row r="139" spans="1:4">
      <c r="A139">
        <v>137</v>
      </c>
      <c r="B139" t="s">
        <v>1366</v>
      </c>
      <c r="C139" s="12" t="str">
        <f>HYPERLINK(ACM_NEW!$D39, ACM_NEW!$B39)</f>
        <v>Research on the realization of distance education practical training courses based on digital twin technology</v>
      </c>
      <c r="D139" s="13">
        <f>ACM_NEW!$H39</f>
        <v>7</v>
      </c>
    </row>
    <row r="140" spans="1:4">
      <c r="A140">
        <v>138</v>
      </c>
      <c r="B140" t="s">
        <v>1366</v>
      </c>
      <c r="C140" s="12" t="str">
        <f>HYPERLINK(ACM_NEW!$D40, ACM_NEW!$B40)</f>
        <v>Sentinel: A Robust Intrusion Detection System for IoT Networks Using Kernel-Level System Information</v>
      </c>
      <c r="D140" s="13">
        <f>ACM_NEW!$H40</f>
        <v>14</v>
      </c>
    </row>
    <row r="141" spans="1:4">
      <c r="A141">
        <v>139</v>
      </c>
      <c r="B141" t="s">
        <v>28</v>
      </c>
      <c r="C141" s="12" t="str">
        <f>HYPERLINK(SCOPUS_NEW!$N2, SCOPUS_NEW!$D2)</f>
        <v>Edge Computing-Enabled Predictive Maintenance System with Multi-Protocol RTU Integration for Industry 4.0 Applications</v>
      </c>
      <c r="D141" s="13">
        <f>SCOPUS_NEW!$V2</f>
        <v>8</v>
      </c>
    </row>
    <row r="142" spans="1:4">
      <c r="A142">
        <v>140</v>
      </c>
      <c r="B142" t="s">
        <v>28</v>
      </c>
      <c r="C142" s="12" t="str">
        <f>HYPERLINK(SCOPUS_NEW!$N3, SCOPUS_NEW!$D3)</f>
        <v>Cyber4OT dataset: Network traces for cyber-security vulnerability evaluation in industrial control systems</v>
      </c>
      <c r="D142" s="13">
        <f>SCOPUS_NEW!$V3</f>
        <v>0</v>
      </c>
    </row>
    <row r="143" spans="1:4">
      <c r="A143">
        <v>141</v>
      </c>
      <c r="B143" t="s">
        <v>28</v>
      </c>
      <c r="C143" s="12" t="str">
        <f>HYPERLINK(SCOPUS_NEW!$N4, SCOPUS_NEW!$D4)</f>
        <v>Exponential Backoff and Its Security Implications for Safety-Critical OT Protocols over TCP/IP Networks</v>
      </c>
      <c r="D143" s="13">
        <f>SCOPUS_NEW!$V4</f>
        <v>0</v>
      </c>
    </row>
    <row r="144" spans="1:4">
      <c r="A144">
        <v>142</v>
      </c>
      <c r="B144" t="s">
        <v>28</v>
      </c>
      <c r="C144" s="12" t="str">
        <f>HYPERLINK(SCOPUS_NEW!$N5, SCOPUS_NEW!$D5)</f>
        <v>TSCH in Edge IoT: A Comprehensive Survey of Research Challenges</v>
      </c>
      <c r="D144" s="13">
        <f>SCOPUS_NEW!$V5</f>
        <v>0</v>
      </c>
    </row>
    <row r="145" spans="1:4">
      <c r="A145">
        <v>145</v>
      </c>
      <c r="B145" t="s">
        <v>28</v>
      </c>
      <c r="C145" s="12" t="str">
        <f>HYPERLINK(SCOPUS_NEW!$N8, SCOPUS_NEW!$D8)</f>
        <v>Methodology for Assessing Existing Vulnerabilities in Modbus Protocol</v>
      </c>
      <c r="D145" s="13">
        <f>SCOPUS_NEW!$V8</f>
        <v>10</v>
      </c>
    </row>
    <row r="146" spans="1:4">
      <c r="A146">
        <v>147</v>
      </c>
      <c r="B146" t="s">
        <v>28</v>
      </c>
      <c r="C146" s="12" t="str">
        <f>HYPERLINK(SCOPUS_NEW!$N10, SCOPUS_NEW!$D10)</f>
        <v>Simulation and modeling of a robust cybersecurity system for next-generation manufacturing execution</v>
      </c>
      <c r="D146" s="13">
        <f>SCOPUS_NEW!$V10</f>
        <v>0</v>
      </c>
    </row>
    <row r="147" spans="1:4">
      <c r="A147">
        <v>148</v>
      </c>
      <c r="B147" t="s">
        <v>28</v>
      </c>
      <c r="C147" s="12" t="str">
        <f>HYPERLINK(SCOPUS_NEW!$N11, SCOPUS_NEW!$D11)</f>
        <v>Securing industrial control systems: Developing a SCADA/IoT test bench and evaluating lightweight cipher performance on hardware simulator</v>
      </c>
      <c r="D147" s="13">
        <f>SCOPUS_NEW!$V11</f>
        <v>0</v>
      </c>
    </row>
    <row r="148" spans="1:4">
      <c r="A148">
        <v>149</v>
      </c>
      <c r="B148" t="s">
        <v>28</v>
      </c>
      <c r="C148" s="12" t="str">
        <f>HYPERLINK(SCOPUS_NEW!$N12, SCOPUS_NEW!$D12)</f>
        <v>OPC-UA in interoperability - a performance comparative testing</v>
      </c>
      <c r="D148" s="13">
        <f>SCOPUS_NEW!$V12</f>
        <v>5</v>
      </c>
    </row>
    <row r="149" spans="1:4">
      <c r="A149">
        <v>153</v>
      </c>
      <c r="B149" t="s">
        <v>28</v>
      </c>
      <c r="C149" s="12" t="str">
        <f>HYPERLINK(SCOPUS_NEW!$N16, SCOPUS_NEW!$D16)</f>
        <v>SEAG: A novel dynamic security risk assessment method for industrial control systems with consideration of social engineering</v>
      </c>
      <c r="D149" s="13">
        <f>SCOPUS_NEW!$V16</f>
        <v>0</v>
      </c>
    </row>
    <row r="150" spans="1:4">
      <c r="A150">
        <v>154</v>
      </c>
      <c r="B150" t="s">
        <v>28</v>
      </c>
      <c r="C150" s="12" t="str">
        <f>HYPERLINK(SCOPUS_NEW!$N17, SCOPUS_NEW!$D17)</f>
        <v>Secure Sensor Prototype Using Hardware Security Modules and Trusted Execution Environments in a Blockchain Application: Wine Logistic Use Case</v>
      </c>
      <c r="D150" s="13">
        <f>SCOPUS_NEW!$V17</f>
        <v>0</v>
      </c>
    </row>
    <row r="151" spans="1:4">
      <c r="A151">
        <v>162</v>
      </c>
      <c r="B151" t="s">
        <v>28</v>
      </c>
      <c r="C151" s="12" t="str">
        <f>HYPERLINK(SCOPUS_NEW!$N25, SCOPUS_NEW!$D25)</f>
        <v>A performance analysis of internet of things networking protocols: Evaluating MQTT, CoAP, OPC UA</v>
      </c>
      <c r="D151" s="13">
        <f>SCOPUS_NEW!$V25</f>
        <v>0</v>
      </c>
    </row>
    <row r="152" spans="1:4">
      <c r="A152">
        <v>164</v>
      </c>
      <c r="B152" t="s">
        <v>28</v>
      </c>
      <c r="C152" s="12" t="str">
        <f>HYPERLINK(SCOPUS_NEW!$N27, SCOPUS_NEW!$D27)</f>
        <v>Security Transformation Technology for Electricity Metering Communication Protocol; 电能计量用通信规约安全改造技术</v>
      </c>
      <c r="D152" s="13">
        <f>SCOPUS_NEW!$V27</f>
        <v>7</v>
      </c>
    </row>
    <row r="153" spans="1:4">
      <c r="A153">
        <v>166</v>
      </c>
      <c r="B153" t="s">
        <v>28</v>
      </c>
      <c r="C153" s="12" t="str">
        <f>HYPERLINK(SCOPUS_NEW!$N29, SCOPUS_NEW!$D29)</f>
        <v>SCADA Testbed Implementation, Attacks, and Security Solutions</v>
      </c>
      <c r="D153" s="13">
        <f>SCOPUS_NEW!$V29</f>
        <v>19</v>
      </c>
    </row>
    <row r="154" spans="1:4">
      <c r="A154">
        <v>187</v>
      </c>
      <c r="B154" t="s">
        <v>19</v>
      </c>
      <c r="C154" s="12" t="str">
        <f>HYPERLINK(IEEE_NEW!$P102, IEEE_NEW!$A102)</f>
        <v>A Testbed for Evaluating Performance and Cybersecurity Implications of IEC-61850 GOOSE Hardware Implementations</v>
      </c>
      <c r="D154" s="13">
        <f>IEEE_NEW!$AC102</f>
        <v>6</v>
      </c>
    </row>
    <row r="155" spans="1:4">
      <c r="A155">
        <v>188</v>
      </c>
      <c r="B155" t="s">
        <v>19</v>
      </c>
      <c r="C155" s="12" t="str">
        <f>HYPERLINK(IEEE_NEW!$P103, IEEE_NEW!$A103)</f>
        <v>Benchmarking Cloud-Based SCADA System</v>
      </c>
      <c r="D155" s="13">
        <f>IEEE_NEW!$AC103</f>
        <v>8</v>
      </c>
    </row>
    <row r="156" spans="1:4">
      <c r="A156">
        <v>189</v>
      </c>
      <c r="B156" t="s">
        <v>19</v>
      </c>
      <c r="C156" s="12" t="str">
        <f>HYPERLINK(IEEE_NEW!$P104, IEEE_NEW!$A104)</f>
        <v>Implementing a performant security control for Industrial Ethernet</v>
      </c>
      <c r="D156" s="13">
        <f>IEEE_NEW!$AC104</f>
        <v>4</v>
      </c>
    </row>
    <row r="157" spans="1:4">
      <c r="A157">
        <v>190</v>
      </c>
      <c r="B157" t="s">
        <v>19</v>
      </c>
      <c r="C157" s="12" t="str">
        <f>HYPERLINK(IEEE_NEW!$P105, IEEE_NEW!$A105)</f>
        <v>Passive Device Fingerprinting for OT Networks Using Byte Histograms</v>
      </c>
      <c r="D157" s="13">
        <f>IEEE_NEW!$AC105</f>
        <v>6</v>
      </c>
    </row>
    <row r="158" spans="1:4">
      <c r="A158">
        <v>191</v>
      </c>
      <c r="B158" t="s">
        <v>19</v>
      </c>
      <c r="C158" s="12" t="str">
        <f>HYPERLINK(IEEE_NEW!$P106, IEEE_NEW!$A106)</f>
        <v>Safety and Security: A Field of Tension in Industrial Practice</v>
      </c>
      <c r="D158" s="13">
        <f>IEEE_NEW!$AC106</f>
        <v>7</v>
      </c>
    </row>
    <row r="159" spans="1:4">
      <c r="A159">
        <v>192</v>
      </c>
      <c r="B159" t="s">
        <v>19</v>
      </c>
      <c r="C159" s="12" t="str">
        <f>HYPERLINK(IEEE_NEW!$P107, IEEE_NEW!$A107)</f>
        <v>The importance of testing Smart Grid IEDs against security vulnerabilities</v>
      </c>
      <c r="D159" s="13">
        <f>IEEE_NEW!$AC107</f>
        <v>21</v>
      </c>
    </row>
    <row r="160" spans="1:4">
      <c r="A160">
        <v>193</v>
      </c>
      <c r="B160" t="s">
        <v>19</v>
      </c>
      <c r="C160" s="12" t="str">
        <f>HYPERLINK(IEEE_NEW!$P108, IEEE_NEW!$A108)</f>
        <v>Virtual PLC in Industrial Edge Platform: Performance Evaluation of Supervision and Control Communication</v>
      </c>
      <c r="D160" s="13">
        <f>IEEE_NEW!$AC108</f>
        <v>10</v>
      </c>
    </row>
    <row r="161" spans="1:4">
      <c r="A161">
        <v>195</v>
      </c>
      <c r="B161" t="s">
        <v>28</v>
      </c>
      <c r="C161" s="12" t="str">
        <f>HYPERLINK(SCOPUS_NEW!$N33, SCOPUS_NEW!$D33)</f>
        <v>Integrity Enhancing Protocols: Performance and Recommendations for Nuclear Systems</v>
      </c>
      <c r="D161" s="13">
        <f>SCOPUS_NEW!$V33</f>
        <v>10</v>
      </c>
    </row>
    <row r="162" spans="1:4">
      <c r="A162">
        <v>196</v>
      </c>
      <c r="B162" t="s">
        <v>1366</v>
      </c>
      <c r="C162" s="12" t="str">
        <f>HYPERLINK(ACM_NEW!$D41, ACM_NEW!$B41)</f>
        <v>Identification of industrial devices based on payload</v>
      </c>
      <c r="D162" s="13">
        <f>ACM_NEW!$H41</f>
        <v>9</v>
      </c>
    </row>
    <row r="200" spans="3:4">
      <c r="C200" s="12"/>
      <c r="D200" s="13"/>
    </row>
    <row r="201" spans="3:4">
      <c r="C201" s="12"/>
      <c r="D201" s="13"/>
    </row>
    <row r="202" spans="3:4">
      <c r="C202" s="12"/>
      <c r="D202" s="13"/>
    </row>
    <row r="203" spans="3:4">
      <c r="C203" s="12"/>
      <c r="D203" s="13"/>
    </row>
    <row r="204" spans="3:4">
      <c r="C204" s="12"/>
      <c r="D204" s="13"/>
    </row>
    <row r="205" spans="3:4">
      <c r="C205" s="12"/>
      <c r="D205" s="13"/>
    </row>
    <row r="206" spans="3:4">
      <c r="C206" s="12"/>
      <c r="D206" s="13"/>
    </row>
    <row r="207" spans="3:4">
      <c r="C207" s="12"/>
      <c r="D207" s="13"/>
    </row>
    <row r="208" spans="3:4">
      <c r="C208" s="12"/>
      <c r="D208" s="13"/>
    </row>
    <row r="209" spans="3:4">
      <c r="C209" s="12"/>
      <c r="D209" s="13"/>
    </row>
    <row r="210" spans="3:4">
      <c r="C210" s="12"/>
      <c r="D210" s="13"/>
    </row>
    <row r="211" spans="3:4">
      <c r="C211" s="12"/>
      <c r="D211" s="13"/>
    </row>
    <row r="212" spans="3:4">
      <c r="C212" s="12"/>
      <c r="D212" s="13"/>
    </row>
    <row r="213" spans="3:4">
      <c r="C213" s="12"/>
      <c r="D213" s="13"/>
    </row>
    <row r="214" spans="3:4">
      <c r="C214" s="12"/>
      <c r="D214" s="13"/>
    </row>
    <row r="215" spans="3:4">
      <c r="C215" s="12"/>
      <c r="D215" s="13"/>
    </row>
    <row r="216" spans="3:4">
      <c r="C216" s="12"/>
      <c r="D216" s="13"/>
    </row>
    <row r="217" spans="3:4">
      <c r="C217" s="12"/>
      <c r="D217" s="13"/>
    </row>
    <row r="218" spans="3:4">
      <c r="C218" s="12"/>
      <c r="D218" s="13"/>
    </row>
    <row r="219" spans="3:4">
      <c r="C219" s="12"/>
      <c r="D219" s="13"/>
    </row>
    <row r="220" spans="3:4">
      <c r="C220" s="12"/>
      <c r="D220" s="13"/>
    </row>
    <row r="221" spans="3:4">
      <c r="C221" s="12"/>
      <c r="D221" s="13"/>
    </row>
    <row r="222" spans="3:4">
      <c r="C222" s="12"/>
      <c r="D222" s="13"/>
    </row>
    <row r="223" spans="3:4">
      <c r="C223" s="12"/>
      <c r="D223" s="13"/>
    </row>
    <row r="224" spans="3:4">
      <c r="C224" s="12"/>
      <c r="D224" s="13"/>
    </row>
    <row r="225" spans="3:4">
      <c r="C225" s="12"/>
      <c r="D225" s="13"/>
    </row>
    <row r="226" spans="3:4">
      <c r="C226" s="12"/>
      <c r="D226" s="13"/>
    </row>
    <row r="227" spans="3:4">
      <c r="C227" s="12"/>
      <c r="D227" s="13"/>
    </row>
    <row r="228" spans="3:4">
      <c r="C228" s="12"/>
      <c r="D228" s="13"/>
    </row>
    <row r="229" spans="3:4">
      <c r="C229" s="12"/>
      <c r="D229" s="13"/>
    </row>
    <row r="230" spans="3:4">
      <c r="C230" s="12"/>
      <c r="D230" s="13"/>
    </row>
    <row r="231" spans="3:4">
      <c r="C231" s="12"/>
      <c r="D231" s="13"/>
    </row>
    <row r="232" spans="3:4">
      <c r="C232" s="12"/>
      <c r="D232" s="13"/>
    </row>
    <row r="233" spans="3:4">
      <c r="C233" s="12"/>
      <c r="D233" s="13"/>
    </row>
    <row r="234" spans="3:4">
      <c r="C234" s="12"/>
      <c r="D234" s="13"/>
    </row>
    <row r="235" spans="3:4">
      <c r="C235" s="12"/>
      <c r="D235" s="13"/>
    </row>
    <row r="236" spans="3:4">
      <c r="C236" s="12"/>
      <c r="D236" s="13"/>
    </row>
    <row r="237" spans="3:4">
      <c r="C237" s="12"/>
      <c r="D237" s="13"/>
    </row>
    <row r="238" spans="3:4">
      <c r="C238" s="12"/>
      <c r="D238" s="13"/>
    </row>
    <row r="239" spans="3:4">
      <c r="C239" s="12"/>
      <c r="D239" s="13"/>
    </row>
    <row r="240" spans="3:4">
      <c r="C240" s="12"/>
      <c r="D240" s="13"/>
    </row>
    <row r="241" spans="3:5">
      <c r="C241" s="12"/>
      <c r="D241" s="13"/>
    </row>
    <row r="242" spans="3:5">
      <c r="C242" s="12"/>
      <c r="D242" s="13"/>
    </row>
    <row r="243" spans="3:5">
      <c r="C243" s="12"/>
      <c r="D243" s="13"/>
    </row>
    <row r="244" spans="3:5">
      <c r="C244" s="12"/>
      <c r="D244" s="13"/>
    </row>
    <row r="245" spans="3:5">
      <c r="C245" s="12"/>
      <c r="D245" s="13"/>
    </row>
    <row r="246" spans="3:5">
      <c r="C246" s="12"/>
      <c r="D246" s="13"/>
    </row>
    <row r="247" spans="3:5">
      <c r="C247" s="12"/>
      <c r="D247" s="13"/>
    </row>
    <row r="248" spans="3:5">
      <c r="C248" s="12"/>
      <c r="D248" s="13"/>
    </row>
    <row r="249" spans="3:5">
      <c r="C249" s="12"/>
      <c r="D249" s="13"/>
    </row>
    <row r="250" spans="3:5">
      <c r="C250" s="12"/>
      <c r="D250" s="13"/>
    </row>
    <row r="251" spans="3:5">
      <c r="C251" s="12"/>
      <c r="D251" s="13"/>
    </row>
    <row r="252" spans="3:5">
      <c r="C252" s="12"/>
      <c r="D252" s="13"/>
    </row>
    <row r="253" spans="3:5">
      <c r="C253" s="12"/>
      <c r="D253" s="13"/>
    </row>
    <row r="254" spans="3:5">
      <c r="C254" s="12"/>
      <c r="D254" s="13"/>
      <c r="E254" s="9"/>
    </row>
    <row r="255" spans="3:5">
      <c r="C255" s="12"/>
      <c r="D255" s="13"/>
      <c r="E255" s="10"/>
    </row>
    <row r="256" spans="3:5">
      <c r="C256" s="12"/>
      <c r="D256" s="13"/>
      <c r="E256" s="9"/>
    </row>
    <row r="257" spans="3:5">
      <c r="C257" s="12"/>
      <c r="D257" s="13"/>
      <c r="E257" s="10"/>
    </row>
    <row r="258" spans="3:5">
      <c r="C258" s="12"/>
      <c r="D258" s="13"/>
      <c r="E258" s="9"/>
    </row>
    <row r="259" spans="3:5">
      <c r="C259" s="12"/>
      <c r="D259" s="13"/>
      <c r="E259" s="10"/>
    </row>
    <row r="260" spans="3:5">
      <c r="C260" s="12"/>
      <c r="D260" s="13"/>
      <c r="E260" s="9"/>
    </row>
    <row r="261" spans="3:5">
      <c r="C261" s="12"/>
      <c r="D261" s="13"/>
      <c r="E261" s="10"/>
    </row>
    <row r="262" spans="3:5">
      <c r="C262" s="12"/>
      <c r="D262" s="13"/>
      <c r="E262" s="9"/>
    </row>
    <row r="263" spans="3:5">
      <c r="C263" s="12"/>
      <c r="D263" s="13"/>
      <c r="E263" s="10"/>
    </row>
    <row r="264" spans="3:5">
      <c r="C264" s="12"/>
      <c r="D264" s="13"/>
      <c r="E264" s="9"/>
    </row>
    <row r="265" spans="3:5">
      <c r="C265" s="12"/>
      <c r="D265" s="13"/>
      <c r="E265" s="10"/>
    </row>
    <row r="266" spans="3:5">
      <c r="C266" s="12"/>
      <c r="D266" s="13"/>
      <c r="E266" s="10"/>
    </row>
    <row r="267" spans="3:5">
      <c r="C267" s="12"/>
      <c r="D267" s="13"/>
      <c r="E267" s="9"/>
    </row>
    <row r="268" spans="3:5">
      <c r="C268" s="12"/>
      <c r="D268" s="13"/>
      <c r="E268" s="10"/>
    </row>
    <row r="269" spans="3:5">
      <c r="C269" s="12"/>
      <c r="D269" s="13"/>
      <c r="E269" s="9"/>
    </row>
    <row r="270" spans="3:5">
      <c r="C270" s="12"/>
      <c r="D270" s="13"/>
      <c r="E270" s="10"/>
    </row>
    <row r="271" spans="3:5">
      <c r="C271" s="12"/>
      <c r="D271" s="13"/>
      <c r="E271" s="10"/>
    </row>
    <row r="272" spans="3:5">
      <c r="C272" s="12"/>
      <c r="D272" s="13"/>
      <c r="E272" s="9"/>
    </row>
    <row r="273" spans="3:5">
      <c r="C273" s="12"/>
      <c r="D273" s="13"/>
      <c r="E273" s="10"/>
    </row>
    <row r="274" spans="3:5">
      <c r="C274" s="12"/>
      <c r="D274" s="13"/>
      <c r="E274" s="9"/>
    </row>
    <row r="275" spans="3:5">
      <c r="C275" s="12"/>
      <c r="D275" s="13"/>
      <c r="E275" s="10"/>
    </row>
    <row r="276" spans="3:5">
      <c r="C276" s="12"/>
      <c r="D276" s="13"/>
      <c r="E276" s="9"/>
    </row>
    <row r="277" spans="3:5">
      <c r="C277" s="12"/>
      <c r="D277" s="13"/>
      <c r="E277" s="10"/>
    </row>
    <row r="278" spans="3:5">
      <c r="C278" s="12"/>
      <c r="D278" s="13"/>
      <c r="E278" s="10"/>
    </row>
    <row r="279" spans="3:5">
      <c r="C279" s="12"/>
      <c r="D279" s="13"/>
      <c r="E279" s="9"/>
    </row>
    <row r="280" spans="3:5">
      <c r="C280" s="12"/>
      <c r="D280" s="13"/>
      <c r="E280" s="9"/>
    </row>
    <row r="281" spans="3:5">
      <c r="C281" s="12"/>
      <c r="D281" s="13"/>
      <c r="E281" s="9"/>
    </row>
    <row r="282" spans="3:5">
      <c r="C282" s="12"/>
      <c r="D282" s="13"/>
      <c r="E282" s="10"/>
    </row>
    <row r="283" spans="3:5">
      <c r="C283" s="12"/>
      <c r="D283" s="13"/>
      <c r="E283" s="9"/>
    </row>
    <row r="284" spans="3:5">
      <c r="C284" s="12"/>
      <c r="D284" s="13"/>
      <c r="E284" s="9"/>
    </row>
    <row r="285" spans="3:5">
      <c r="C285" s="12"/>
      <c r="D285" s="13"/>
      <c r="E285" s="10"/>
    </row>
    <row r="286" spans="3:5">
      <c r="C286" s="12"/>
      <c r="D286" s="13"/>
      <c r="E286" s="10"/>
    </row>
    <row r="287" spans="3:5">
      <c r="C287" s="12"/>
      <c r="D287" s="13"/>
      <c r="E287" s="9"/>
    </row>
    <row r="288" spans="3:5">
      <c r="C288" s="12"/>
      <c r="D288" s="13"/>
      <c r="E288" s="10"/>
    </row>
    <row r="289" spans="3:5">
      <c r="C289" s="12"/>
      <c r="D289" s="13"/>
      <c r="E289" s="10"/>
    </row>
    <row r="290" spans="3:5">
      <c r="C290" s="12"/>
      <c r="D290" s="13"/>
      <c r="E290" s="10"/>
    </row>
    <row r="291" spans="3:5">
      <c r="C291" s="12"/>
      <c r="D291" s="13"/>
      <c r="E291" s="10"/>
    </row>
    <row r="292" spans="3:5">
      <c r="C292" s="12"/>
      <c r="D292" s="13"/>
      <c r="E292" s="9"/>
    </row>
    <row r="293" spans="3:5">
      <c r="C293" s="12"/>
      <c r="D293" s="13"/>
      <c r="E293" s="10"/>
    </row>
    <row r="294" spans="3:5">
      <c r="C294" s="12"/>
      <c r="D294" s="13"/>
      <c r="E294" s="9"/>
    </row>
    <row r="295" spans="3:5">
      <c r="C295" s="12"/>
      <c r="D295" s="13"/>
      <c r="E295" s="10"/>
    </row>
    <row r="296" spans="3:5">
      <c r="C296" s="12"/>
      <c r="D296" s="13"/>
      <c r="E296" s="10"/>
    </row>
    <row r="297" spans="3:5">
      <c r="C297" s="12"/>
      <c r="D297" s="13"/>
    </row>
    <row r="298" spans="3:5">
      <c r="C298" s="12"/>
      <c r="D298" s="13"/>
    </row>
    <row r="299" spans="3:5">
      <c r="C299" s="12"/>
      <c r="D299" s="13"/>
    </row>
    <row r="300" spans="3:5">
      <c r="C300" s="12"/>
      <c r="D300" s="13"/>
    </row>
    <row r="301" spans="3:5">
      <c r="C301" s="12"/>
      <c r="D301" s="13"/>
    </row>
    <row r="302" spans="3:5">
      <c r="C302" s="12"/>
      <c r="D302" s="13"/>
    </row>
    <row r="303" spans="3:5">
      <c r="C303" s="11"/>
      <c r="D303" s="13"/>
    </row>
    <row r="304" spans="3:5">
      <c r="C304" s="11"/>
      <c r="D304" s="13"/>
    </row>
    <row r="305" spans="3:4">
      <c r="C305" s="11"/>
      <c r="D305" s="13"/>
    </row>
    <row r="306" spans="3:4">
      <c r="C306" s="11"/>
      <c r="D306" s="13"/>
    </row>
    <row r="307" spans="3:4">
      <c r="C307" s="11"/>
      <c r="D307" s="13"/>
    </row>
    <row r="308" spans="3:4">
      <c r="C308" s="11"/>
      <c r="D308" s="13"/>
    </row>
    <row r="309" spans="3:4">
      <c r="C309" s="11"/>
      <c r="D309" s="13"/>
    </row>
    <row r="310" spans="3:4">
      <c r="C310" s="11"/>
      <c r="D310" s="13"/>
    </row>
    <row r="311" spans="3:4">
      <c r="C311" s="11"/>
      <c r="D311" s="13"/>
    </row>
    <row r="312" spans="3:4">
      <c r="C312" s="11"/>
      <c r="D312" s="13"/>
    </row>
    <row r="313" spans="3:4">
      <c r="C313" s="12"/>
      <c r="D313" s="13"/>
    </row>
  </sheetData>
  <conditionalFormatting sqref="C1:C153">
    <cfRule type="duplicateValues" dxfId="102" priority="3"/>
  </conditionalFormatting>
  <conditionalFormatting sqref="C2:C153">
    <cfRule type="duplicateValues" dxfId="101" priority="4"/>
  </conditionalFormatting>
  <conditionalFormatting sqref="C154:C162">
    <cfRule type="duplicateValues" dxfId="100" priority="1"/>
    <cfRule type="duplicateValues" dxfId="99" priority="2"/>
  </conditionalFormatting>
  <conditionalFormatting sqref="C200:C295">
    <cfRule type="duplicateValues" dxfId="98" priority="16"/>
    <cfRule type="duplicateValues" dxfId="97" priority="17"/>
  </conditionalFormatting>
  <conditionalFormatting sqref="C296:C302">
    <cfRule type="duplicateValues" dxfId="96" priority="7"/>
    <cfRule type="duplicateValues" dxfId="95" priority="8"/>
  </conditionalFormatting>
  <conditionalFormatting sqref="C313">
    <cfRule type="duplicateValues" dxfId="94" priority="5"/>
    <cfRule type="duplicateValues" dxfId="93" priority="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7ADF-0618-43C9-8212-306F9A2788B6}">
  <dimension ref="A1:AA162"/>
  <sheetViews>
    <sheetView topLeftCell="E1" zoomScaleNormal="100" workbookViewId="0">
      <pane ySplit="1" topLeftCell="A2" activePane="bottomLeft" state="frozen"/>
      <selection activeCell="C1" sqref="C1"/>
      <selection pane="bottomLeft" activeCell="R9" sqref="R9"/>
    </sheetView>
  </sheetViews>
  <sheetFormatPr defaultRowHeight="12.75"/>
  <cols>
    <col min="3" max="3" width="84.42578125" customWidth="1"/>
    <col min="4" max="4" width="16" customWidth="1"/>
    <col min="5" max="5" width="8.7109375" customWidth="1"/>
    <col min="6" max="6" width="4.28515625" customWidth="1"/>
    <col min="7" max="7" width="4.42578125" customWidth="1"/>
    <col min="8" max="8" width="4" customWidth="1"/>
    <col min="9" max="9" width="4.140625" customWidth="1"/>
    <col min="10" max="11" width="4.42578125" customWidth="1"/>
    <col min="14" max="14" width="9.140625" customWidth="1"/>
    <col min="15" max="15" width="63.7109375" customWidth="1"/>
    <col min="17" max="17" width="21.28515625" customWidth="1"/>
    <col min="18" max="18" width="9.42578125" customWidth="1"/>
    <col min="19" max="19" width="10.5703125" customWidth="1"/>
    <col min="21" max="21" width="18.42578125" customWidth="1"/>
    <col min="22" max="22" width="9.42578125" customWidth="1"/>
    <col min="25" max="25" width="15.42578125" customWidth="1"/>
  </cols>
  <sheetData>
    <row r="1" spans="1:27">
      <c r="A1" s="2" t="s">
        <v>1</v>
      </c>
      <c r="B1" s="2" t="s">
        <v>18</v>
      </c>
      <c r="C1" s="14" t="s">
        <v>2</v>
      </c>
      <c r="D1" s="2" t="s">
        <v>327</v>
      </c>
      <c r="E1" s="2" t="s">
        <v>1399</v>
      </c>
      <c r="F1" s="2" t="s">
        <v>3</v>
      </c>
      <c r="G1" s="2" t="s">
        <v>4</v>
      </c>
      <c r="H1" s="2" t="s">
        <v>328</v>
      </c>
      <c r="I1" s="2" t="s">
        <v>329</v>
      </c>
      <c r="J1" s="2" t="s">
        <v>330</v>
      </c>
      <c r="K1" s="2" t="s">
        <v>331</v>
      </c>
      <c r="L1" s="2" t="s">
        <v>332</v>
      </c>
      <c r="M1" s="2" t="s">
        <v>1432</v>
      </c>
      <c r="N1" s="2" t="s">
        <v>325</v>
      </c>
      <c r="O1" s="2" t="s">
        <v>6</v>
      </c>
    </row>
    <row r="2" spans="1:27">
      <c r="A2">
        <v>0</v>
      </c>
      <c r="B2" t="s">
        <v>19</v>
      </c>
      <c r="C2" s="12" t="str">
        <f>HYPERLINK(IEEE_NEW!$P2, IEEE_NEW!$A2)</f>
        <v>Towards a modular security testing framework for industrial automation and control systems: ISuTest</v>
      </c>
      <c r="D2" s="13">
        <v>5</v>
      </c>
      <c r="E2" t="s">
        <v>1398</v>
      </c>
      <c r="I2" t="str">
        <f>IF(AND(D2&gt;=1, D2&lt;=4), "X", "")</f>
        <v/>
      </c>
      <c r="N2" t="str">
        <f>IF(COUNTIF(F2:M2,"X")&gt;0,"Exclude",IF(UPPER(TRIM(E2))="O","Include",""))</f>
        <v>Include</v>
      </c>
      <c r="O2" t="s">
        <v>1486</v>
      </c>
    </row>
    <row r="3" spans="1:27">
      <c r="A3">
        <v>1</v>
      </c>
      <c r="B3" t="s">
        <v>19</v>
      </c>
      <c r="C3" s="12" t="str">
        <f>HYPERLINK(IEEE_NEW!$P3, IEEE_NEW!$A3)</f>
        <v>VTET: A Virtual Industrial Control System Testbed for Cyber Security Research</v>
      </c>
      <c r="D3" s="13">
        <v>7</v>
      </c>
      <c r="E3" t="s">
        <v>1398</v>
      </c>
      <c r="I3" t="str">
        <f t="shared" ref="I3:I66" si="0">IF(AND(D3&gt;=1, D3&lt;=4), "X", "")</f>
        <v/>
      </c>
      <c r="L3" t="s">
        <v>1397</v>
      </c>
      <c r="N3" t="str">
        <f t="shared" ref="N3:N66" si="1">IF(COUNTIF(F3:M3,"X")&gt;0,"Exclude",IF(UPPER(TRIM(E3))="O","Include",""))</f>
        <v>Exclude</v>
      </c>
      <c r="O3" t="s">
        <v>1487</v>
      </c>
    </row>
    <row r="4" spans="1:27">
      <c r="A4">
        <v>2</v>
      </c>
      <c r="B4" t="s">
        <v>19</v>
      </c>
      <c r="C4" s="12" t="str">
        <f>HYPERLINK(IEEE_NEW!$P4, IEEE_NEW!$A4)</f>
        <v>The SAir-IIoT Cyber Testbed as a Service: A Novel Cybertwins Architecture in IIoT-Based Smart Airports</v>
      </c>
      <c r="D4" s="13">
        <v>14</v>
      </c>
      <c r="E4" t="s">
        <v>1398</v>
      </c>
      <c r="I4" t="str">
        <f t="shared" si="0"/>
        <v/>
      </c>
      <c r="L4" t="s">
        <v>1397</v>
      </c>
      <c r="M4" t="s">
        <v>1397</v>
      </c>
      <c r="N4" t="str">
        <f t="shared" si="1"/>
        <v>Exclude</v>
      </c>
      <c r="O4" t="s">
        <v>1413</v>
      </c>
      <c r="Q4" s="2" t="s">
        <v>1522</v>
      </c>
      <c r="R4" t="s">
        <v>1406</v>
      </c>
      <c r="S4" t="s">
        <v>1407</v>
      </c>
      <c r="U4" s="2" t="s">
        <v>1523</v>
      </c>
      <c r="V4" t="s">
        <v>1406</v>
      </c>
      <c r="W4" t="s">
        <v>1407</v>
      </c>
      <c r="Y4" s="23" t="s">
        <v>1524</v>
      </c>
      <c r="Z4" s="18" t="s">
        <v>1406</v>
      </c>
      <c r="AA4" s="21" t="s">
        <v>1407</v>
      </c>
    </row>
    <row r="5" spans="1:27">
      <c r="A5">
        <v>3</v>
      </c>
      <c r="B5" t="s">
        <v>19</v>
      </c>
      <c r="C5" s="12" t="str">
        <f>HYPERLINK(IEEE_NEW!$P5, IEEE_NEW!$A5)</f>
        <v>Test Bed Development for a Security Engineered SCADA Laboratory</v>
      </c>
      <c r="D5" s="13">
        <v>5</v>
      </c>
      <c r="E5" t="s">
        <v>1398</v>
      </c>
      <c r="I5" t="str">
        <f t="shared" si="0"/>
        <v/>
      </c>
      <c r="L5" t="s">
        <v>1397</v>
      </c>
      <c r="N5" t="str">
        <f t="shared" si="1"/>
        <v>Exclude</v>
      </c>
      <c r="O5" t="s">
        <v>1415</v>
      </c>
      <c r="Q5" t="s">
        <v>1403</v>
      </c>
      <c r="R5" s="1">
        <f>COUNTIF(A2:A162,"&lt;&gt;")</f>
        <v>161</v>
      </c>
      <c r="U5" t="s">
        <v>1403</v>
      </c>
      <c r="V5" s="1">
        <f>COUNTIF($A2:$A162,"&lt;&gt;")</f>
        <v>161</v>
      </c>
      <c r="Y5" s="19" t="s">
        <v>1403</v>
      </c>
      <c r="Z5" s="24">
        <f>$V7</f>
        <v>63</v>
      </c>
      <c r="AA5" s="22"/>
    </row>
    <row r="6" spans="1:27">
      <c r="A6">
        <v>4</v>
      </c>
      <c r="B6" t="s">
        <v>19</v>
      </c>
      <c r="C6" s="12" t="str">
        <f>HYPERLINK(IEEE_NEW!$P6, IEEE_NEW!$A6)</f>
        <v>Industrial Internet of Things (IIoT): Testbed and Datasets for CyberSecurity and Digital Forensics</v>
      </c>
      <c r="D6" s="33">
        <v>10</v>
      </c>
      <c r="E6" t="s">
        <v>1398</v>
      </c>
      <c r="I6" t="str">
        <f t="shared" si="0"/>
        <v/>
      </c>
      <c r="L6" t="s">
        <v>1397</v>
      </c>
      <c r="M6" t="s">
        <v>1397</v>
      </c>
      <c r="N6" t="str">
        <f t="shared" si="1"/>
        <v>Exclude</v>
      </c>
      <c r="O6" t="s">
        <v>2225</v>
      </c>
      <c r="Q6" t="s">
        <v>1404</v>
      </c>
      <c r="R6">
        <f>COUNTIF(N2:N162,"Exclude")</f>
        <v>137</v>
      </c>
      <c r="S6" s="15">
        <f>(($R6/$R5))</f>
        <v>0.85093167701863359</v>
      </c>
      <c r="U6" t="s">
        <v>1404</v>
      </c>
      <c r="V6">
        <f>COUNTIFS($N2:$N162,"Exclude",$M2:$M162,"X")</f>
        <v>98</v>
      </c>
      <c r="W6" s="15">
        <f>((V6/V5))</f>
        <v>0.60869565217391308</v>
      </c>
      <c r="Y6" s="19" t="s">
        <v>1404</v>
      </c>
      <c r="Z6" s="20">
        <f>COUNTIFS($N2:$N162,"Exclude",$M2:$M162,"&lt;&gt;X")</f>
        <v>39</v>
      </c>
      <c r="AA6" s="25">
        <f>((Z6/Z5))</f>
        <v>0.61904761904761907</v>
      </c>
    </row>
    <row r="7" spans="1:27">
      <c r="A7">
        <v>5</v>
      </c>
      <c r="B7" t="s">
        <v>19</v>
      </c>
      <c r="C7" s="12" t="str">
        <f>HYPERLINK(IEEE_NEW!$P7, IEEE_NEW!$A7)</f>
        <v>Improving Substation Network Security with DevSecOps and AIOps</v>
      </c>
      <c r="D7" s="13">
        <v>6</v>
      </c>
      <c r="E7" t="s">
        <v>1398</v>
      </c>
      <c r="I7" t="str">
        <f t="shared" si="0"/>
        <v/>
      </c>
      <c r="L7" t="s">
        <v>1397</v>
      </c>
      <c r="M7" t="s">
        <v>1397</v>
      </c>
      <c r="N7" t="str">
        <f t="shared" si="1"/>
        <v>Exclude</v>
      </c>
      <c r="O7" t="s">
        <v>1430</v>
      </c>
      <c r="Q7" t="s">
        <v>1405</v>
      </c>
      <c r="R7">
        <f>COUNTIF(N2:N153,"Include")</f>
        <v>21</v>
      </c>
      <c r="S7" s="15">
        <f>(($R7/$R5))</f>
        <v>0.13043478260869565</v>
      </c>
      <c r="U7" t="s">
        <v>1405</v>
      </c>
      <c r="V7">
        <f>COUNTIFS($M2:$M162,"&lt;&gt;X",$E2:$E162,"O")</f>
        <v>63</v>
      </c>
      <c r="W7" s="15">
        <f>((V7/V5))</f>
        <v>0.39130434782608697</v>
      </c>
      <c r="Y7" s="19" t="s">
        <v>1405</v>
      </c>
      <c r="Z7" s="20">
        <f>COUNTIFS($N2:$N162,"Include", $M2:$M162,"&lt;&gt;X")</f>
        <v>24</v>
      </c>
      <c r="AA7" s="25">
        <f>((Z7/Z5))</f>
        <v>0.38095238095238093</v>
      </c>
    </row>
    <row r="8" spans="1:27">
      <c r="A8">
        <v>6</v>
      </c>
      <c r="B8" t="s">
        <v>19</v>
      </c>
      <c r="C8" s="12" t="str">
        <f>HYPERLINK(IEEE_NEW!$P8, IEEE_NEW!$A8)</f>
        <v>Performance Evaluation of MQTT and CoAP Communication Protocols in IIoT for Electrical Substations Based on the IEC 61850 Standard</v>
      </c>
      <c r="D8" s="13">
        <v>6</v>
      </c>
      <c r="E8" t="s">
        <v>1398</v>
      </c>
      <c r="I8" t="str">
        <f t="shared" si="0"/>
        <v/>
      </c>
      <c r="N8" t="str">
        <f t="shared" si="1"/>
        <v>Include</v>
      </c>
      <c r="O8" t="s">
        <v>1410</v>
      </c>
      <c r="Q8" s="2" t="s">
        <v>1408</v>
      </c>
      <c r="U8" s="2" t="s">
        <v>1408</v>
      </c>
      <c r="Y8" s="26" t="s">
        <v>1408</v>
      </c>
      <c r="Z8" s="20"/>
      <c r="AA8" s="22"/>
    </row>
    <row r="9" spans="1:27">
      <c r="A9">
        <v>7</v>
      </c>
      <c r="B9" t="s">
        <v>19</v>
      </c>
      <c r="C9" s="12" t="str">
        <f>HYPERLINK(IEEE_NEW!$P9, IEEE_NEW!$A9)</f>
        <v>Behavior and Vulnerability Assessment of Drones-Enabled Industrial Internet of Things (IIoT)</v>
      </c>
      <c r="D9" s="13">
        <v>16</v>
      </c>
      <c r="E9" t="s">
        <v>1398</v>
      </c>
      <c r="I9" t="str">
        <f t="shared" si="0"/>
        <v/>
      </c>
      <c r="L9" t="s">
        <v>1397</v>
      </c>
      <c r="M9" t="s">
        <v>1397</v>
      </c>
      <c r="N9" t="str">
        <f t="shared" si="1"/>
        <v>Exclude</v>
      </c>
      <c r="O9" t="s">
        <v>1418</v>
      </c>
      <c r="Q9" t="s">
        <v>3</v>
      </c>
      <c r="R9">
        <f>COUNTIF(F$2:F$162,"X")</f>
        <v>3</v>
      </c>
      <c r="S9" s="15">
        <f t="shared" ref="S9:S15" si="2">(($R9/$R$5))</f>
        <v>1.8633540372670808E-2</v>
      </c>
      <c r="U9" t="s">
        <v>3</v>
      </c>
      <c r="V9">
        <f>COUNTIFS($F2:$F162,"X", $M2:$M162,"X")</f>
        <v>1</v>
      </c>
      <c r="W9" s="15">
        <f t="shared" ref="W9:W15" si="3">((V9/V$5))</f>
        <v>6.2111801242236021E-3</v>
      </c>
      <c r="Y9" s="19" t="s">
        <v>3</v>
      </c>
      <c r="Z9" s="20">
        <f>COUNTIFS($F2:$F162,"X", $M2:$M162,"&lt;&gt;X")</f>
        <v>2</v>
      </c>
      <c r="AA9" s="25">
        <f t="shared" ref="AA9:AA15" si="4">((Z9/Z$5))</f>
        <v>3.1746031746031744E-2</v>
      </c>
    </row>
    <row r="10" spans="1:27">
      <c r="A10">
        <v>8</v>
      </c>
      <c r="B10" t="s">
        <v>19</v>
      </c>
      <c r="C10" s="12" t="str">
        <f>HYPERLINK(IEEE_NEW!$P10, IEEE_NEW!$A10)</f>
        <v>Architecture of Modular System for Assessing Security of Telemetry Information Transmission System</v>
      </c>
      <c r="D10" s="13">
        <v>6</v>
      </c>
      <c r="E10" t="s">
        <v>1398</v>
      </c>
      <c r="H10" t="s">
        <v>1397</v>
      </c>
      <c r="I10" t="str">
        <f t="shared" si="0"/>
        <v/>
      </c>
      <c r="N10" t="str">
        <f t="shared" si="1"/>
        <v>Exclude</v>
      </c>
      <c r="O10" t="s">
        <v>1422</v>
      </c>
      <c r="Q10" t="s">
        <v>4</v>
      </c>
      <c r="R10">
        <f>COUNTIF(G$2:G$162,"X")</f>
        <v>1</v>
      </c>
      <c r="S10" s="15">
        <f t="shared" si="2"/>
        <v>6.2111801242236021E-3</v>
      </c>
      <c r="U10" t="s">
        <v>4</v>
      </c>
      <c r="V10">
        <f>COUNTIFS($G2:$G162,"X", $M2:$M162,"X")</f>
        <v>1</v>
      </c>
      <c r="W10" s="15">
        <f t="shared" si="3"/>
        <v>6.2111801242236021E-3</v>
      </c>
      <c r="Y10" s="19" t="s">
        <v>4</v>
      </c>
      <c r="Z10" s="20">
        <f>COUNTIFS($G2:$G162,"X", $M2:$M162,"&lt;&gt;X")</f>
        <v>0</v>
      </c>
      <c r="AA10" s="25">
        <f t="shared" si="4"/>
        <v>0</v>
      </c>
    </row>
    <row r="11" spans="1:27">
      <c r="A11">
        <v>9</v>
      </c>
      <c r="B11" t="s">
        <v>19</v>
      </c>
      <c r="C11" s="12" t="str">
        <f>HYPERLINK(IEEE_NEW!$P11, IEEE_NEW!$A11)</f>
        <v>Developing a Security Testbed for Industrial Internet of Things</v>
      </c>
      <c r="D11" s="13">
        <v>16</v>
      </c>
      <c r="E11" t="s">
        <v>1398</v>
      </c>
      <c r="I11" t="str">
        <f t="shared" si="0"/>
        <v/>
      </c>
      <c r="N11" t="str">
        <f t="shared" si="1"/>
        <v>Include</v>
      </c>
      <c r="O11" t="s">
        <v>1414</v>
      </c>
      <c r="Q11" t="s">
        <v>328</v>
      </c>
      <c r="R11">
        <f>COUNTIF(H$2:H$162,"X")</f>
        <v>26</v>
      </c>
      <c r="S11" s="15">
        <f t="shared" si="2"/>
        <v>0.16149068322981366</v>
      </c>
      <c r="U11" t="s">
        <v>328</v>
      </c>
      <c r="V11">
        <f>COUNTIFS($H2:$H162,"X", $M2:$M162,"X")</f>
        <v>21</v>
      </c>
      <c r="W11" s="15">
        <f t="shared" si="3"/>
        <v>0.13043478260869565</v>
      </c>
      <c r="Y11" s="19" t="s">
        <v>328</v>
      </c>
      <c r="Z11" s="20">
        <f>COUNTIFS($H2:$H162,"X", $M2:$M162,"&lt;&gt;X")</f>
        <v>5</v>
      </c>
      <c r="AA11" s="25">
        <f t="shared" si="4"/>
        <v>7.9365079365079361E-2</v>
      </c>
    </row>
    <row r="12" spans="1:27">
      <c r="A12">
        <v>10</v>
      </c>
      <c r="B12" t="s">
        <v>19</v>
      </c>
      <c r="C12" s="12" t="str">
        <f>HYPERLINK(IEEE_NEW!$P12, IEEE_NEW!$A12)</f>
        <v>SWaP: A Water Process Testbed for ICS Security Research</v>
      </c>
      <c r="D12" s="13">
        <v>4</v>
      </c>
      <c r="E12" t="s">
        <v>1398</v>
      </c>
      <c r="I12" t="str">
        <f t="shared" si="0"/>
        <v>X</v>
      </c>
      <c r="N12" t="str">
        <f t="shared" si="1"/>
        <v>Exclude</v>
      </c>
      <c r="O12" t="s">
        <v>1401</v>
      </c>
      <c r="Q12" t="s">
        <v>329</v>
      </c>
      <c r="R12">
        <f>COUNTIF(I$2:I$162,"X")</f>
        <v>6</v>
      </c>
      <c r="S12" s="15">
        <f t="shared" si="2"/>
        <v>3.7267080745341616E-2</v>
      </c>
      <c r="U12" t="s">
        <v>329</v>
      </c>
      <c r="V12">
        <f>COUNTIFS($I2:$I162,"X", $M2:$M162,"X")</f>
        <v>1</v>
      </c>
      <c r="W12" s="15">
        <f t="shared" si="3"/>
        <v>6.2111801242236021E-3</v>
      </c>
      <c r="Y12" s="19" t="s">
        <v>329</v>
      </c>
      <c r="Z12" s="20">
        <f>COUNTIFS($I2:$I162,"X", $M2:$M162,"&lt;&gt;X")</f>
        <v>5</v>
      </c>
      <c r="AA12" s="25">
        <f t="shared" si="4"/>
        <v>7.9365079365079361E-2</v>
      </c>
    </row>
    <row r="13" spans="1:27">
      <c r="A13">
        <v>11</v>
      </c>
      <c r="B13" t="s">
        <v>19</v>
      </c>
      <c r="C13" s="12" t="str">
        <f>HYPERLINK(IEEE_NEW!$P13, IEEE_NEW!$A13)</f>
        <v>A Comparative Analysis of Application Layer Protocols Within an Industrial Internet of Things Monitoring System</v>
      </c>
      <c r="D13" s="13">
        <v>6</v>
      </c>
      <c r="E13" t="s">
        <v>1398</v>
      </c>
      <c r="I13" t="str">
        <f t="shared" si="0"/>
        <v/>
      </c>
      <c r="N13" t="str">
        <f t="shared" si="1"/>
        <v>Include</v>
      </c>
      <c r="O13" t="s">
        <v>1412</v>
      </c>
      <c r="Q13" t="s">
        <v>330</v>
      </c>
      <c r="R13">
        <f>COUNTIF(J$2:J$162,"X")</f>
        <v>9</v>
      </c>
      <c r="S13" s="15">
        <f t="shared" si="2"/>
        <v>5.5900621118012424E-2</v>
      </c>
      <c r="U13" t="s">
        <v>330</v>
      </c>
      <c r="V13">
        <f>COUNTIFS($J2:$J162,"X", $M2:$M162,"X")</f>
        <v>5</v>
      </c>
      <c r="W13" s="15">
        <f t="shared" si="3"/>
        <v>3.1055900621118012E-2</v>
      </c>
      <c r="Y13" s="19" t="s">
        <v>330</v>
      </c>
      <c r="Z13" s="20">
        <f>COUNTIFS($J2:$J162,"X", $M2:$M162,"&lt;&gt;X")</f>
        <v>4</v>
      </c>
      <c r="AA13" s="25">
        <f t="shared" si="4"/>
        <v>6.3492063492063489E-2</v>
      </c>
    </row>
    <row r="14" spans="1:27">
      <c r="A14">
        <v>12</v>
      </c>
      <c r="B14" t="s">
        <v>19</v>
      </c>
      <c r="C14" s="12" t="str">
        <f>HYPERLINK(IEEE_NEW!$P14, IEEE_NEW!$A14)</f>
        <v>Application of Industrial Internet of Things with Edge Computing and Artificial Intelligence Models</v>
      </c>
      <c r="D14" s="33">
        <v>4</v>
      </c>
      <c r="E14" t="s">
        <v>1398</v>
      </c>
      <c r="I14" t="str">
        <f t="shared" si="0"/>
        <v>X</v>
      </c>
      <c r="N14" t="str">
        <f t="shared" si="1"/>
        <v>Exclude</v>
      </c>
      <c r="O14" t="s">
        <v>1401</v>
      </c>
      <c r="Q14" t="s">
        <v>331</v>
      </c>
      <c r="R14">
        <f>COUNTIF(K$2:K$162,"X")</f>
        <v>0</v>
      </c>
      <c r="S14" s="15">
        <f t="shared" si="2"/>
        <v>0</v>
      </c>
      <c r="U14" t="s">
        <v>331</v>
      </c>
      <c r="V14">
        <f>COUNTIFS($K2:$K162,"X", $M2:$M162,"X")</f>
        <v>0</v>
      </c>
      <c r="W14" s="15">
        <f t="shared" si="3"/>
        <v>0</v>
      </c>
      <c r="Y14" s="19" t="s">
        <v>331</v>
      </c>
      <c r="Z14" s="20">
        <f>COUNTIFS($K2:$K162,"X", $M2:$M162,"&lt;&gt;X")</f>
        <v>0</v>
      </c>
      <c r="AA14" s="25">
        <f t="shared" si="4"/>
        <v>0</v>
      </c>
    </row>
    <row r="15" spans="1:27">
      <c r="A15">
        <v>13</v>
      </c>
      <c r="B15" t="s">
        <v>19</v>
      </c>
      <c r="C15" s="12" t="str">
        <f>HYPERLINK(IEEE_NEW!$P15, IEEE_NEW!$A15)</f>
        <v>A Cyber-Security Methodology for a Cyber-Physical Industrial Control System Testbed</v>
      </c>
      <c r="D15" s="13">
        <v>15</v>
      </c>
      <c r="E15" t="s">
        <v>1398</v>
      </c>
      <c r="I15" t="str">
        <f t="shared" si="0"/>
        <v/>
      </c>
      <c r="L15" t="s">
        <v>1397</v>
      </c>
      <c r="N15" t="str">
        <f t="shared" si="1"/>
        <v>Exclude</v>
      </c>
      <c r="O15" t="s">
        <v>1429</v>
      </c>
      <c r="Q15" t="s">
        <v>332</v>
      </c>
      <c r="R15">
        <f>COUNTIF(L$2:L$162,"X")</f>
        <v>104</v>
      </c>
      <c r="S15" s="15">
        <f t="shared" si="2"/>
        <v>0.64596273291925466</v>
      </c>
      <c r="U15" t="s">
        <v>332</v>
      </c>
      <c r="V15">
        <f>COUNTIFS($L2:$L162,"X", $M2:$M162,"X")</f>
        <v>79</v>
      </c>
      <c r="W15" s="15">
        <f t="shared" si="3"/>
        <v>0.49068322981366458</v>
      </c>
      <c r="Y15" s="27" t="s">
        <v>332</v>
      </c>
      <c r="Z15" s="28">
        <f>COUNTIFS($L2:$L162,"X", $M2:$M162,"&lt;&gt;X")</f>
        <v>25</v>
      </c>
      <c r="AA15" s="29">
        <f t="shared" si="4"/>
        <v>0.3968253968253968</v>
      </c>
    </row>
    <row r="16" spans="1:27">
      <c r="A16">
        <v>14</v>
      </c>
      <c r="B16" t="s">
        <v>19</v>
      </c>
      <c r="C16" s="12" t="str">
        <f>HYPERLINK(IEEE_NEW!$P16, IEEE_NEW!$A16)</f>
        <v>SCADA-SST: a SCADA security testbed</v>
      </c>
      <c r="D16" s="13">
        <v>6</v>
      </c>
      <c r="E16" t="s">
        <v>1398</v>
      </c>
      <c r="I16" t="str">
        <f t="shared" si="0"/>
        <v/>
      </c>
      <c r="L16" t="s">
        <v>1397</v>
      </c>
      <c r="N16" t="str">
        <f t="shared" si="1"/>
        <v>Exclude</v>
      </c>
      <c r="O16" t="s">
        <v>1417</v>
      </c>
      <c r="Q16" t="s">
        <v>1432</v>
      </c>
      <c r="R16">
        <f>COUNTIF(M$2:M$162,"X")</f>
        <v>98</v>
      </c>
      <c r="S16" s="15">
        <f>(($R16/$R$5))</f>
        <v>0.60869565217391308</v>
      </c>
      <c r="W16" s="30"/>
      <c r="AA16" s="15"/>
    </row>
    <row r="17" spans="1:15">
      <c r="A17">
        <v>15</v>
      </c>
      <c r="B17" t="s">
        <v>19</v>
      </c>
      <c r="C17" s="12" t="str">
        <f>HYPERLINK(IEEE_NEW!$P17, IEEE_NEW!$A17)</f>
        <v>Design and Implementation of Full-Scale Industrial Control System Test Bed for Assessing Cyber-Security Defenses</v>
      </c>
      <c r="D17" s="13">
        <v>6</v>
      </c>
      <c r="E17" t="s">
        <v>1398</v>
      </c>
      <c r="I17" t="str">
        <f t="shared" si="0"/>
        <v/>
      </c>
      <c r="L17" t="s">
        <v>1397</v>
      </c>
      <c r="N17" t="str">
        <f t="shared" si="1"/>
        <v>Exclude</v>
      </c>
      <c r="O17" t="s">
        <v>1428</v>
      </c>
    </row>
    <row r="18" spans="1:15">
      <c r="A18">
        <v>16</v>
      </c>
      <c r="B18" t="s">
        <v>19</v>
      </c>
      <c r="C18" s="12" t="str">
        <f>HYPERLINK(IEEE_NEW!$P18, IEEE_NEW!$A18)</f>
        <v>A dual-standard solution for industrial Wireless Sensor Network deployment: Experimental testbed and performance evaluation</v>
      </c>
      <c r="D18" s="13">
        <v>9</v>
      </c>
      <c r="E18" t="s">
        <v>1398</v>
      </c>
      <c r="I18" t="str">
        <f t="shared" si="0"/>
        <v/>
      </c>
      <c r="N18" t="str">
        <f t="shared" si="1"/>
        <v>Include</v>
      </c>
      <c r="O18" t="s">
        <v>1456</v>
      </c>
    </row>
    <row r="19" spans="1:15">
      <c r="A19">
        <v>17</v>
      </c>
      <c r="B19" t="s">
        <v>19</v>
      </c>
      <c r="C19" s="12" t="str">
        <f>HYPERLINK(IEEE_NEW!$P19, IEEE_NEW!$A19)</f>
        <v>Enhancing Industrial Communication Protocol Fuzz Testing Through Virtualization And Intelligent Guidance</v>
      </c>
      <c r="D19" s="13">
        <v>5</v>
      </c>
      <c r="E19" t="s">
        <v>1398</v>
      </c>
      <c r="I19" t="str">
        <f t="shared" si="0"/>
        <v/>
      </c>
      <c r="N19" t="str">
        <f t="shared" si="1"/>
        <v>Include</v>
      </c>
      <c r="O19" t="s">
        <v>1411</v>
      </c>
    </row>
    <row r="20" spans="1:15">
      <c r="A20">
        <v>18</v>
      </c>
      <c r="B20" t="s">
        <v>19</v>
      </c>
      <c r="C20" s="12" t="str">
        <f>HYPERLINK(IEEE_NEW!$P20, IEEE_NEW!$A20)</f>
        <v>A virtual testbed for security management of industrial control systems</v>
      </c>
      <c r="D20" s="33">
        <v>6</v>
      </c>
      <c r="E20" t="s">
        <v>1398</v>
      </c>
      <c r="I20" t="str">
        <f t="shared" si="0"/>
        <v/>
      </c>
      <c r="L20" t="s">
        <v>1397</v>
      </c>
      <c r="N20" t="str">
        <f t="shared" si="1"/>
        <v>Exclude</v>
      </c>
      <c r="O20" t="s">
        <v>2230</v>
      </c>
    </row>
    <row r="21" spans="1:15">
      <c r="A21">
        <v>19</v>
      </c>
      <c r="B21" t="s">
        <v>19</v>
      </c>
      <c r="C21" s="12" t="str">
        <f>HYPERLINK(IEEE_NEW!$P21, IEEE_NEW!$A21)</f>
        <v>Design, Analysis and Implementation of a Security Assessment/Enhancement Platform for Cyber-Physical Systems</v>
      </c>
      <c r="D21" s="13">
        <v>11</v>
      </c>
      <c r="E21" t="s">
        <v>1398</v>
      </c>
      <c r="I21" t="str">
        <f t="shared" si="0"/>
        <v/>
      </c>
      <c r="L21" t="s">
        <v>1397</v>
      </c>
      <c r="M21" t="s">
        <v>1397</v>
      </c>
      <c r="N21" t="str">
        <f t="shared" si="1"/>
        <v>Exclude</v>
      </c>
      <c r="O21" t="s">
        <v>1434</v>
      </c>
    </row>
    <row r="22" spans="1:15">
      <c r="A22">
        <v>20</v>
      </c>
      <c r="B22" t="s">
        <v>19</v>
      </c>
      <c r="C22" s="12" t="str">
        <f>HYPERLINK(IEEE_NEW!$P22, IEEE_NEW!$A22)</f>
        <v>Cyber security of industrial communication protocols</v>
      </c>
      <c r="D22" s="13">
        <v>4</v>
      </c>
      <c r="E22" t="s">
        <v>1398</v>
      </c>
      <c r="I22" t="str">
        <f t="shared" si="0"/>
        <v>X</v>
      </c>
      <c r="N22" t="str">
        <f t="shared" si="1"/>
        <v>Exclude</v>
      </c>
      <c r="O22" t="s">
        <v>1401</v>
      </c>
    </row>
    <row r="23" spans="1:15">
      <c r="A23">
        <v>21</v>
      </c>
      <c r="B23" t="s">
        <v>19</v>
      </c>
      <c r="C23" s="12" t="str">
        <f>HYPERLINK(IEEE_NEW!$P23, IEEE_NEW!$A23)</f>
        <v>A Comparative Study to Evaluate the Performance of Communication Protocols for Process Industry</v>
      </c>
      <c r="D23" s="13">
        <v>8</v>
      </c>
      <c r="E23" t="s">
        <v>1398</v>
      </c>
      <c r="I23" t="str">
        <f t="shared" si="0"/>
        <v/>
      </c>
      <c r="N23" t="str">
        <f t="shared" si="1"/>
        <v>Include</v>
      </c>
      <c r="O23" t="s">
        <v>1420</v>
      </c>
    </row>
    <row r="24" spans="1:15">
      <c r="A24">
        <v>22</v>
      </c>
      <c r="B24" t="s">
        <v>19</v>
      </c>
      <c r="C24" s="12" t="str">
        <f>HYPERLINK(IEEE_NEW!$P24, IEEE_NEW!$A24)</f>
        <v>Access Control Framework for Cross-Platform Interoperability in the Industrial Internet of Things</v>
      </c>
      <c r="D24" s="13">
        <v>10</v>
      </c>
      <c r="E24" t="s">
        <v>1398</v>
      </c>
      <c r="I24" t="str">
        <f t="shared" si="0"/>
        <v/>
      </c>
      <c r="L24" t="s">
        <v>1397</v>
      </c>
      <c r="M24" t="s">
        <v>1397</v>
      </c>
      <c r="N24" t="str">
        <f t="shared" si="1"/>
        <v>Exclude</v>
      </c>
      <c r="O24" t="s">
        <v>1416</v>
      </c>
    </row>
    <row r="25" spans="1:15">
      <c r="A25">
        <v>23</v>
      </c>
      <c r="B25" t="s">
        <v>19</v>
      </c>
      <c r="C25" s="12" t="str">
        <f>HYPERLINK(IEEE_NEW!$P25, IEEE_NEW!$A25)</f>
        <v>The Cybersecurity Landscape in Industrial Control Systems</v>
      </c>
      <c r="D25" s="13">
        <v>19</v>
      </c>
      <c r="E25" t="s">
        <v>1398</v>
      </c>
      <c r="I25" t="str">
        <f t="shared" si="0"/>
        <v/>
      </c>
      <c r="J25" t="s">
        <v>1397</v>
      </c>
      <c r="M25" t="s">
        <v>1397</v>
      </c>
      <c r="N25" t="str">
        <f t="shared" si="1"/>
        <v>Exclude</v>
      </c>
      <c r="O25" s="16" t="s">
        <v>1426</v>
      </c>
    </row>
    <row r="26" spans="1:15">
      <c r="A26">
        <v>24</v>
      </c>
      <c r="B26" t="s">
        <v>19</v>
      </c>
      <c r="C26" s="12" t="str">
        <f>HYPERLINK(IEEE_NEW!$P26, IEEE_NEW!$A26)</f>
        <v>IoTForge Pro: A Security Testbed for Generating Intrusion Dataset for Industrial IoT</v>
      </c>
      <c r="D26" s="13">
        <v>8</v>
      </c>
      <c r="E26" t="s">
        <v>1398</v>
      </c>
      <c r="I26" t="str">
        <f t="shared" si="0"/>
        <v/>
      </c>
      <c r="L26" t="s">
        <v>1397</v>
      </c>
      <c r="N26" t="str">
        <f t="shared" si="1"/>
        <v>Exclude</v>
      </c>
      <c r="O26" t="s">
        <v>1421</v>
      </c>
    </row>
    <row r="27" spans="1:15">
      <c r="A27">
        <v>25</v>
      </c>
      <c r="B27" t="s">
        <v>19</v>
      </c>
      <c r="C27" s="12" t="str">
        <f>HYPERLINK(IEEE_NEW!$P27, IEEE_NEW!$A27)</f>
        <v>Ransomware in Resource-Constrained Industrial IoT Networks: There Actually is a Threat</v>
      </c>
      <c r="D27" s="33">
        <v>8</v>
      </c>
      <c r="E27" t="s">
        <v>1398</v>
      </c>
      <c r="I27" t="str">
        <f t="shared" si="0"/>
        <v/>
      </c>
      <c r="L27" t="s">
        <v>1397</v>
      </c>
      <c r="M27" t="s">
        <v>1397</v>
      </c>
      <c r="N27" t="str">
        <f t="shared" si="1"/>
        <v>Exclude</v>
      </c>
      <c r="O27" t="s">
        <v>2226</v>
      </c>
    </row>
    <row r="28" spans="1:15">
      <c r="A28">
        <v>26</v>
      </c>
      <c r="B28" t="s">
        <v>19</v>
      </c>
      <c r="C28" s="12" t="str">
        <f>HYPERLINK(IEEE_NEW!$P28, IEEE_NEW!$A28)</f>
        <v>Machine Learning-Based Network Vulnerability Analysis of Industrial Internet of Things</v>
      </c>
      <c r="D28" s="33">
        <v>13</v>
      </c>
      <c r="E28" t="s">
        <v>1398</v>
      </c>
      <c r="I28" t="str">
        <f t="shared" si="0"/>
        <v/>
      </c>
      <c r="L28" t="s">
        <v>1397</v>
      </c>
      <c r="M28" t="s">
        <v>1397</v>
      </c>
      <c r="N28" t="str">
        <f t="shared" si="1"/>
        <v>Exclude</v>
      </c>
      <c r="O28" t="s">
        <v>2227</v>
      </c>
    </row>
    <row r="29" spans="1:15">
      <c r="A29">
        <v>27</v>
      </c>
      <c r="B29" t="s">
        <v>19</v>
      </c>
      <c r="C29" s="12" t="str">
        <f>HYPERLINK(IEEE_NEW!$P29, IEEE_NEW!$A29)</f>
        <v>CPS-IIoT-P2Attention: Explainable Privacy-Preserving With Scaled Dot-Product Attention in Cyber-Physical System-Industrial IoT Network</v>
      </c>
      <c r="D29" s="33">
        <v>25</v>
      </c>
      <c r="E29" t="s">
        <v>1398</v>
      </c>
      <c r="I29" t="str">
        <f t="shared" si="0"/>
        <v/>
      </c>
      <c r="L29" t="s">
        <v>1397</v>
      </c>
      <c r="M29" t="s">
        <v>1397</v>
      </c>
      <c r="N29" t="str">
        <f t="shared" si="1"/>
        <v>Exclude</v>
      </c>
      <c r="O29" t="s">
        <v>2228</v>
      </c>
    </row>
    <row r="30" spans="1:15">
      <c r="A30">
        <v>28</v>
      </c>
      <c r="B30" t="s">
        <v>19</v>
      </c>
      <c r="C30" s="12" t="str">
        <f>HYPERLINK(IEEE_NEW!$P30, IEEE_NEW!$A30)</f>
        <v>Network Simulation in a TCP-Enabled Industrial Internet of Things Environment-Reproducibility Issues for Performance Evaluation</v>
      </c>
      <c r="D30" s="13">
        <v>9</v>
      </c>
      <c r="E30" t="s">
        <v>1398</v>
      </c>
      <c r="I30" t="str">
        <f t="shared" si="0"/>
        <v/>
      </c>
      <c r="L30" t="s">
        <v>1397</v>
      </c>
      <c r="N30" t="str">
        <f t="shared" si="1"/>
        <v>Exclude</v>
      </c>
      <c r="O30" t="s">
        <v>1415</v>
      </c>
    </row>
    <row r="31" spans="1:15">
      <c r="A31">
        <v>29</v>
      </c>
      <c r="B31" t="s">
        <v>19</v>
      </c>
      <c r="C31" s="12" t="str">
        <f>HYPERLINK(IEEE_NEW!$P31, IEEE_NEW!$A31)</f>
        <v>Securing IIoT Against DDoS attacks: A Stochastic Approach</v>
      </c>
      <c r="D31" s="33">
        <v>6</v>
      </c>
      <c r="E31" t="s">
        <v>1398</v>
      </c>
      <c r="I31" t="str">
        <f t="shared" si="0"/>
        <v/>
      </c>
      <c r="L31" t="s">
        <v>1397</v>
      </c>
      <c r="M31" t="s">
        <v>1397</v>
      </c>
      <c r="N31" t="str">
        <f t="shared" si="1"/>
        <v>Exclude</v>
      </c>
      <c r="O31" t="s">
        <v>2229</v>
      </c>
    </row>
    <row r="32" spans="1:15">
      <c r="A32">
        <v>30</v>
      </c>
      <c r="B32" t="s">
        <v>19</v>
      </c>
      <c r="C32" s="12" t="str">
        <f>HYPERLINK(IEEE_NEW!$P32, IEEE_NEW!$A32)</f>
        <v>Comparative Study on Smart Grid Security Testbeds Using MITRE ATT&amp;CK Matrix</v>
      </c>
      <c r="D32" s="13">
        <v>7</v>
      </c>
      <c r="E32" t="s">
        <v>1398</v>
      </c>
      <c r="I32" t="str">
        <f t="shared" si="0"/>
        <v/>
      </c>
      <c r="J32" t="s">
        <v>1397</v>
      </c>
      <c r="L32" t="s">
        <v>1397</v>
      </c>
      <c r="N32" t="str">
        <f t="shared" si="1"/>
        <v>Exclude</v>
      </c>
      <c r="O32" t="s">
        <v>1464</v>
      </c>
    </row>
    <row r="33" spans="1:15">
      <c r="A33">
        <v>31</v>
      </c>
      <c r="B33" t="s">
        <v>19</v>
      </c>
      <c r="C33" s="12" t="str">
        <f>HYPERLINK(IEEE_NEW!$P33, IEEE_NEW!$A33)</f>
        <v>A Survey on Industrial Control System Testbeds and Datasets for Security Research</v>
      </c>
      <c r="D33" s="13">
        <v>47</v>
      </c>
      <c r="E33" t="s">
        <v>1398</v>
      </c>
      <c r="I33" t="str">
        <f t="shared" si="0"/>
        <v/>
      </c>
      <c r="J33" t="s">
        <v>1397</v>
      </c>
      <c r="N33" t="str">
        <f t="shared" si="1"/>
        <v>Exclude</v>
      </c>
      <c r="O33" t="s">
        <v>1402</v>
      </c>
    </row>
    <row r="34" spans="1:15">
      <c r="A34">
        <v>32</v>
      </c>
      <c r="B34" t="s">
        <v>19</v>
      </c>
      <c r="C34" s="12" t="str">
        <f>HYPERLINK(IEEE_NEW!$P34, IEEE_NEW!$A34)</f>
        <v>Li-Fi in Industrial Environments: Performance Analysis Compared to Wi-Fi and Ethernet</v>
      </c>
      <c r="D34" s="13">
        <v>6</v>
      </c>
      <c r="E34" t="s">
        <v>1398</v>
      </c>
      <c r="I34" t="str">
        <f t="shared" si="0"/>
        <v/>
      </c>
      <c r="L34" t="s">
        <v>1397</v>
      </c>
      <c r="M34" t="s">
        <v>1397</v>
      </c>
      <c r="N34" t="str">
        <f t="shared" si="1"/>
        <v>Exclude</v>
      </c>
      <c r="O34" t="s">
        <v>1439</v>
      </c>
    </row>
    <row r="35" spans="1:15">
      <c r="A35">
        <v>33</v>
      </c>
      <c r="B35" t="s">
        <v>19</v>
      </c>
      <c r="C35" s="12" t="str">
        <f>HYPERLINK(IEEE_NEW!$P35, IEEE_NEW!$A35)</f>
        <v>URLLC-Based Cooperative Industrial IoT Networks With Nonlinear Energy Harvesting</v>
      </c>
      <c r="D35" s="13">
        <v>11</v>
      </c>
      <c r="E35" t="s">
        <v>1398</v>
      </c>
      <c r="I35" t="str">
        <f t="shared" si="0"/>
        <v/>
      </c>
      <c r="L35" t="s">
        <v>1397</v>
      </c>
      <c r="M35" t="s">
        <v>1397</v>
      </c>
      <c r="N35" t="str">
        <f t="shared" si="1"/>
        <v>Exclude</v>
      </c>
      <c r="O35" t="s">
        <v>1419</v>
      </c>
    </row>
    <row r="36" spans="1:15">
      <c r="A36">
        <v>34</v>
      </c>
      <c r="B36" t="s">
        <v>19</v>
      </c>
      <c r="C36" s="12" t="str">
        <f>HYPERLINK(IEEE_NEW!$P36, IEEE_NEW!$A36)</f>
        <v>Methodology for Analyzing the Performance of 5G-NR Networks During Initial Planning Without Deployment Using the NS-3 Network Simulator</v>
      </c>
      <c r="D36" s="13">
        <v>5</v>
      </c>
      <c r="E36" t="s">
        <v>1398</v>
      </c>
      <c r="H36" t="s">
        <v>1397</v>
      </c>
      <c r="I36" t="str">
        <f t="shared" si="0"/>
        <v/>
      </c>
      <c r="L36" t="s">
        <v>1397</v>
      </c>
      <c r="M36" t="s">
        <v>1397</v>
      </c>
      <c r="N36" t="str">
        <f t="shared" si="1"/>
        <v>Exclude</v>
      </c>
      <c r="O36" t="s">
        <v>1425</v>
      </c>
    </row>
    <row r="37" spans="1:15">
      <c r="A37">
        <v>35</v>
      </c>
      <c r="B37" t="s">
        <v>19</v>
      </c>
      <c r="C37" s="12" t="str">
        <f>HYPERLINK(IEEE_NEW!$P37, IEEE_NEW!$A37)</f>
        <v>Cybersecurity of Digital Twins in Industrial IoT Environments</v>
      </c>
      <c r="D37" s="33">
        <v>6</v>
      </c>
      <c r="E37" s="17" t="s">
        <v>1398</v>
      </c>
      <c r="I37" t="str">
        <f t="shared" si="0"/>
        <v/>
      </c>
      <c r="L37" t="s">
        <v>1397</v>
      </c>
      <c r="M37" t="s">
        <v>1397</v>
      </c>
      <c r="N37" t="str">
        <f t="shared" si="1"/>
        <v>Exclude</v>
      </c>
      <c r="O37" t="s">
        <v>2181</v>
      </c>
    </row>
    <row r="38" spans="1:15">
      <c r="A38">
        <v>36</v>
      </c>
      <c r="B38" t="s">
        <v>19</v>
      </c>
      <c r="C38" s="12" t="str">
        <f>HYPERLINK(IEEE_NEW!$P38, IEEE_NEW!$A38)</f>
        <v>Security and Effectiveness Analysis of the Gateway Integrity Checking Protocol</v>
      </c>
      <c r="D38" s="13">
        <v>9</v>
      </c>
      <c r="E38" t="s">
        <v>1398</v>
      </c>
      <c r="I38" t="str">
        <f t="shared" si="0"/>
        <v/>
      </c>
      <c r="N38" t="str">
        <f t="shared" si="1"/>
        <v>Include</v>
      </c>
      <c r="O38" t="s">
        <v>1424</v>
      </c>
    </row>
    <row r="39" spans="1:15">
      <c r="A39">
        <v>37</v>
      </c>
      <c r="B39" t="s">
        <v>19</v>
      </c>
      <c r="C39" s="12" t="str">
        <f>HYPERLINK(IEEE_NEW!$P39, IEEE_NEW!$A39)</f>
        <v>Secure Onboarding of IIoT Devices using OPC UA</v>
      </c>
      <c r="D39" s="13">
        <v>4</v>
      </c>
      <c r="E39" t="s">
        <v>1398</v>
      </c>
      <c r="I39" t="str">
        <f t="shared" si="0"/>
        <v>X</v>
      </c>
      <c r="N39" t="str">
        <f t="shared" si="1"/>
        <v>Exclude</v>
      </c>
      <c r="O39" t="s">
        <v>1401</v>
      </c>
    </row>
    <row r="40" spans="1:15">
      <c r="A40">
        <v>38</v>
      </c>
      <c r="B40" t="s">
        <v>19</v>
      </c>
      <c r="C40" s="12" t="str">
        <f>HYPERLINK(IEEE_NEW!$P40, IEEE_NEW!$A40)</f>
        <v>On the Cost of Asset Discovery Techniques for Industrial Control Systems</v>
      </c>
      <c r="D40" s="13">
        <v>6</v>
      </c>
      <c r="E40" t="s">
        <v>1398</v>
      </c>
      <c r="I40" t="str">
        <f t="shared" si="0"/>
        <v/>
      </c>
      <c r="L40" t="s">
        <v>1397</v>
      </c>
      <c r="M40" t="s">
        <v>1397</v>
      </c>
      <c r="N40" t="str">
        <f t="shared" si="1"/>
        <v>Exclude</v>
      </c>
      <c r="O40" t="s">
        <v>1433</v>
      </c>
    </row>
    <row r="41" spans="1:15">
      <c r="A41">
        <v>39</v>
      </c>
      <c r="B41" t="s">
        <v>19</v>
      </c>
      <c r="C41" s="12" t="str">
        <f>HYPERLINK(IEEE_NEW!$P41, IEEE_NEW!$A41)</f>
        <v>CrossTest: a cross-domain physical testbed environment for cybersecurity performance evaluations</v>
      </c>
      <c r="D41" s="13">
        <v>8</v>
      </c>
      <c r="E41" t="s">
        <v>1398</v>
      </c>
      <c r="I41" t="str">
        <f t="shared" si="0"/>
        <v/>
      </c>
      <c r="L41" t="s">
        <v>1397</v>
      </c>
      <c r="N41" t="str">
        <f t="shared" si="1"/>
        <v>Exclude</v>
      </c>
      <c r="O41" t="s">
        <v>1459</v>
      </c>
    </row>
    <row r="42" spans="1:15">
      <c r="A42">
        <v>40</v>
      </c>
      <c r="B42" t="s">
        <v>19</v>
      </c>
      <c r="C42" s="12" t="str">
        <f>HYPERLINK(IEEE_NEW!$P42, IEEE_NEW!$A42)</f>
        <v>Towards Performance Benchmarking of Cyclic OPC UA PubSub over TSN</v>
      </c>
      <c r="D42" s="13">
        <v>8</v>
      </c>
      <c r="E42" t="s">
        <v>1398</v>
      </c>
      <c r="I42" t="str">
        <f t="shared" si="0"/>
        <v/>
      </c>
      <c r="N42" t="str">
        <f t="shared" si="1"/>
        <v>Include</v>
      </c>
      <c r="O42" t="s">
        <v>2231</v>
      </c>
    </row>
    <row r="43" spans="1:15">
      <c r="A43">
        <v>41</v>
      </c>
      <c r="B43" t="s">
        <v>19</v>
      </c>
      <c r="C43" s="12" t="str">
        <f>HYPERLINK(IEEE_NEW!$P43, IEEE_NEW!$A43)</f>
        <v>Performance Evaluation of Containerization in Edge-Cloud Computing Stacks for Industrial Applications: A Client Perspective</v>
      </c>
      <c r="D43" s="13">
        <v>16</v>
      </c>
      <c r="E43" t="s">
        <v>1398</v>
      </c>
      <c r="I43" t="str">
        <f t="shared" si="0"/>
        <v/>
      </c>
      <c r="L43" t="s">
        <v>1397</v>
      </c>
      <c r="M43" t="s">
        <v>1397</v>
      </c>
      <c r="N43" t="str">
        <f t="shared" si="1"/>
        <v>Exclude</v>
      </c>
      <c r="O43" t="s">
        <v>1427</v>
      </c>
    </row>
    <row r="44" spans="1:15">
      <c r="A44">
        <v>42</v>
      </c>
      <c r="B44" t="s">
        <v>19</v>
      </c>
      <c r="C44" s="12" t="str">
        <f>HYPERLINK(IEEE_NEW!$P44, IEEE_NEW!$A44)</f>
        <v>FL-MU: A Benchmark Dataset for Federated Intrusion Detection in IoT Networks</v>
      </c>
      <c r="D44" s="13">
        <v>28</v>
      </c>
      <c r="E44" t="s">
        <v>1398</v>
      </c>
      <c r="H44" t="s">
        <v>1397</v>
      </c>
      <c r="I44" t="str">
        <f t="shared" si="0"/>
        <v/>
      </c>
      <c r="L44" t="s">
        <v>1397</v>
      </c>
      <c r="M44" t="s">
        <v>1397</v>
      </c>
      <c r="N44" t="str">
        <f t="shared" si="1"/>
        <v>Exclude</v>
      </c>
      <c r="O44" t="s">
        <v>1639</v>
      </c>
    </row>
    <row r="45" spans="1:15">
      <c r="A45">
        <v>43</v>
      </c>
      <c r="B45" t="s">
        <v>19</v>
      </c>
      <c r="C45" s="12" t="str">
        <f>HYPERLINK(IEEE_NEW!$P45, IEEE_NEW!$A45)</f>
        <v>ROSTAM: Railway-Oriented Security and Threat Abstraction Model</v>
      </c>
      <c r="D45" s="13">
        <v>6</v>
      </c>
      <c r="E45" t="s">
        <v>1398</v>
      </c>
      <c r="I45" t="str">
        <f t="shared" si="0"/>
        <v/>
      </c>
      <c r="L45" t="s">
        <v>1397</v>
      </c>
      <c r="M45" t="s">
        <v>1397</v>
      </c>
      <c r="N45" t="str">
        <f t="shared" si="1"/>
        <v>Exclude</v>
      </c>
      <c r="O45" t="s">
        <v>2182</v>
      </c>
    </row>
    <row r="46" spans="1:15">
      <c r="A46">
        <v>44</v>
      </c>
      <c r="B46" t="s">
        <v>19</v>
      </c>
      <c r="C46" s="12" t="str">
        <f>HYPERLINK(IEEE_NEW!$P46, IEEE_NEW!$A46)</f>
        <v>Enabling multi-layer cyber-security assessment of Industrial Control Systems through Hardware-In-The-Loop testbeds</v>
      </c>
      <c r="D46" s="13">
        <v>8</v>
      </c>
      <c r="E46" t="s">
        <v>1398</v>
      </c>
      <c r="I46" t="str">
        <f t="shared" si="0"/>
        <v/>
      </c>
      <c r="L46" t="s">
        <v>1397</v>
      </c>
      <c r="N46" t="str">
        <f t="shared" si="1"/>
        <v>Exclude</v>
      </c>
      <c r="O46" t="s">
        <v>1457</v>
      </c>
    </row>
    <row r="47" spans="1:15">
      <c r="A47">
        <v>45</v>
      </c>
      <c r="B47" t="s">
        <v>19</v>
      </c>
      <c r="C47" s="12" t="str">
        <f>HYPERLINK(IEEE_NEW!$P47, IEEE_NEW!$A47)</f>
        <v>Performance Benchmarking of OpenPLC Across Multiple Environments for Cloud-Based Industrial Automation</v>
      </c>
      <c r="D47" s="13">
        <v>6</v>
      </c>
      <c r="E47" t="s">
        <v>1398</v>
      </c>
      <c r="I47" t="str">
        <f t="shared" si="0"/>
        <v/>
      </c>
      <c r="L47" t="s">
        <v>1397</v>
      </c>
      <c r="M47" t="s">
        <v>1397</v>
      </c>
      <c r="N47" t="str">
        <f t="shared" si="1"/>
        <v>Exclude</v>
      </c>
      <c r="O47" t="s">
        <v>2183</v>
      </c>
    </row>
    <row r="48" spans="1:15">
      <c r="A48">
        <v>46</v>
      </c>
      <c r="B48" t="s">
        <v>19</v>
      </c>
      <c r="C48" s="12" t="str">
        <f>HYPERLINK(IEEE_NEW!$P48, IEEE_NEW!$A48)</f>
        <v>A New Dataset for Intrusion Detection in Industrial Control System: A Gas Pipeline Testbed Study</v>
      </c>
      <c r="D48" s="13">
        <v>6</v>
      </c>
      <c r="E48" t="s">
        <v>1398</v>
      </c>
      <c r="I48" t="str">
        <f t="shared" si="0"/>
        <v/>
      </c>
      <c r="L48" t="s">
        <v>1397</v>
      </c>
      <c r="M48" t="s">
        <v>1397</v>
      </c>
      <c r="N48" t="str">
        <f t="shared" si="1"/>
        <v>Exclude</v>
      </c>
      <c r="O48" t="s">
        <v>2184</v>
      </c>
    </row>
    <row r="49" spans="1:15">
      <c r="A49">
        <v>47</v>
      </c>
      <c r="B49" t="s">
        <v>19</v>
      </c>
      <c r="C49" s="12" t="str">
        <f>HYPERLINK(IEEE_NEW!$P49, IEEE_NEW!$A49)</f>
        <v>Real-Time Communication over LoRa Networks</v>
      </c>
      <c r="D49" s="13">
        <v>14</v>
      </c>
      <c r="E49" t="s">
        <v>1398</v>
      </c>
      <c r="H49" t="s">
        <v>1397</v>
      </c>
      <c r="I49" t="str">
        <f t="shared" si="0"/>
        <v/>
      </c>
      <c r="N49" t="str">
        <f t="shared" si="1"/>
        <v>Exclude</v>
      </c>
      <c r="O49" t="s">
        <v>1485</v>
      </c>
    </row>
    <row r="50" spans="1:15">
      <c r="A50">
        <v>48</v>
      </c>
      <c r="B50" t="s">
        <v>19</v>
      </c>
      <c r="C50" s="12" t="str">
        <f>HYPERLINK(IEEE_NEW!$P50, IEEE_NEW!$A50)</f>
        <v>Modelling Autonomous Mobile Robot Interaction with IIoT Environments</v>
      </c>
      <c r="D50" s="13">
        <v>6</v>
      </c>
      <c r="E50" t="s">
        <v>1398</v>
      </c>
      <c r="I50" t="str">
        <f t="shared" si="0"/>
        <v/>
      </c>
      <c r="L50" t="s">
        <v>1397</v>
      </c>
      <c r="M50" t="s">
        <v>1397</v>
      </c>
      <c r="N50" t="str">
        <f t="shared" si="1"/>
        <v>Exclude</v>
      </c>
      <c r="O50" t="s">
        <v>1431</v>
      </c>
    </row>
    <row r="51" spans="1:15">
      <c r="A51">
        <v>49</v>
      </c>
      <c r="B51" t="s">
        <v>19</v>
      </c>
      <c r="C51" s="12" t="str">
        <f>HYPERLINK(IEEE_NEW!$P51, IEEE_NEW!$A51)</f>
        <v>Covert Channels-Based Stealth Attacks in Industry 4.0</v>
      </c>
      <c r="D51" s="13">
        <v>9</v>
      </c>
      <c r="E51" t="s">
        <v>1398</v>
      </c>
      <c r="I51" t="str">
        <f t="shared" si="0"/>
        <v/>
      </c>
      <c r="M51" t="s">
        <v>1397</v>
      </c>
      <c r="N51" t="str">
        <f t="shared" si="1"/>
        <v>Exclude</v>
      </c>
      <c r="O51" t="s">
        <v>1437</v>
      </c>
    </row>
    <row r="52" spans="1:15">
      <c r="A52">
        <v>50</v>
      </c>
      <c r="B52" t="s">
        <v>19</v>
      </c>
      <c r="C52" s="12" t="str">
        <f>HYPERLINK(IEEE_NEW!$P52, IEEE_NEW!$A52)</f>
        <v>Feasibility Study on Virtual Process Controllers as Basis for Future Industrial Automation Systems</v>
      </c>
      <c r="D52" s="13">
        <v>8</v>
      </c>
      <c r="E52" t="s">
        <v>1398</v>
      </c>
      <c r="I52" t="str">
        <f t="shared" si="0"/>
        <v/>
      </c>
      <c r="L52" t="s">
        <v>1397</v>
      </c>
      <c r="N52" t="str">
        <f t="shared" si="1"/>
        <v>Exclude</v>
      </c>
      <c r="O52" t="s">
        <v>1455</v>
      </c>
    </row>
    <row r="53" spans="1:15">
      <c r="A53">
        <v>51</v>
      </c>
      <c r="B53" t="s">
        <v>19</v>
      </c>
      <c r="C53" s="12" t="str">
        <f>HYPERLINK(IEEE_NEW!$P53, IEEE_NEW!$A53)</f>
        <v>Contention Congestion Collision Adaptive Data Rate for LoRaWAN-Based Challenging Industrial IoT</v>
      </c>
      <c r="D53" s="13">
        <v>6</v>
      </c>
      <c r="E53" t="s">
        <v>1398</v>
      </c>
      <c r="H53" t="s">
        <v>1397</v>
      </c>
      <c r="I53" t="str">
        <f t="shared" si="0"/>
        <v/>
      </c>
      <c r="M53" t="s">
        <v>1397</v>
      </c>
      <c r="N53" t="str">
        <f t="shared" si="1"/>
        <v>Exclude</v>
      </c>
      <c r="O53" t="s">
        <v>1444</v>
      </c>
    </row>
    <row r="54" spans="1:15">
      <c r="A54">
        <v>52</v>
      </c>
      <c r="B54" t="s">
        <v>19</v>
      </c>
      <c r="C54" s="12" t="str">
        <f>HYPERLINK(IEEE_NEW!$P54, IEEE_NEW!$A54)</f>
        <v>Fog Computing Over Challenged Networks: A Real Case Evaluation</v>
      </c>
      <c r="D54" s="13">
        <v>7</v>
      </c>
      <c r="E54" t="s">
        <v>1398</v>
      </c>
      <c r="I54" t="str">
        <f t="shared" si="0"/>
        <v/>
      </c>
      <c r="L54" t="s">
        <v>1397</v>
      </c>
      <c r="M54" t="s">
        <v>1397</v>
      </c>
      <c r="N54" t="str">
        <f t="shared" si="1"/>
        <v>Exclude</v>
      </c>
      <c r="O54" t="s">
        <v>1440</v>
      </c>
    </row>
    <row r="55" spans="1:15">
      <c r="A55">
        <v>53</v>
      </c>
      <c r="B55" t="s">
        <v>19</v>
      </c>
      <c r="C55" s="12" t="str">
        <f>HYPERLINK(IEEE_NEW!$P55, IEEE_NEW!$A55)</f>
        <v>Optimizing MQTT-CoAP Interoperability: A Broker-Based Extension for Seamless Integration</v>
      </c>
      <c r="D55" s="13">
        <v>14</v>
      </c>
      <c r="E55" t="s">
        <v>1398</v>
      </c>
      <c r="I55" t="str">
        <f t="shared" si="0"/>
        <v/>
      </c>
      <c r="L55" t="s">
        <v>1397</v>
      </c>
      <c r="M55" t="s">
        <v>1397</v>
      </c>
      <c r="N55" t="str">
        <f t="shared" si="1"/>
        <v>Exclude</v>
      </c>
      <c r="O55" t="s">
        <v>2185</v>
      </c>
    </row>
    <row r="56" spans="1:15">
      <c r="A56">
        <v>54</v>
      </c>
      <c r="B56" t="s">
        <v>19</v>
      </c>
      <c r="C56" s="12" t="str">
        <f>HYPERLINK(IEEE_NEW!$P56, IEEE_NEW!$A56)</f>
        <v>Experimental Platform for Testing Open Process Automation Technologies Based on OPC UA and IEC 61499</v>
      </c>
      <c r="D56" s="13">
        <v>5</v>
      </c>
      <c r="E56" t="s">
        <v>1398</v>
      </c>
      <c r="I56" t="str">
        <f t="shared" si="0"/>
        <v/>
      </c>
      <c r="L56" t="s">
        <v>1397</v>
      </c>
      <c r="M56" t="s">
        <v>1397</v>
      </c>
      <c r="N56" t="str">
        <f t="shared" si="1"/>
        <v>Exclude</v>
      </c>
      <c r="O56" t="s">
        <v>1454</v>
      </c>
    </row>
    <row r="57" spans="1:15">
      <c r="A57">
        <v>55</v>
      </c>
      <c r="B57" t="s">
        <v>19</v>
      </c>
      <c r="C57" s="12" t="str">
        <f>HYPERLINK(IEEE_NEW!$P57, IEEE_NEW!$A57)</f>
        <v>FedMqADV: A Unified Framework for End-to-End Evaluation of MQTT-Based Federated Learning in Adversarial Setting</v>
      </c>
      <c r="D57" s="13">
        <v>6</v>
      </c>
      <c r="E57" t="s">
        <v>1398</v>
      </c>
      <c r="H57" t="s">
        <v>1397</v>
      </c>
      <c r="I57" t="str">
        <f t="shared" si="0"/>
        <v/>
      </c>
      <c r="L57" t="s">
        <v>1397</v>
      </c>
      <c r="M57" t="s">
        <v>1397</v>
      </c>
      <c r="N57" t="str">
        <f t="shared" si="1"/>
        <v>Exclude</v>
      </c>
      <c r="O57" t="s">
        <v>2186</v>
      </c>
    </row>
    <row r="58" spans="1:15">
      <c r="A58">
        <v>56</v>
      </c>
      <c r="B58" t="s">
        <v>19</v>
      </c>
      <c r="C58" s="12" t="str">
        <f>HYPERLINK(IEEE_NEW!$P58, IEEE_NEW!$A58)</f>
        <v>Safeguarding Inter-Device Communications for Connected Systems: A Holistic Security Framework</v>
      </c>
      <c r="D58" s="13">
        <v>6</v>
      </c>
      <c r="E58" t="s">
        <v>1398</v>
      </c>
      <c r="I58" t="str">
        <f t="shared" si="0"/>
        <v/>
      </c>
      <c r="L58" t="s">
        <v>1397</v>
      </c>
      <c r="M58" t="s">
        <v>1397</v>
      </c>
      <c r="N58" t="str">
        <f t="shared" si="1"/>
        <v>Exclude</v>
      </c>
      <c r="O58" t="s">
        <v>1423</v>
      </c>
    </row>
    <row r="59" spans="1:15">
      <c r="A59">
        <v>57</v>
      </c>
      <c r="B59" t="s">
        <v>19</v>
      </c>
      <c r="C59" s="12" t="str">
        <f>HYPERLINK(IEEE_NEW!$P59, IEEE_NEW!$A59)</f>
        <v>End-to-End Delay Evaluation of Industrial Automation Systems Based on EtherCAT</v>
      </c>
      <c r="D59" s="13">
        <v>8</v>
      </c>
      <c r="E59" t="s">
        <v>1398</v>
      </c>
      <c r="I59" t="str">
        <f t="shared" si="0"/>
        <v/>
      </c>
      <c r="N59" t="str">
        <f t="shared" si="1"/>
        <v>Include</v>
      </c>
      <c r="O59" t="s">
        <v>1461</v>
      </c>
    </row>
    <row r="60" spans="1:15">
      <c r="A60">
        <v>58</v>
      </c>
      <c r="B60" t="s">
        <v>19</v>
      </c>
      <c r="C60" s="12" t="str">
        <f>HYPERLINK(IEEE_NEW!$P60, IEEE_NEW!$A60)</f>
        <v>Secure IoT Deployment Checklist for Building Management System</v>
      </c>
      <c r="D60" s="13">
        <v>6</v>
      </c>
      <c r="E60" t="s">
        <v>1398</v>
      </c>
      <c r="I60" t="str">
        <f t="shared" si="0"/>
        <v/>
      </c>
      <c r="L60" t="s">
        <v>1397</v>
      </c>
      <c r="M60" t="s">
        <v>1397</v>
      </c>
      <c r="N60" t="str">
        <f t="shared" si="1"/>
        <v>Exclude</v>
      </c>
      <c r="O60" t="s">
        <v>2187</v>
      </c>
    </row>
    <row r="61" spans="1:15">
      <c r="A61">
        <v>59</v>
      </c>
      <c r="B61" t="s">
        <v>19</v>
      </c>
      <c r="C61" s="12" t="str">
        <f>HYPERLINK(IEEE_NEW!$P61, IEEE_NEW!$A61)</f>
        <v>An FPGA-based Unidirectional Gateway Proposal for OT-IT Network Separation to Secure Industrial Automation Systems</v>
      </c>
      <c r="D61" s="13">
        <v>6</v>
      </c>
      <c r="E61" t="s">
        <v>1398</v>
      </c>
      <c r="I61" t="str">
        <f t="shared" si="0"/>
        <v/>
      </c>
      <c r="L61" t="s">
        <v>1397</v>
      </c>
      <c r="M61" t="s">
        <v>1397</v>
      </c>
      <c r="N61" t="str">
        <f t="shared" si="1"/>
        <v>Exclude</v>
      </c>
      <c r="O61" t="s">
        <v>1477</v>
      </c>
    </row>
    <row r="62" spans="1:15">
      <c r="A62">
        <v>60</v>
      </c>
      <c r="B62" t="s">
        <v>19</v>
      </c>
      <c r="C62" s="12" t="str">
        <f>HYPERLINK(IEEE_NEW!$P62, IEEE_NEW!$A62)</f>
        <v>Security intelligence for industrial control systems</v>
      </c>
      <c r="D62" s="13">
        <v>1.007638888888889</v>
      </c>
      <c r="E62" t="s">
        <v>1398</v>
      </c>
      <c r="F62" t="s">
        <v>1397</v>
      </c>
      <c r="I62" t="str">
        <f t="shared" si="0"/>
        <v>X</v>
      </c>
      <c r="N62" t="str">
        <f t="shared" si="1"/>
        <v>Exclude</v>
      </c>
      <c r="O62" t="s">
        <v>1409</v>
      </c>
    </row>
    <row r="63" spans="1:15">
      <c r="A63">
        <v>61</v>
      </c>
      <c r="B63" t="s">
        <v>19</v>
      </c>
      <c r="C63" s="12" t="str">
        <f>HYPERLINK(IEEE_NEW!$P63, IEEE_NEW!$A63)</f>
        <v>Hierarchical Blockchain Framework for Node Authentication in IoT Networks: A Comprehensive Analysis</v>
      </c>
      <c r="D63" s="13">
        <v>6</v>
      </c>
      <c r="E63" t="s">
        <v>1398</v>
      </c>
      <c r="H63" t="s">
        <v>1397</v>
      </c>
      <c r="I63" t="str">
        <f t="shared" si="0"/>
        <v/>
      </c>
      <c r="J63" t="s">
        <v>1397</v>
      </c>
      <c r="M63" t="s">
        <v>1397</v>
      </c>
      <c r="N63" t="str">
        <f t="shared" si="1"/>
        <v>Exclude</v>
      </c>
      <c r="O63" t="s">
        <v>1435</v>
      </c>
    </row>
    <row r="64" spans="1:15">
      <c r="A64">
        <v>62</v>
      </c>
      <c r="B64" t="s">
        <v>19</v>
      </c>
      <c r="C64" s="12" t="str">
        <f>HYPERLINK(IEEE_NEW!$P64, IEEE_NEW!$A64)</f>
        <v>Development of SCADA Simulator using Omnet++</v>
      </c>
      <c r="D64" s="13">
        <v>5</v>
      </c>
      <c r="E64" t="s">
        <v>1398</v>
      </c>
      <c r="I64" t="str">
        <f t="shared" si="0"/>
        <v/>
      </c>
      <c r="L64" t="s">
        <v>1397</v>
      </c>
      <c r="N64" t="str">
        <f t="shared" si="1"/>
        <v>Exclude</v>
      </c>
      <c r="O64" t="s">
        <v>1463</v>
      </c>
    </row>
    <row r="65" spans="1:15">
      <c r="A65">
        <v>63</v>
      </c>
      <c r="B65" t="s">
        <v>19</v>
      </c>
      <c r="C65" s="12" t="str">
        <f>HYPERLINK(IEEE_NEW!$P65, IEEE_NEW!$A65)</f>
        <v>Indoor Localization-based Energy Management for Smart Home</v>
      </c>
      <c r="D65" s="13">
        <v>5</v>
      </c>
      <c r="E65" t="s">
        <v>1398</v>
      </c>
      <c r="H65" t="s">
        <v>1397</v>
      </c>
      <c r="I65" t="str">
        <f t="shared" si="0"/>
        <v/>
      </c>
      <c r="M65" t="s">
        <v>1397</v>
      </c>
      <c r="N65" t="str">
        <f t="shared" si="1"/>
        <v>Exclude</v>
      </c>
      <c r="O65" t="s">
        <v>1438</v>
      </c>
    </row>
    <row r="66" spans="1:15">
      <c r="A66">
        <v>64</v>
      </c>
      <c r="B66" t="s">
        <v>19</v>
      </c>
      <c r="C66" s="12" t="str">
        <f>HYPERLINK(IEEE_NEW!$P66, IEEE_NEW!$A66)</f>
        <v>Toward a Unified Security Framework for Digital Twin Architectures</v>
      </c>
      <c r="D66" s="13">
        <v>6</v>
      </c>
      <c r="E66" t="s">
        <v>1398</v>
      </c>
      <c r="I66" t="str">
        <f t="shared" si="0"/>
        <v/>
      </c>
      <c r="L66" t="s">
        <v>1397</v>
      </c>
      <c r="M66" t="s">
        <v>1397</v>
      </c>
      <c r="N66" t="str">
        <f t="shared" si="1"/>
        <v>Exclude</v>
      </c>
      <c r="O66" t="s">
        <v>2188</v>
      </c>
    </row>
    <row r="67" spans="1:15">
      <c r="A67">
        <v>65</v>
      </c>
      <c r="B67" t="s">
        <v>19</v>
      </c>
      <c r="C67" s="12" t="str">
        <f>HYPERLINK(IEEE_NEW!$P67, IEEE_NEW!$A67)</f>
        <v>Implementation of Cyber-Physical Systems with Modbus Communication for Security Studies</v>
      </c>
      <c r="D67" s="13">
        <v>6</v>
      </c>
      <c r="E67" t="s">
        <v>1398</v>
      </c>
      <c r="I67" t="str">
        <f t="shared" ref="I67:I130" si="5">IF(AND(D67&gt;=1, D67&lt;=4), "X", "")</f>
        <v/>
      </c>
      <c r="L67" t="s">
        <v>1397</v>
      </c>
      <c r="N67" t="str">
        <f t="shared" ref="N67:N130" si="6">IF(COUNTIF(F67:M67,"X")&gt;0,"Exclude",IF(UPPER(TRIM(E67))="O","Include",""))</f>
        <v>Exclude</v>
      </c>
      <c r="O67" t="s">
        <v>1458</v>
      </c>
    </row>
    <row r="68" spans="1:15">
      <c r="A68">
        <v>66</v>
      </c>
      <c r="B68" t="s">
        <v>19</v>
      </c>
      <c r="C68" s="12" t="str">
        <f>HYPERLINK(IEEE_NEW!$P68, IEEE_NEW!$A68)</f>
        <v>Improving operational security for web-based distributed control systems in wastewater management</v>
      </c>
      <c r="D68" s="13">
        <v>5</v>
      </c>
      <c r="E68" t="s">
        <v>1398</v>
      </c>
      <c r="I68" t="str">
        <f t="shared" si="5"/>
        <v/>
      </c>
      <c r="L68" t="s">
        <v>1397</v>
      </c>
      <c r="M68" t="s">
        <v>1397</v>
      </c>
      <c r="N68" t="str">
        <f t="shared" si="6"/>
        <v>Exclude</v>
      </c>
      <c r="O68" t="s">
        <v>2189</v>
      </c>
    </row>
    <row r="69" spans="1:15">
      <c r="A69">
        <v>67</v>
      </c>
      <c r="B69" t="s">
        <v>19</v>
      </c>
      <c r="C69" s="12" t="str">
        <f>HYPERLINK(IEEE_NEW!$P69, IEEE_NEW!$A69)</f>
        <v>Holistic Risk Assessment in Industrial Control Systems: Combining Multiple Bayesian Networks with Multi-Criteria Decision Making</v>
      </c>
      <c r="D69" s="13">
        <v>6</v>
      </c>
      <c r="E69" t="s">
        <v>1398</v>
      </c>
      <c r="I69" t="str">
        <f t="shared" si="5"/>
        <v/>
      </c>
      <c r="L69" t="s">
        <v>1397</v>
      </c>
      <c r="M69" t="s">
        <v>1397</v>
      </c>
      <c r="N69" t="str">
        <f t="shared" si="6"/>
        <v>Exclude</v>
      </c>
      <c r="O69" t="s">
        <v>1443</v>
      </c>
    </row>
    <row r="70" spans="1:15">
      <c r="A70">
        <v>68</v>
      </c>
      <c r="B70" t="s">
        <v>19</v>
      </c>
      <c r="C70" s="12" t="str">
        <f>HYPERLINK(IEEE_NEW!$P70, IEEE_NEW!$A70)</f>
        <v>Adversarial Generation of Modbus TCP Packets Using WGANs for ICS Security Testing</v>
      </c>
      <c r="D70" s="13">
        <v>6</v>
      </c>
      <c r="E70" t="s">
        <v>1398</v>
      </c>
      <c r="I70" t="str">
        <f t="shared" si="5"/>
        <v/>
      </c>
      <c r="L70" t="s">
        <v>1397</v>
      </c>
      <c r="N70" t="str">
        <f t="shared" si="6"/>
        <v>Exclude</v>
      </c>
      <c r="O70" t="s">
        <v>1462</v>
      </c>
    </row>
    <row r="71" spans="1:15">
      <c r="A71">
        <v>69</v>
      </c>
      <c r="B71" t="s">
        <v>19</v>
      </c>
      <c r="C71" s="12" t="str">
        <f>HYPERLINK(IEEE_NEW!$P71, IEEE_NEW!$A71)</f>
        <v>ML-Augmented Network Packet Broker based Anomaly Detection at IIoT-Edge Egress Port</v>
      </c>
      <c r="D71" s="13">
        <v>6</v>
      </c>
      <c r="E71" t="s">
        <v>1398</v>
      </c>
      <c r="I71" t="str">
        <f t="shared" si="5"/>
        <v/>
      </c>
      <c r="L71" t="s">
        <v>1397</v>
      </c>
      <c r="M71" t="s">
        <v>1397</v>
      </c>
      <c r="N71" t="str">
        <f t="shared" si="6"/>
        <v>Exclude</v>
      </c>
      <c r="O71" t="s">
        <v>2190</v>
      </c>
    </row>
    <row r="72" spans="1:15">
      <c r="A72">
        <v>70</v>
      </c>
      <c r="B72" t="s">
        <v>19</v>
      </c>
      <c r="C72" s="12" t="str">
        <f>HYPERLINK(IEEE_NEW!$P72, IEEE_NEW!$A72)</f>
        <v>Timeliness of CSMA/CA-Based Wireless Networks With HARQ in the FBL Regime: Explicit Age Characterizations and Resource Allocation</v>
      </c>
      <c r="D72" s="13">
        <v>13</v>
      </c>
      <c r="E72" t="s">
        <v>1398</v>
      </c>
      <c r="H72" t="s">
        <v>1397</v>
      </c>
      <c r="I72" t="str">
        <f t="shared" si="5"/>
        <v/>
      </c>
      <c r="M72" t="s">
        <v>1397</v>
      </c>
      <c r="N72" t="str">
        <f t="shared" si="6"/>
        <v>Exclude</v>
      </c>
      <c r="O72" t="s">
        <v>1442</v>
      </c>
    </row>
    <row r="73" spans="1:15">
      <c r="A73">
        <v>71</v>
      </c>
      <c r="B73" t="s">
        <v>19</v>
      </c>
      <c r="C73" s="12" t="str">
        <f>HYPERLINK(IEEE_NEW!$P73, IEEE_NEW!$A73)</f>
        <v>Performance Evaluation of Asynchronous Pulse Code Multiple Access in Massive IoT Networks</v>
      </c>
      <c r="D73" s="34">
        <v>14</v>
      </c>
      <c r="E73" t="s">
        <v>1398</v>
      </c>
      <c r="H73" t="s">
        <v>1397</v>
      </c>
      <c r="I73" t="str">
        <f t="shared" si="5"/>
        <v/>
      </c>
      <c r="M73" t="s">
        <v>1397</v>
      </c>
      <c r="N73" t="str">
        <f t="shared" si="6"/>
        <v>Exclude</v>
      </c>
      <c r="O73" t="s">
        <v>1441</v>
      </c>
    </row>
    <row r="74" spans="1:15">
      <c r="A74">
        <v>72</v>
      </c>
      <c r="B74" t="s">
        <v>19</v>
      </c>
      <c r="C74" s="12" t="str">
        <f>HYPERLINK(IEEE_NEW!$P74, IEEE_NEW!$A74)</f>
        <v>Performance impact of commercial industrial firewalls on networked control systems</v>
      </c>
      <c r="D74" s="34">
        <v>8</v>
      </c>
      <c r="E74" t="s">
        <v>1398</v>
      </c>
      <c r="I74" t="str">
        <f t="shared" si="5"/>
        <v/>
      </c>
      <c r="L74" t="s">
        <v>1397</v>
      </c>
      <c r="N74" t="str">
        <f t="shared" si="6"/>
        <v>Exclude</v>
      </c>
      <c r="O74" t="s">
        <v>1484</v>
      </c>
    </row>
    <row r="75" spans="1:15">
      <c r="A75">
        <v>73</v>
      </c>
      <c r="B75" t="s">
        <v>19</v>
      </c>
      <c r="C75" s="12" t="str">
        <f>HYPERLINK(IEEE_NEW!$P75, IEEE_NEW!$A75)</f>
        <v>Performance Evaluation and Modeling of an Industrial Application-Layer Firewall</v>
      </c>
      <c r="D75" s="34">
        <v>12</v>
      </c>
      <c r="E75" t="s">
        <v>1398</v>
      </c>
      <c r="I75" t="str">
        <f t="shared" si="5"/>
        <v/>
      </c>
      <c r="L75" t="s">
        <v>1397</v>
      </c>
      <c r="N75" t="str">
        <f t="shared" si="6"/>
        <v>Exclude</v>
      </c>
      <c r="O75" t="s">
        <v>1460</v>
      </c>
    </row>
    <row r="76" spans="1:15">
      <c r="A76">
        <v>74</v>
      </c>
      <c r="B76" t="s">
        <v>19</v>
      </c>
      <c r="C76" s="12" t="str">
        <f>HYPERLINK(IEEE_NEW!$P76, IEEE_NEW!$A76)</f>
        <v>An Investigative Evaluation of Open Source Intrusion Detection Systems for Operational Technology Networks Using MITRE ICS Attack Simulation on a Thermal Power Plant Test Bed</v>
      </c>
      <c r="D76" s="34">
        <v>6</v>
      </c>
      <c r="E76" t="s">
        <v>1398</v>
      </c>
      <c r="I76" t="str">
        <f t="shared" si="5"/>
        <v/>
      </c>
      <c r="L76" t="s">
        <v>1397</v>
      </c>
      <c r="M76" t="s">
        <v>1397</v>
      </c>
      <c r="N76" t="str">
        <f t="shared" si="6"/>
        <v>Exclude</v>
      </c>
      <c r="O76" t="s">
        <v>2191</v>
      </c>
    </row>
    <row r="77" spans="1:15">
      <c r="A77">
        <v>75</v>
      </c>
      <c r="B77" t="s">
        <v>19</v>
      </c>
      <c r="C77" s="12" t="str">
        <f>HYPERLINK(IEEE_NEW!$P77, IEEE_NEW!$A77)</f>
        <v>Future of IoTSP – IT and OT Integration</v>
      </c>
      <c r="D77">
        <v>5</v>
      </c>
      <c r="E77" t="s">
        <v>1398</v>
      </c>
      <c r="I77" t="str">
        <f t="shared" si="5"/>
        <v/>
      </c>
      <c r="L77" t="s">
        <v>1397</v>
      </c>
      <c r="M77" t="s">
        <v>1397</v>
      </c>
      <c r="N77" t="str">
        <f t="shared" si="6"/>
        <v>Exclude</v>
      </c>
      <c r="O77" t="s">
        <v>2192</v>
      </c>
    </row>
    <row r="78" spans="1:15">
      <c r="A78">
        <v>76</v>
      </c>
      <c r="B78" t="s">
        <v>19</v>
      </c>
      <c r="C78" s="12" t="str">
        <f>HYPERLINK(IEEE_NEW!$P78, IEEE_NEW!$A78)</f>
        <v>An Adaptive Intrusion Detection System for IoT Networks Using Deep Learning</v>
      </c>
      <c r="D78" s="34">
        <v>6</v>
      </c>
      <c r="E78" t="s">
        <v>1398</v>
      </c>
      <c r="H78" t="s">
        <v>1397</v>
      </c>
      <c r="I78" t="str">
        <f t="shared" si="5"/>
        <v/>
      </c>
      <c r="L78" t="s">
        <v>1397</v>
      </c>
      <c r="M78" t="s">
        <v>1397</v>
      </c>
      <c r="N78" t="str">
        <f t="shared" si="6"/>
        <v>Exclude</v>
      </c>
      <c r="O78" t="s">
        <v>1436</v>
      </c>
    </row>
    <row r="79" spans="1:15">
      <c r="A79">
        <v>77</v>
      </c>
      <c r="B79" t="s">
        <v>19</v>
      </c>
      <c r="C79" s="12" t="str">
        <f>HYPERLINK(IEEE_NEW!$P79, IEEE_NEW!$A79)</f>
        <v>Unleashing the Potential of Industrial IoT and Industry 5.0</v>
      </c>
      <c r="D79" s="34">
        <v>13</v>
      </c>
      <c r="E79" t="s">
        <v>1398</v>
      </c>
      <c r="I79" t="str">
        <f t="shared" si="5"/>
        <v/>
      </c>
      <c r="L79" t="s">
        <v>1397</v>
      </c>
      <c r="N79" t="str">
        <f t="shared" si="6"/>
        <v>Exclude</v>
      </c>
      <c r="O79" t="s">
        <v>1480</v>
      </c>
    </row>
    <row r="80" spans="1:15">
      <c r="A80">
        <v>78</v>
      </c>
      <c r="B80" t="s">
        <v>19</v>
      </c>
      <c r="C80" s="12" t="str">
        <f>HYPERLINK(IEEE_NEW!$P80, IEEE_NEW!$A80)</f>
        <v>SenseFuzz: Black-box Fuzzing of ICS Protocols via Runtime Statistics Sensing</v>
      </c>
      <c r="D80">
        <v>6</v>
      </c>
      <c r="E80" t="s">
        <v>1398</v>
      </c>
      <c r="I80" t="str">
        <f t="shared" si="5"/>
        <v/>
      </c>
      <c r="N80" t="str">
        <f t="shared" si="6"/>
        <v>Include</v>
      </c>
      <c r="O80" t="s">
        <v>2232</v>
      </c>
    </row>
    <row r="81" spans="1:15">
      <c r="A81">
        <v>79</v>
      </c>
      <c r="B81" t="s">
        <v>19</v>
      </c>
      <c r="C81" s="12" t="str">
        <f>HYPERLINK(IEEE_NEW!$P81, IEEE_NEW!$A81)</f>
        <v>PIM-LLN: Protocol Independent Multicast for Low-Power and Lossy Networks</v>
      </c>
      <c r="D81" s="13">
        <v>17</v>
      </c>
      <c r="E81" t="s">
        <v>1398</v>
      </c>
      <c r="H81" t="s">
        <v>1397</v>
      </c>
      <c r="I81" t="str">
        <f t="shared" si="5"/>
        <v/>
      </c>
      <c r="M81" t="s">
        <v>1397</v>
      </c>
      <c r="N81" t="str">
        <f t="shared" si="6"/>
        <v>Exclude</v>
      </c>
      <c r="O81" t="s">
        <v>1445</v>
      </c>
    </row>
    <row r="82" spans="1:15">
      <c r="A82">
        <v>80</v>
      </c>
      <c r="B82" t="s">
        <v>19</v>
      </c>
      <c r="C82" s="12" t="str">
        <f>HYPERLINK(IEEE_NEW!$P82, IEEE_NEW!$A82)</f>
        <v>Optimizing Freshness in IoT Scans</v>
      </c>
      <c r="D82" s="13">
        <v>6</v>
      </c>
      <c r="E82" t="s">
        <v>1398</v>
      </c>
      <c r="I82" t="str">
        <f t="shared" si="5"/>
        <v/>
      </c>
      <c r="L82" t="s">
        <v>1397</v>
      </c>
      <c r="M82" t="s">
        <v>1397</v>
      </c>
      <c r="N82" t="str">
        <f t="shared" si="6"/>
        <v>Exclude</v>
      </c>
      <c r="O82" t="s">
        <v>1453</v>
      </c>
    </row>
    <row r="83" spans="1:15">
      <c r="A83">
        <v>81</v>
      </c>
      <c r="B83" t="s">
        <v>19</v>
      </c>
      <c r="C83" s="12" t="str">
        <f>HYPERLINK(IEEE_NEW!$P83, IEEE_NEW!$A83)</f>
        <v>PQ-CAN: A Framework for Simulating Post-Quantum Cryptography in Embedded Systems</v>
      </c>
      <c r="D83" s="33">
        <v>6</v>
      </c>
      <c r="E83" t="s">
        <v>1398</v>
      </c>
      <c r="H83" t="s">
        <v>1397</v>
      </c>
      <c r="I83" t="str">
        <f t="shared" si="5"/>
        <v/>
      </c>
      <c r="M83" t="s">
        <v>1397</v>
      </c>
      <c r="N83" t="str">
        <f t="shared" si="6"/>
        <v>Exclude</v>
      </c>
      <c r="O83" t="s">
        <v>2193</v>
      </c>
    </row>
    <row r="84" spans="1:15">
      <c r="A84">
        <v>82</v>
      </c>
      <c r="B84" t="s">
        <v>19</v>
      </c>
      <c r="C84" s="12" t="str">
        <f>HYPERLINK(IEEE_NEW!$P84, IEEE_NEW!$A84)</f>
        <v>Experimenting With Digital Signatures Over a DNP3 Protocol in a Multitenant Cloud-Based SCADA Architecture</v>
      </c>
      <c r="D84" s="13">
        <v>20</v>
      </c>
      <c r="E84" t="s">
        <v>1398</v>
      </c>
      <c r="I84" t="str">
        <f t="shared" si="5"/>
        <v/>
      </c>
      <c r="N84" t="str">
        <f t="shared" si="6"/>
        <v>Include</v>
      </c>
      <c r="O84" t="s">
        <v>1466</v>
      </c>
    </row>
    <row r="85" spans="1:15">
      <c r="A85">
        <v>83</v>
      </c>
      <c r="B85" t="s">
        <v>19</v>
      </c>
      <c r="C85" s="12" t="str">
        <f>HYPERLINK(IEEE_NEW!$P85, IEEE_NEW!$A85)</f>
        <v>Analysis of Machine Learning Methods in EtherCAT-Based Anomaly Detection</v>
      </c>
      <c r="D85" s="13">
        <v>10</v>
      </c>
      <c r="E85" t="s">
        <v>1398</v>
      </c>
      <c r="I85" t="str">
        <f t="shared" si="5"/>
        <v/>
      </c>
      <c r="L85" t="s">
        <v>1397</v>
      </c>
      <c r="N85" t="str">
        <f t="shared" si="6"/>
        <v>Exclude</v>
      </c>
      <c r="O85" t="s">
        <v>1467</v>
      </c>
    </row>
    <row r="86" spans="1:15">
      <c r="A86">
        <v>84</v>
      </c>
      <c r="B86" t="s">
        <v>19</v>
      </c>
      <c r="C86" s="12" t="str">
        <f>HYPERLINK(IEEE_NEW!$P86, IEEE_NEW!$A86)</f>
        <v>Time Synchronization Extension for the IO-Link Industrial Communication Protocol</v>
      </c>
      <c r="D86" s="13">
        <v>6</v>
      </c>
      <c r="E86" t="s">
        <v>1398</v>
      </c>
      <c r="I86" t="str">
        <f t="shared" si="5"/>
        <v/>
      </c>
      <c r="N86" t="str">
        <f t="shared" si="6"/>
        <v>Include</v>
      </c>
      <c r="O86" t="s">
        <v>1465</v>
      </c>
    </row>
    <row r="87" spans="1:15">
      <c r="A87">
        <v>85</v>
      </c>
      <c r="B87" t="s">
        <v>19</v>
      </c>
      <c r="C87" s="12" t="str">
        <f>HYPERLINK(IEEE_NEW!$P87, IEEE_NEW!$A87)</f>
        <v>Industrial data-collector by enabling OPC-UA standard for Industry 4.0</v>
      </c>
      <c r="D87" s="13">
        <v>8</v>
      </c>
      <c r="E87" t="s">
        <v>1398</v>
      </c>
      <c r="I87" t="str">
        <f t="shared" si="5"/>
        <v/>
      </c>
      <c r="L87" t="s">
        <v>1397</v>
      </c>
      <c r="M87" t="s">
        <v>1397</v>
      </c>
      <c r="N87" t="str">
        <f t="shared" si="6"/>
        <v>Exclude</v>
      </c>
      <c r="O87" t="s">
        <v>1446</v>
      </c>
    </row>
    <row r="88" spans="1:15">
      <c r="A88">
        <v>86</v>
      </c>
      <c r="B88" t="s">
        <v>19</v>
      </c>
      <c r="C88" s="12" t="str">
        <f>HYPERLINK(IEEE_NEW!$P88, IEEE_NEW!$A88)</f>
        <v>Priority-Aware Wireless Fieldbus Protocol for Mixed-Criticality Industrial Wireless Sensor Networks</v>
      </c>
      <c r="D88" s="13">
        <v>14</v>
      </c>
      <c r="E88" t="s">
        <v>1398</v>
      </c>
      <c r="I88" t="str">
        <f t="shared" si="5"/>
        <v/>
      </c>
      <c r="N88" t="str">
        <f t="shared" si="6"/>
        <v>Include</v>
      </c>
      <c r="O88" t="s">
        <v>1468</v>
      </c>
    </row>
    <row r="89" spans="1:15">
      <c r="A89">
        <v>87</v>
      </c>
      <c r="B89" t="s">
        <v>19</v>
      </c>
      <c r="C89" s="12" t="str">
        <f>HYPERLINK(IEEE_NEW!$P89, IEEE_NEW!$A89)</f>
        <v>DigSiNet: Using Multiple Digital Twins to Provide Rhythmic Network Consistency</v>
      </c>
      <c r="D89" s="13">
        <v>5</v>
      </c>
      <c r="E89" t="s">
        <v>1398</v>
      </c>
      <c r="I89" t="str">
        <f t="shared" si="5"/>
        <v/>
      </c>
      <c r="L89" t="s">
        <v>1397</v>
      </c>
      <c r="M89" t="s">
        <v>1397</v>
      </c>
      <c r="N89" t="str">
        <f t="shared" si="6"/>
        <v>Exclude</v>
      </c>
      <c r="O89" t="s">
        <v>1450</v>
      </c>
    </row>
    <row r="90" spans="1:15">
      <c r="A90">
        <v>88</v>
      </c>
      <c r="B90" t="s">
        <v>19</v>
      </c>
      <c r="C90" s="12" t="str">
        <f>HYPERLINK(IEEE_NEW!$P90, IEEE_NEW!$A90)</f>
        <v>Detection of Attacks on Modbus Industrial Communications Using the Communication Variable Memory Map Representation</v>
      </c>
      <c r="D90" s="13">
        <v>9</v>
      </c>
      <c r="E90" t="s">
        <v>1398</v>
      </c>
      <c r="I90" t="str">
        <f t="shared" si="5"/>
        <v/>
      </c>
      <c r="L90" t="s">
        <v>1397</v>
      </c>
      <c r="M90" t="s">
        <v>1397</v>
      </c>
      <c r="N90" t="str">
        <f t="shared" si="6"/>
        <v>Exclude</v>
      </c>
      <c r="O90" t="s">
        <v>1519</v>
      </c>
    </row>
    <row r="91" spans="1:15">
      <c r="A91">
        <v>89</v>
      </c>
      <c r="B91" t="s">
        <v>19</v>
      </c>
      <c r="C91" s="12" t="str">
        <f>HYPERLINK(IEEE_NEW!$P91, IEEE_NEW!$A91)</f>
        <v>IEC 61850 Compatible OpenPLC for Cyber Attack Case Studies on Smart Substation Systems</v>
      </c>
      <c r="D91" s="33">
        <v>10</v>
      </c>
      <c r="E91" t="s">
        <v>1398</v>
      </c>
      <c r="H91" t="s">
        <v>1397</v>
      </c>
      <c r="I91" t="str">
        <f t="shared" si="5"/>
        <v/>
      </c>
      <c r="N91" t="str">
        <f t="shared" si="6"/>
        <v>Exclude</v>
      </c>
      <c r="O91" t="s">
        <v>2233</v>
      </c>
    </row>
    <row r="92" spans="1:15">
      <c r="A92">
        <v>90</v>
      </c>
      <c r="B92" t="s">
        <v>19</v>
      </c>
      <c r="C92" s="12" t="str">
        <f>HYPERLINK(IEEE_NEW!$P92, IEEE_NEW!$A92)</f>
        <v>A Logical Performance Evaluation Methodology based on Bandwidth Estimation Strategy to Minimize Communication Delay over Wireless Sensor Networks</v>
      </c>
      <c r="D92" s="34">
        <v>7</v>
      </c>
      <c r="E92" t="s">
        <v>1398</v>
      </c>
      <c r="H92" t="s">
        <v>1397</v>
      </c>
      <c r="I92" t="str">
        <f t="shared" si="5"/>
        <v/>
      </c>
      <c r="M92" t="s">
        <v>1397</v>
      </c>
      <c r="N92" t="str">
        <f t="shared" si="6"/>
        <v>Exclude</v>
      </c>
      <c r="O92" t="s">
        <v>1449</v>
      </c>
    </row>
    <row r="93" spans="1:15">
      <c r="A93">
        <v>91</v>
      </c>
      <c r="B93" t="s">
        <v>19</v>
      </c>
      <c r="C93" s="12" t="str">
        <f>HYPERLINK(IEEE_NEW!$P93, IEEE_NEW!$A93)</f>
        <v>Exploiting Control Device Vulnerabilities: Attacking Cyber-Physical Water System</v>
      </c>
      <c r="D93" s="34">
        <v>10</v>
      </c>
      <c r="E93" t="s">
        <v>1398</v>
      </c>
      <c r="I93" t="str">
        <f t="shared" si="5"/>
        <v/>
      </c>
      <c r="L93" t="s">
        <v>1397</v>
      </c>
      <c r="M93" t="s">
        <v>1397</v>
      </c>
      <c r="N93" t="str">
        <f t="shared" si="6"/>
        <v>Exclude</v>
      </c>
      <c r="O93" t="s">
        <v>1452</v>
      </c>
    </row>
    <row r="94" spans="1:15">
      <c r="A94">
        <v>92</v>
      </c>
      <c r="B94" t="s">
        <v>19</v>
      </c>
      <c r="C94" s="12" t="str">
        <f>HYPERLINK(IEEE_NEW!$P94, IEEE_NEW!$A94)</f>
        <v>BIER-Based Multicast Routing for Low-Power and Lossy Networks</v>
      </c>
      <c r="D94">
        <v>6</v>
      </c>
      <c r="E94" t="s">
        <v>1398</v>
      </c>
      <c r="H94" t="s">
        <v>1397</v>
      </c>
      <c r="I94" t="str">
        <f t="shared" si="5"/>
        <v/>
      </c>
      <c r="L94" t="s">
        <v>1397</v>
      </c>
      <c r="M94" t="s">
        <v>1397</v>
      </c>
      <c r="N94" t="str">
        <f t="shared" si="6"/>
        <v>Exclude</v>
      </c>
      <c r="O94" t="s">
        <v>2194</v>
      </c>
    </row>
    <row r="95" spans="1:15">
      <c r="A95">
        <v>93</v>
      </c>
      <c r="B95" t="s">
        <v>19</v>
      </c>
      <c r="C95" s="12" t="str">
        <f>HYPERLINK(IEEE_NEW!$P95, IEEE_NEW!$A95)</f>
        <v>Stealthy cyber attacks and impact analysis on wide-area protection of smart grid</v>
      </c>
      <c r="D95" s="34">
        <v>6</v>
      </c>
      <c r="E95" t="s">
        <v>1398</v>
      </c>
      <c r="I95" t="str">
        <f t="shared" si="5"/>
        <v/>
      </c>
      <c r="L95" t="s">
        <v>1397</v>
      </c>
      <c r="M95" t="s">
        <v>1397</v>
      </c>
      <c r="N95" t="str">
        <f t="shared" si="6"/>
        <v>Exclude</v>
      </c>
      <c r="O95" t="s">
        <v>1448</v>
      </c>
    </row>
    <row r="96" spans="1:15">
      <c r="A96">
        <v>94</v>
      </c>
      <c r="B96" t="s">
        <v>19</v>
      </c>
      <c r="C96" s="12" t="str">
        <f>HYPERLINK(IEEE_NEW!$P96, IEEE_NEW!$A96)</f>
        <v>Knowledge Representation of Asset Information and Performance in OT Environments</v>
      </c>
      <c r="D96">
        <v>8</v>
      </c>
      <c r="E96" t="s">
        <v>1398</v>
      </c>
      <c r="I96" t="str">
        <f t="shared" si="5"/>
        <v/>
      </c>
      <c r="L96" t="s">
        <v>1397</v>
      </c>
      <c r="M96" t="s">
        <v>1397</v>
      </c>
      <c r="N96" t="str">
        <f t="shared" si="6"/>
        <v>Exclude</v>
      </c>
      <c r="O96" t="s">
        <v>2195</v>
      </c>
    </row>
    <row r="97" spans="1:15">
      <c r="A97">
        <v>95</v>
      </c>
      <c r="B97" t="s">
        <v>19</v>
      </c>
      <c r="C97" s="12" t="str">
        <f>HYPERLINK(IEEE_NEW!$P97, IEEE_NEW!$A97)</f>
        <v>IoT Communication Framework with Ground Station Integration Using MQTT over TCP</v>
      </c>
      <c r="D97" s="34">
        <v>6</v>
      </c>
      <c r="E97" t="s">
        <v>1398</v>
      </c>
      <c r="H97" t="s">
        <v>1397</v>
      </c>
      <c r="I97" t="str">
        <f t="shared" si="5"/>
        <v/>
      </c>
      <c r="M97" t="s">
        <v>1397</v>
      </c>
      <c r="N97" t="str">
        <f t="shared" si="6"/>
        <v>Exclude</v>
      </c>
      <c r="O97" t="s">
        <v>1447</v>
      </c>
    </row>
    <row r="98" spans="1:15">
      <c r="A98">
        <v>96</v>
      </c>
      <c r="B98" t="s">
        <v>19</v>
      </c>
      <c r="C98" s="12" t="str">
        <f>HYPERLINK(IEEE_NEW!$P98, IEEE_NEW!$A98)</f>
        <v>CRT-LoRa: An efficient and reliable MAC scheme for real-time industrial applications</v>
      </c>
      <c r="D98">
        <v>6</v>
      </c>
      <c r="E98" t="s">
        <v>1398</v>
      </c>
      <c r="I98" t="str">
        <f t="shared" si="5"/>
        <v/>
      </c>
      <c r="L98" t="s">
        <v>1397</v>
      </c>
      <c r="M98" t="s">
        <v>1397</v>
      </c>
      <c r="N98" t="str">
        <f t="shared" si="6"/>
        <v>Exclude</v>
      </c>
      <c r="O98" t="s">
        <v>2196</v>
      </c>
    </row>
    <row r="99" spans="1:15">
      <c r="A99">
        <v>97</v>
      </c>
      <c r="B99" t="s">
        <v>19</v>
      </c>
      <c r="C99" s="12" t="str">
        <f>HYPERLINK(IEEE_NEW!$P99, IEEE_NEW!$A99)</f>
        <v>DIIG: A Distributed Industrial IoT Gateway</v>
      </c>
      <c r="D99" s="13">
        <v>5</v>
      </c>
      <c r="E99" t="s">
        <v>1398</v>
      </c>
      <c r="I99" t="str">
        <f t="shared" si="5"/>
        <v/>
      </c>
      <c r="L99" t="s">
        <v>1397</v>
      </c>
      <c r="M99" t="s">
        <v>1397</v>
      </c>
      <c r="N99" t="str">
        <f t="shared" si="6"/>
        <v>Exclude</v>
      </c>
      <c r="O99" t="s">
        <v>1451</v>
      </c>
    </row>
    <row r="100" spans="1:15">
      <c r="A100">
        <v>98</v>
      </c>
      <c r="B100" t="s">
        <v>19</v>
      </c>
      <c r="C100" s="12" t="str">
        <f>HYPERLINK(IEEE_NEW!$P100, IEEE_NEW!$A100)</f>
        <v>The Role of Monitoring Frequency in Optimizing Digital Twin Networks</v>
      </c>
      <c r="D100" s="13">
        <v>7</v>
      </c>
      <c r="E100" t="s">
        <v>1398</v>
      </c>
      <c r="I100" t="str">
        <f t="shared" si="5"/>
        <v/>
      </c>
      <c r="L100" t="s">
        <v>1397</v>
      </c>
      <c r="M100" t="s">
        <v>1397</v>
      </c>
      <c r="N100" t="str">
        <f t="shared" si="6"/>
        <v>Exclude</v>
      </c>
      <c r="O100" t="s">
        <v>1520</v>
      </c>
    </row>
    <row r="101" spans="1:15">
      <c r="A101">
        <v>99</v>
      </c>
      <c r="B101" t="s">
        <v>19</v>
      </c>
      <c r="C101" s="12" t="str">
        <f>HYPERLINK(IEEE_NEW!$P101, IEEE_NEW!$A101)</f>
        <v>Energy-Efficient Wireless Sensor Networks Optimization using Deep Q-Networks for Smart Energy Applications</v>
      </c>
      <c r="D101" s="13">
        <v>5</v>
      </c>
      <c r="E101" t="s">
        <v>1398</v>
      </c>
      <c r="I101" t="str">
        <f t="shared" si="5"/>
        <v/>
      </c>
      <c r="L101" t="s">
        <v>1397</v>
      </c>
      <c r="N101" t="str">
        <f t="shared" si="6"/>
        <v>Exclude</v>
      </c>
      <c r="O101" t="s">
        <v>1469</v>
      </c>
    </row>
    <row r="102" spans="1:15">
      <c r="A102">
        <v>100</v>
      </c>
      <c r="B102" t="s">
        <v>1366</v>
      </c>
      <c r="C102" s="12" t="str">
        <f>HYPERLINK(ACM_NEW!$D2, ACM_NEW!$B2)</f>
        <v>ICSNet: A Hybrid-Interaction Honeynet for Industrial Control Systems</v>
      </c>
      <c r="D102" s="13">
        <v>12</v>
      </c>
      <c r="E102" t="s">
        <v>1398</v>
      </c>
      <c r="I102" t="str">
        <f t="shared" si="5"/>
        <v/>
      </c>
      <c r="L102" t="s">
        <v>1397</v>
      </c>
      <c r="M102" t="s">
        <v>1397</v>
      </c>
      <c r="N102" t="str">
        <f t="shared" si="6"/>
        <v>Exclude</v>
      </c>
      <c r="O102" t="s">
        <v>2197</v>
      </c>
    </row>
    <row r="103" spans="1:15">
      <c r="A103">
        <v>101</v>
      </c>
      <c r="B103" t="s">
        <v>1366</v>
      </c>
      <c r="C103" s="12" t="str">
        <f>HYPERLINK(ACM_NEW!$D3, ACM_NEW!$B3)</f>
        <v>RTPL: A Real-Time Communication Protocol for LoRa Network</v>
      </c>
      <c r="D103" s="13">
        <v>31</v>
      </c>
      <c r="E103" t="s">
        <v>1398</v>
      </c>
      <c r="I103" t="str">
        <f t="shared" si="5"/>
        <v/>
      </c>
      <c r="N103" t="str">
        <f t="shared" si="6"/>
        <v>Include</v>
      </c>
      <c r="O103" t="s">
        <v>1470</v>
      </c>
    </row>
    <row r="104" spans="1:15">
      <c r="A104">
        <v>102</v>
      </c>
      <c r="B104" t="s">
        <v>1366</v>
      </c>
      <c r="C104" s="12" t="str">
        <f>HYPERLINK(ACM_NEW!$D4, ACM_NEW!$B4)</f>
        <v>EmuFlex: A Flexible OT Testbed for Security Experiments with OPC UA</v>
      </c>
      <c r="D104" s="13">
        <v>9</v>
      </c>
      <c r="E104" t="s">
        <v>1398</v>
      </c>
      <c r="I104" t="str">
        <f t="shared" si="5"/>
        <v/>
      </c>
      <c r="N104" t="str">
        <f t="shared" si="6"/>
        <v>Include</v>
      </c>
      <c r="O104" t="s">
        <v>2234</v>
      </c>
    </row>
    <row r="105" spans="1:15">
      <c r="A105">
        <v>103</v>
      </c>
      <c r="B105" t="s">
        <v>1366</v>
      </c>
      <c r="C105" s="12" t="str">
        <f>HYPERLINK(ACM_NEW!$D5, ACM_NEW!$B5)</f>
        <v>A Comprehensive Survey on Interoperability for IIoT: Taxonomy, Standards, and Future Directions</v>
      </c>
      <c r="D105" s="13">
        <v>35</v>
      </c>
      <c r="E105" t="s">
        <v>1398</v>
      </c>
      <c r="I105" t="str">
        <f t="shared" si="5"/>
        <v/>
      </c>
      <c r="J105" t="s">
        <v>1397</v>
      </c>
      <c r="N105" t="str">
        <f t="shared" si="6"/>
        <v>Exclude</v>
      </c>
      <c r="O105" t="s">
        <v>1402</v>
      </c>
    </row>
    <row r="106" spans="1:15">
      <c r="A106">
        <v>104</v>
      </c>
      <c r="B106" t="s">
        <v>1366</v>
      </c>
      <c r="C106" s="12" t="str">
        <f>HYPERLINK(ACM_NEW!$D6, ACM_NEW!$B6)</f>
        <v>On Practical Realization of Evasion Attacks for Industrial Control Systems</v>
      </c>
      <c r="D106" s="13">
        <v>17</v>
      </c>
      <c r="E106" t="s">
        <v>1398</v>
      </c>
      <c r="I106" t="str">
        <f t="shared" si="5"/>
        <v/>
      </c>
      <c r="L106" t="s">
        <v>1397</v>
      </c>
      <c r="M106" t="s">
        <v>1397</v>
      </c>
      <c r="N106" t="str">
        <f t="shared" si="6"/>
        <v>Exclude</v>
      </c>
      <c r="O106" t="s">
        <v>2198</v>
      </c>
    </row>
    <row r="107" spans="1:15">
      <c r="A107">
        <v>105</v>
      </c>
      <c r="B107" t="s">
        <v>1366</v>
      </c>
      <c r="C107" s="12" t="str">
        <f>HYPERLINK(ACM_NEW!$D7, ACM_NEW!$B7)</f>
        <v>An Industrial Internet of Things (IIoT) platform for intelligent wind turbine gearbox fault detection with automatic annotation</v>
      </c>
      <c r="D107" s="13">
        <v>5</v>
      </c>
      <c r="E107" t="s">
        <v>1398</v>
      </c>
      <c r="I107" t="str">
        <f t="shared" si="5"/>
        <v/>
      </c>
      <c r="L107" t="s">
        <v>1397</v>
      </c>
      <c r="M107" t="s">
        <v>1397</v>
      </c>
      <c r="N107" t="str">
        <f t="shared" si="6"/>
        <v>Exclude</v>
      </c>
      <c r="O107" t="s">
        <v>2199</v>
      </c>
    </row>
    <row r="108" spans="1:15">
      <c r="A108">
        <v>106</v>
      </c>
      <c r="B108" t="s">
        <v>1366</v>
      </c>
      <c r="C108" s="12" t="str">
        <f>HYPERLINK(ACM_NEW!$D8, ACM_NEW!$B8)</f>
        <v>Examining the Suitability of Stream Ciphers for Modbus-TCP Encryption on Resource Constrained Devices</v>
      </c>
      <c r="D108" s="13">
        <v>7</v>
      </c>
      <c r="E108" t="s">
        <v>1398</v>
      </c>
      <c r="I108" t="str">
        <f t="shared" si="5"/>
        <v/>
      </c>
      <c r="N108" t="str">
        <f t="shared" si="6"/>
        <v>Include</v>
      </c>
      <c r="O108" t="s">
        <v>1521</v>
      </c>
    </row>
    <row r="109" spans="1:15">
      <c r="A109">
        <v>107</v>
      </c>
      <c r="B109" t="s">
        <v>1366</v>
      </c>
      <c r="C109" s="12" t="str">
        <f>HYPERLINK(ACM_NEW!$D9, ACM_NEW!$B9)</f>
        <v>HoneyICS: A High-interaction Physics-aware Honeynet for Industrial Control Systems</v>
      </c>
      <c r="D109" s="13">
        <v>10</v>
      </c>
      <c r="E109" t="s">
        <v>1398</v>
      </c>
      <c r="I109" t="str">
        <f t="shared" si="5"/>
        <v/>
      </c>
      <c r="L109" t="s">
        <v>1397</v>
      </c>
      <c r="M109" t="s">
        <v>1397</v>
      </c>
      <c r="N109" t="str">
        <f t="shared" si="6"/>
        <v>Exclude</v>
      </c>
      <c r="O109" t="s">
        <v>2200</v>
      </c>
    </row>
    <row r="110" spans="1:15">
      <c r="A110">
        <v>108</v>
      </c>
      <c r="B110" t="s">
        <v>1366</v>
      </c>
      <c r="C110" s="12" t="str">
        <f>HYPERLINK(ACM_NEW!$D10, ACM_NEW!$B10)</f>
        <v>The PRECINCT Ecosystem Platform for Critical Infrastructure Protection: Architecture, Deployment and Transferability</v>
      </c>
      <c r="D110" s="13">
        <v>8</v>
      </c>
      <c r="E110" t="s">
        <v>1398</v>
      </c>
      <c r="I110" t="str">
        <f t="shared" si="5"/>
        <v/>
      </c>
      <c r="L110" t="s">
        <v>1397</v>
      </c>
      <c r="M110" t="s">
        <v>1397</v>
      </c>
      <c r="N110" t="str">
        <f t="shared" si="6"/>
        <v>Exclude</v>
      </c>
      <c r="O110" t="s">
        <v>2201</v>
      </c>
    </row>
    <row r="111" spans="1:15">
      <c r="A111">
        <v>109</v>
      </c>
      <c r="B111" t="s">
        <v>1366</v>
      </c>
      <c r="C111" s="12" t="str">
        <f>HYPERLINK(ACM_NEW!$D11, ACM_NEW!$B11)</f>
        <v>Controller-in-the-Middle: Attacks on Software Defined Networks in Industrial Control Systems</v>
      </c>
      <c r="D111" s="13">
        <v>6</v>
      </c>
      <c r="E111" t="s">
        <v>1398</v>
      </c>
      <c r="I111" t="str">
        <f t="shared" si="5"/>
        <v/>
      </c>
      <c r="L111" t="s">
        <v>1397</v>
      </c>
      <c r="M111" t="s">
        <v>1397</v>
      </c>
      <c r="N111" t="str">
        <f t="shared" si="6"/>
        <v>Exclude</v>
      </c>
      <c r="O111" t="s">
        <v>2202</v>
      </c>
    </row>
    <row r="112" spans="1:15">
      <c r="A112">
        <v>110</v>
      </c>
      <c r="B112" t="s">
        <v>1366</v>
      </c>
      <c r="C112" s="12" t="str">
        <f>HYPERLINK(ACM_NEW!$D12, ACM_NEW!$B12)</f>
        <v>Identifying key attacks on an IEEE 9-Bus System by leveraging the MITRE ATT&amp;amp;CK ICS Matrix</v>
      </c>
      <c r="D112" s="13">
        <v>8</v>
      </c>
      <c r="E112" t="s">
        <v>1398</v>
      </c>
      <c r="I112" t="str">
        <f t="shared" si="5"/>
        <v/>
      </c>
      <c r="L112" t="s">
        <v>1397</v>
      </c>
      <c r="M112" t="s">
        <v>1397</v>
      </c>
      <c r="N112" t="str">
        <f t="shared" si="6"/>
        <v>Exclude</v>
      </c>
      <c r="O112" t="s">
        <v>2203</v>
      </c>
    </row>
    <row r="113" spans="1:15">
      <c r="A113">
        <v>111</v>
      </c>
      <c r="B113" t="s">
        <v>1366</v>
      </c>
      <c r="C113" s="12" t="str">
        <f>HYPERLINK(ACM_NEW!$D13, ACM_NEW!$B13)</f>
        <v>SoK: A Taxonomy for Contrasting Industrial Control Systems Asset Discovery Tools</v>
      </c>
      <c r="D113" s="13">
        <v>12</v>
      </c>
      <c r="E113" t="s">
        <v>1398</v>
      </c>
      <c r="I113" t="str">
        <f t="shared" si="5"/>
        <v/>
      </c>
      <c r="J113" t="s">
        <v>1397</v>
      </c>
      <c r="M113" t="s">
        <v>1397</v>
      </c>
      <c r="N113" t="str">
        <f t="shared" si="6"/>
        <v>Exclude</v>
      </c>
      <c r="O113" t="s">
        <v>2204</v>
      </c>
    </row>
    <row r="114" spans="1:15">
      <c r="A114">
        <v>112</v>
      </c>
      <c r="B114" t="s">
        <v>1366</v>
      </c>
      <c r="C114" s="12" t="str">
        <f>HYPERLINK(ACM_NEW!$D14, ACM_NEW!$B14)</f>
        <v>"If You Build it, They will Come" - A Blueprint for ICS-focused Capture-The-Flag Competitions</v>
      </c>
      <c r="D114" s="13">
        <v>14</v>
      </c>
      <c r="E114" t="s">
        <v>1398</v>
      </c>
      <c r="I114" t="str">
        <f t="shared" si="5"/>
        <v/>
      </c>
      <c r="L114" t="s">
        <v>1397</v>
      </c>
      <c r="M114" t="s">
        <v>1397</v>
      </c>
      <c r="N114" t="str">
        <f t="shared" si="6"/>
        <v>Exclude</v>
      </c>
      <c r="O114" t="s">
        <v>2205</v>
      </c>
    </row>
    <row r="115" spans="1:15">
      <c r="A115">
        <v>113</v>
      </c>
      <c r="B115" t="s">
        <v>1366</v>
      </c>
      <c r="C115" s="12" t="str">
        <f>HYPERLINK(ACM_NEW!$D15, ACM_NEW!$B15)</f>
        <v>Research on the Secure Transmission Mechanism of Time Series Data in Power Plants</v>
      </c>
      <c r="D115" s="13">
        <v>8</v>
      </c>
      <c r="E115" t="s">
        <v>1398</v>
      </c>
      <c r="I115" t="str">
        <f t="shared" si="5"/>
        <v/>
      </c>
      <c r="L115" t="s">
        <v>1397</v>
      </c>
      <c r="M115" t="s">
        <v>1397</v>
      </c>
      <c r="N115" t="str">
        <f t="shared" si="6"/>
        <v>Exclude</v>
      </c>
      <c r="O115" t="s">
        <v>2206</v>
      </c>
    </row>
    <row r="116" spans="1:15">
      <c r="A116">
        <v>114</v>
      </c>
      <c r="B116" t="s">
        <v>1366</v>
      </c>
      <c r="C116" s="12" t="str">
        <f>HYPERLINK(ACM_NEW!$D16, ACM_NEW!$B16)</f>
        <v>Modelling IoT Application Requirements for Benchmarking IoT Middleware Platforms</v>
      </c>
      <c r="D116" s="13">
        <v>9</v>
      </c>
      <c r="E116" t="s">
        <v>1398</v>
      </c>
      <c r="H116" t="s">
        <v>1397</v>
      </c>
      <c r="I116" t="str">
        <f t="shared" si="5"/>
        <v/>
      </c>
      <c r="L116" t="s">
        <v>1397</v>
      </c>
      <c r="M116" t="s">
        <v>1397</v>
      </c>
      <c r="N116" t="str">
        <f t="shared" si="6"/>
        <v>Exclude</v>
      </c>
      <c r="O116" t="s">
        <v>2207</v>
      </c>
    </row>
    <row r="117" spans="1:15">
      <c r="A117">
        <v>115</v>
      </c>
      <c r="B117" t="s">
        <v>1366</v>
      </c>
      <c r="C117" s="12" t="str">
        <f>HYPERLINK(ACM_NEW!$D17, ACM_NEW!$B17)</f>
        <v>A Forensic I/O Recorder for Industrial Control Systems Using PLCs and OPC UA</v>
      </c>
      <c r="D117" s="13">
        <v>9</v>
      </c>
      <c r="E117" t="s">
        <v>1398</v>
      </c>
      <c r="H117" t="s">
        <v>1397</v>
      </c>
      <c r="I117" t="str">
        <f t="shared" si="5"/>
        <v/>
      </c>
      <c r="N117" t="str">
        <f t="shared" si="6"/>
        <v>Exclude</v>
      </c>
      <c r="O117" t="s">
        <v>2235</v>
      </c>
    </row>
    <row r="118" spans="1:15">
      <c r="A118">
        <v>116</v>
      </c>
      <c r="B118" t="s">
        <v>1366</v>
      </c>
      <c r="C118" s="12" t="str">
        <f>HYPERLINK(ACM_NEW!$D18, ACM_NEW!$B18)</f>
        <v>Employing Digital Twins for Security-by-Design System Testing</v>
      </c>
      <c r="D118" s="13">
        <v>10</v>
      </c>
      <c r="E118" t="s">
        <v>1398</v>
      </c>
      <c r="I118" t="str">
        <f t="shared" si="5"/>
        <v/>
      </c>
      <c r="L118" t="s">
        <v>1397</v>
      </c>
      <c r="M118" t="s">
        <v>1397</v>
      </c>
      <c r="N118" t="str">
        <f t="shared" si="6"/>
        <v>Exclude</v>
      </c>
      <c r="O118" t="s">
        <v>2208</v>
      </c>
    </row>
    <row r="119" spans="1:15">
      <c r="A119">
        <v>117</v>
      </c>
      <c r="B119" t="s">
        <v>1366</v>
      </c>
      <c r="C119" s="12" t="str">
        <f>HYPERLINK(ACM_NEW!$D19, ACM_NEW!$B19)</f>
        <v>Exploration and practice of industrial control system information security incident emergency exercise</v>
      </c>
      <c r="D119" s="13">
        <v>7</v>
      </c>
      <c r="E119" t="s">
        <v>1398</v>
      </c>
      <c r="I119" t="str">
        <f t="shared" si="5"/>
        <v/>
      </c>
      <c r="L119" t="s">
        <v>1397</v>
      </c>
      <c r="M119" t="s">
        <v>1397</v>
      </c>
      <c r="N119" t="str">
        <f t="shared" si="6"/>
        <v>Exclude</v>
      </c>
      <c r="O119" t="s">
        <v>2209</v>
      </c>
    </row>
    <row r="120" spans="1:15">
      <c r="A120">
        <v>118</v>
      </c>
      <c r="B120" t="s">
        <v>1366</v>
      </c>
      <c r="C120" s="12" t="str">
        <f>HYPERLINK(ACM_NEW!$D20, ACM_NEW!$B20)</f>
        <v>QPUF 3.0: Sustainable Cybersecurity of Smart Grid through Security-By-Design based on Quantum-PUF and Quantum Key Distribution</v>
      </c>
      <c r="D120" s="13">
        <v>6</v>
      </c>
      <c r="E120" t="s">
        <v>1398</v>
      </c>
      <c r="I120" t="str">
        <f t="shared" si="5"/>
        <v/>
      </c>
      <c r="L120" t="s">
        <v>1397</v>
      </c>
      <c r="M120" t="s">
        <v>1397</v>
      </c>
      <c r="N120" t="str">
        <f t="shared" si="6"/>
        <v>Exclude</v>
      </c>
      <c r="O120" t="s">
        <v>2210</v>
      </c>
    </row>
    <row r="121" spans="1:15">
      <c r="A121">
        <v>119</v>
      </c>
      <c r="B121" t="s">
        <v>1366</v>
      </c>
      <c r="C121" s="12" t="str">
        <f>HYPERLINK(ACM_NEW!$D21, ACM_NEW!$B21)</f>
        <v>Comparative Analysis and Implementation of HTTP3, MQTT, and CoAP for IoT Applications</v>
      </c>
      <c r="D121" s="13">
        <v>6</v>
      </c>
      <c r="E121" t="s">
        <v>1398</v>
      </c>
      <c r="H121" t="s">
        <v>1397</v>
      </c>
      <c r="I121" t="str">
        <f t="shared" si="5"/>
        <v/>
      </c>
      <c r="M121" t="s">
        <v>1397</v>
      </c>
      <c r="N121" t="str">
        <f t="shared" si="6"/>
        <v>Exclude</v>
      </c>
      <c r="O121" t="s">
        <v>2211</v>
      </c>
    </row>
    <row r="122" spans="1:15">
      <c r="A122">
        <v>120</v>
      </c>
      <c r="B122" t="s">
        <v>1366</v>
      </c>
      <c r="C122" s="12" t="str">
        <f>HYPERLINK(ACM_NEW!$D22, ACM_NEW!$B22)</f>
        <v>D&amp;amp;R of Digital Twin-based Intelligent Control Practical Training System</v>
      </c>
      <c r="D122" s="13">
        <v>7</v>
      </c>
      <c r="E122" t="s">
        <v>1398</v>
      </c>
      <c r="I122" t="str">
        <f t="shared" si="5"/>
        <v/>
      </c>
      <c r="L122" t="s">
        <v>1397</v>
      </c>
      <c r="M122" t="s">
        <v>1397</v>
      </c>
      <c r="N122" t="str">
        <f t="shared" si="6"/>
        <v>Exclude</v>
      </c>
      <c r="O122" t="s">
        <v>2212</v>
      </c>
    </row>
    <row r="123" spans="1:15">
      <c r="A123">
        <v>121</v>
      </c>
      <c r="B123" t="s">
        <v>1366</v>
      </c>
      <c r="C123" s="12" t="str">
        <f>HYPERLINK(ACM_NEW!$D23, ACM_NEW!$B23)</f>
        <v>A Model-based Approach for Assessing the Security of Cyber-Physical Systems</v>
      </c>
      <c r="D123" s="13">
        <v>10</v>
      </c>
      <c r="E123" t="s">
        <v>1398</v>
      </c>
      <c r="I123" t="str">
        <f t="shared" si="5"/>
        <v/>
      </c>
      <c r="L123" t="s">
        <v>1397</v>
      </c>
      <c r="M123" t="s">
        <v>1397</v>
      </c>
      <c r="N123" t="str">
        <f t="shared" si="6"/>
        <v>Exclude</v>
      </c>
      <c r="O123" t="s">
        <v>1474</v>
      </c>
    </row>
    <row r="124" spans="1:15">
      <c r="A124">
        <v>122</v>
      </c>
      <c r="B124" t="s">
        <v>1366</v>
      </c>
      <c r="C124" s="12" t="str">
        <f>HYPERLINK(ACM_NEW!$D24, ACM_NEW!$B24)</f>
        <v>A Survey of Protocol Fuzzing</v>
      </c>
      <c r="D124" s="13">
        <v>36</v>
      </c>
      <c r="E124" t="s">
        <v>1398</v>
      </c>
      <c r="I124" t="str">
        <f t="shared" si="5"/>
        <v/>
      </c>
      <c r="J124" t="s">
        <v>1397</v>
      </c>
      <c r="N124" t="str">
        <f t="shared" si="6"/>
        <v>Exclude</v>
      </c>
      <c r="O124" t="s">
        <v>1402</v>
      </c>
    </row>
    <row r="125" spans="1:15">
      <c r="A125">
        <v>123</v>
      </c>
      <c r="B125" t="s">
        <v>1366</v>
      </c>
      <c r="C125" s="12" t="str">
        <f>HYPERLINK(ACM_NEW!$D25, ACM_NEW!$B25)</f>
        <v>Enabling Industry 4.0 Communication Protocol Interoperability: An OPC UA Case Study</v>
      </c>
      <c r="D125" s="13">
        <v>9</v>
      </c>
      <c r="E125" t="s">
        <v>1398</v>
      </c>
      <c r="I125" t="str">
        <f t="shared" si="5"/>
        <v/>
      </c>
      <c r="N125" t="str">
        <f t="shared" si="6"/>
        <v>Include</v>
      </c>
      <c r="O125" t="s">
        <v>2236</v>
      </c>
    </row>
    <row r="126" spans="1:15">
      <c r="A126">
        <v>124</v>
      </c>
      <c r="B126" t="s">
        <v>1366</v>
      </c>
      <c r="C126" s="12" t="str">
        <f>HYPERLINK(ACM_NEW!$D26, ACM_NEW!$B26)</f>
        <v>Using Machine Learning to detect abnormalities on Modbus/TCP Networks</v>
      </c>
      <c r="D126" s="13">
        <v>6</v>
      </c>
      <c r="E126" t="s">
        <v>1398</v>
      </c>
      <c r="I126" t="str">
        <f t="shared" si="5"/>
        <v/>
      </c>
      <c r="L126" t="s">
        <v>1397</v>
      </c>
      <c r="M126" t="s">
        <v>1397</v>
      </c>
      <c r="N126" t="str">
        <f t="shared" si="6"/>
        <v>Exclude</v>
      </c>
      <c r="O126" t="s">
        <v>2213</v>
      </c>
    </row>
    <row r="127" spans="1:15">
      <c r="A127">
        <v>125</v>
      </c>
      <c r="B127" t="s">
        <v>1366</v>
      </c>
      <c r="C127" s="12" t="str">
        <f>HYPERLINK(ACM_NEW!$D27, ACM_NEW!$B27)</f>
        <v>A Medium-Interaction Emulation and Monitoring System for Operational Technology</v>
      </c>
      <c r="D127" s="34">
        <v>7</v>
      </c>
      <c r="E127" t="s">
        <v>1398</v>
      </c>
      <c r="H127" t="s">
        <v>1397</v>
      </c>
      <c r="I127" t="str">
        <f t="shared" si="5"/>
        <v/>
      </c>
      <c r="N127" t="str">
        <f t="shared" si="6"/>
        <v>Exclude</v>
      </c>
      <c r="O127" t="s">
        <v>2237</v>
      </c>
    </row>
    <row r="128" spans="1:15">
      <c r="A128">
        <v>126</v>
      </c>
      <c r="B128" t="s">
        <v>1366</v>
      </c>
      <c r="C128" s="12" t="str">
        <f>HYPERLINK(ACM_NEW!$D28, ACM_NEW!$B28)</f>
        <v>vBump: Securing Ethernet-based Industrial Control System Networks with VLAN-based Traffic Aggregation</v>
      </c>
      <c r="D128" s="34">
        <v>12</v>
      </c>
      <c r="E128" t="s">
        <v>1398</v>
      </c>
      <c r="I128" t="str">
        <f t="shared" si="5"/>
        <v/>
      </c>
      <c r="L128" t="s">
        <v>1397</v>
      </c>
      <c r="M128" t="s">
        <v>1397</v>
      </c>
      <c r="N128" t="str">
        <f t="shared" si="6"/>
        <v>Exclude</v>
      </c>
      <c r="O128" t="s">
        <v>2214</v>
      </c>
    </row>
    <row r="129" spans="1:15">
      <c r="A129">
        <v>127</v>
      </c>
      <c r="B129" t="s">
        <v>1366</v>
      </c>
      <c r="C129" s="12" t="str">
        <f>HYPERLINK(ACM_NEW!$D29, ACM_NEW!$B29)</f>
        <v>BayesImposter: Bayesian Estimation Based.bss Imposter Attack on Industrial Control Systems</v>
      </c>
      <c r="D129" s="34">
        <v>15</v>
      </c>
      <c r="E129" t="s">
        <v>1398</v>
      </c>
      <c r="I129" t="str">
        <f t="shared" si="5"/>
        <v/>
      </c>
      <c r="L129" t="s">
        <v>1397</v>
      </c>
      <c r="M129" t="s">
        <v>1397</v>
      </c>
      <c r="N129" t="str">
        <f t="shared" si="6"/>
        <v>Exclude</v>
      </c>
      <c r="O129" t="s">
        <v>2215</v>
      </c>
    </row>
    <row r="130" spans="1:15">
      <c r="A130">
        <v>128</v>
      </c>
      <c r="B130" t="s">
        <v>1366</v>
      </c>
      <c r="C130" s="12" t="str">
        <f>HYPERLINK(ACM_NEW!$D30, ACM_NEW!$B30)</f>
        <v>ICS3Fuzzer: A Framework for Discovering Protocol Implementation Bugs in ICS Supervisory Software by Fuzzing</v>
      </c>
      <c r="D130" s="34">
        <v>12</v>
      </c>
      <c r="E130" t="s">
        <v>1398</v>
      </c>
      <c r="I130" t="str">
        <f t="shared" si="5"/>
        <v/>
      </c>
      <c r="L130" t="s">
        <v>1397</v>
      </c>
      <c r="N130" t="str">
        <f t="shared" si="6"/>
        <v>Exclude</v>
      </c>
      <c r="O130" t="s">
        <v>1482</v>
      </c>
    </row>
    <row r="131" spans="1:15">
      <c r="A131">
        <v>129</v>
      </c>
      <c r="B131" t="s">
        <v>1366</v>
      </c>
      <c r="C131" s="12" t="str">
        <f>HYPERLINK(ACM_NEW!$D31, ACM_NEW!$B31)</f>
        <v>Adaptability of Microservices Architecture in IoT Systems : A Comprehensive Review</v>
      </c>
      <c r="D131" s="34">
        <v>9</v>
      </c>
      <c r="E131" t="s">
        <v>1398</v>
      </c>
      <c r="I131" t="str">
        <f t="shared" ref="I131:I162" si="7">IF(AND(D131&gt;=1, D131&lt;=4), "X", "")</f>
        <v/>
      </c>
      <c r="J131" t="s">
        <v>1397</v>
      </c>
      <c r="M131" t="s">
        <v>1397</v>
      </c>
      <c r="N131" t="str">
        <f t="shared" ref="N131:N162" si="8">IF(COUNTIF(F131:M131,"X")&gt;0,"Exclude",IF(UPPER(TRIM(E131))="O","Include",""))</f>
        <v>Exclude</v>
      </c>
      <c r="O131" t="s">
        <v>2216</v>
      </c>
    </row>
    <row r="132" spans="1:15">
      <c r="A132">
        <v>130</v>
      </c>
      <c r="B132" t="s">
        <v>1366</v>
      </c>
      <c r="C132" s="12" t="str">
        <f>HYPERLINK(ACM_NEW!$D32, ACM_NEW!$B32)</f>
        <v>BEANet: An Energy-efficient BLE Solution for High-capacity Equipment Area Network</v>
      </c>
      <c r="D132" s="34">
        <v>23</v>
      </c>
      <c r="E132" t="s">
        <v>1398</v>
      </c>
      <c r="I132" t="str">
        <f t="shared" si="7"/>
        <v/>
      </c>
      <c r="L132" t="s">
        <v>1397</v>
      </c>
      <c r="M132" t="s">
        <v>1397</v>
      </c>
      <c r="N132" t="str">
        <f t="shared" si="8"/>
        <v>Exclude</v>
      </c>
      <c r="O132" t="s">
        <v>1471</v>
      </c>
    </row>
    <row r="133" spans="1:15">
      <c r="A133">
        <v>131</v>
      </c>
      <c r="B133" t="s">
        <v>1366</v>
      </c>
      <c r="C133" s="12" t="str">
        <f>HYPERLINK(ACM_NEW!$D33, ACM_NEW!$B33)</f>
        <v>Old MacDonald had a smart farm: Building a testbed to study cybersecurity in smart dairy farming</v>
      </c>
      <c r="D133">
        <v>9</v>
      </c>
      <c r="E133" t="s">
        <v>1398</v>
      </c>
      <c r="H133" t="s">
        <v>1397</v>
      </c>
      <c r="I133" t="str">
        <f t="shared" si="7"/>
        <v/>
      </c>
      <c r="M133" t="s">
        <v>1397</v>
      </c>
      <c r="N133" t="str">
        <f t="shared" si="8"/>
        <v>Exclude</v>
      </c>
      <c r="O133" t="s">
        <v>2217</v>
      </c>
    </row>
    <row r="134" spans="1:15">
      <c r="A134">
        <v>132</v>
      </c>
      <c r="B134" t="s">
        <v>1366</v>
      </c>
      <c r="C134" s="12" t="str">
        <f>HYPERLINK(ACM_NEW!$D34, ACM_NEW!$B34)</f>
        <v>From Playground to Battleground: Cyber Range Training for Industrial Cybersecurity Education</v>
      </c>
      <c r="D134">
        <v>6</v>
      </c>
      <c r="E134" t="s">
        <v>1398</v>
      </c>
      <c r="I134" t="str">
        <f t="shared" si="7"/>
        <v/>
      </c>
      <c r="L134" t="s">
        <v>1397</v>
      </c>
      <c r="M134" t="s">
        <v>1397</v>
      </c>
      <c r="N134" t="str">
        <f t="shared" si="8"/>
        <v>Exclude</v>
      </c>
      <c r="O134" t="s">
        <v>2218</v>
      </c>
    </row>
    <row r="135" spans="1:15">
      <c r="A135">
        <v>133</v>
      </c>
      <c r="B135" t="s">
        <v>1366</v>
      </c>
      <c r="C135" s="12" t="str">
        <f>HYPERLINK(ACM_NEW!$D35, ACM_NEW!$B35)</f>
        <v>Design and Implementation of Hardware and Peripheral System for IoT Gateway</v>
      </c>
      <c r="D135" s="33">
        <v>7</v>
      </c>
      <c r="E135" t="s">
        <v>1398</v>
      </c>
      <c r="H135" t="s">
        <v>1397</v>
      </c>
      <c r="I135" t="str">
        <f t="shared" si="7"/>
        <v/>
      </c>
      <c r="L135" t="s">
        <v>1397</v>
      </c>
      <c r="M135" t="s">
        <v>1397</v>
      </c>
      <c r="N135" t="str">
        <f t="shared" si="8"/>
        <v>Exclude</v>
      </c>
      <c r="O135" t="s">
        <v>2219</v>
      </c>
    </row>
    <row r="136" spans="1:15">
      <c r="A136">
        <v>134</v>
      </c>
      <c r="B136" t="s">
        <v>1366</v>
      </c>
      <c r="C136" s="12" t="str">
        <f>HYPERLINK(ACM_NEW!$D36, ACM_NEW!$B36)</f>
        <v>A Digital Twin Architecture for the Provisioning, Management, and Monitoring of Heterogenous IoT Devices</v>
      </c>
      <c r="D136" s="33">
        <v>11</v>
      </c>
      <c r="E136" t="s">
        <v>1398</v>
      </c>
      <c r="I136" t="str">
        <f t="shared" si="7"/>
        <v/>
      </c>
      <c r="L136" t="s">
        <v>1397</v>
      </c>
      <c r="M136" t="s">
        <v>1397</v>
      </c>
      <c r="N136" t="str">
        <f t="shared" si="8"/>
        <v>Exclude</v>
      </c>
      <c r="O136" t="s">
        <v>2220</v>
      </c>
    </row>
    <row r="137" spans="1:15">
      <c r="A137">
        <v>135</v>
      </c>
      <c r="B137" t="s">
        <v>1366</v>
      </c>
      <c r="C137" s="12" t="str">
        <f>HYPERLINK(ACM_NEW!$D37, ACM_NEW!$B37)</f>
        <v>A Time-Sensitive Network Traffic Scheduling Method Under Critical Time-Triggered Stream Constraints</v>
      </c>
      <c r="D137" s="33">
        <v>9</v>
      </c>
      <c r="E137" t="s">
        <v>1398</v>
      </c>
      <c r="I137" t="str">
        <f t="shared" si="7"/>
        <v/>
      </c>
      <c r="L137" t="s">
        <v>1397</v>
      </c>
      <c r="M137" t="s">
        <v>1397</v>
      </c>
      <c r="N137" t="str">
        <f t="shared" si="8"/>
        <v>Exclude</v>
      </c>
      <c r="O137" t="s">
        <v>2221</v>
      </c>
    </row>
    <row r="138" spans="1:15">
      <c r="A138">
        <v>136</v>
      </c>
      <c r="B138" t="s">
        <v>1366</v>
      </c>
      <c r="C138" s="12" t="str">
        <f>HYPERLINK(ACM_NEW!$D38, ACM_NEW!$B38)</f>
        <v>Model-Driven approach to Cyber Risk Analysis in Industry 4.0</v>
      </c>
      <c r="D138" s="33">
        <v>7</v>
      </c>
      <c r="E138" t="s">
        <v>1398</v>
      </c>
      <c r="I138" t="str">
        <f t="shared" si="7"/>
        <v/>
      </c>
      <c r="L138" t="s">
        <v>1397</v>
      </c>
      <c r="M138" t="s">
        <v>1397</v>
      </c>
      <c r="N138" t="str">
        <f t="shared" si="8"/>
        <v>Exclude</v>
      </c>
      <c r="O138" t="s">
        <v>2222</v>
      </c>
    </row>
    <row r="139" spans="1:15">
      <c r="A139">
        <v>137</v>
      </c>
      <c r="B139" t="s">
        <v>1366</v>
      </c>
      <c r="C139" s="12" t="str">
        <f>HYPERLINK(ACM_NEW!$D39, ACM_NEW!$B39)</f>
        <v>Research on the realization of distance education practical training courses based on digital twin technology</v>
      </c>
      <c r="D139" s="33">
        <v>7</v>
      </c>
      <c r="E139" t="s">
        <v>1398</v>
      </c>
      <c r="I139" t="str">
        <f t="shared" si="7"/>
        <v/>
      </c>
      <c r="L139" t="s">
        <v>1397</v>
      </c>
      <c r="M139" t="s">
        <v>1397</v>
      </c>
      <c r="N139" t="str">
        <f t="shared" si="8"/>
        <v>Exclude</v>
      </c>
      <c r="O139" t="s">
        <v>2223</v>
      </c>
    </row>
    <row r="140" spans="1:15">
      <c r="A140">
        <v>138</v>
      </c>
      <c r="B140" t="s">
        <v>1366</v>
      </c>
      <c r="C140" s="12" t="str">
        <f>HYPERLINK(ACM_NEW!$D40, ACM_NEW!$B40)</f>
        <v>Sentinel: A Robust Intrusion Detection System for IoT Networks Using Kernel-Level System Information</v>
      </c>
      <c r="D140" s="33">
        <v>14</v>
      </c>
      <c r="E140" t="s">
        <v>1398</v>
      </c>
      <c r="H140" t="s">
        <v>1397</v>
      </c>
      <c r="I140" t="str">
        <f t="shared" si="7"/>
        <v/>
      </c>
      <c r="L140" t="s">
        <v>1397</v>
      </c>
      <c r="M140" t="s">
        <v>1397</v>
      </c>
      <c r="N140" t="str">
        <f t="shared" si="8"/>
        <v>Exclude</v>
      </c>
      <c r="O140" t="s">
        <v>2224</v>
      </c>
    </row>
    <row r="141" spans="1:15">
      <c r="A141">
        <v>139</v>
      </c>
      <c r="B141" t="s">
        <v>28</v>
      </c>
      <c r="C141" s="12" t="str">
        <f>HYPERLINK(SCOPUS_NEW!$N2, SCOPUS_NEW!$D2)</f>
        <v>Edge Computing-Enabled Predictive Maintenance System with Multi-Protocol RTU Integration for Industry 4.0 Applications</v>
      </c>
      <c r="D141" s="13">
        <v>8</v>
      </c>
      <c r="E141" t="s">
        <v>1398</v>
      </c>
      <c r="I141" t="str">
        <f t="shared" si="7"/>
        <v/>
      </c>
      <c r="L141" t="s">
        <v>1397</v>
      </c>
      <c r="M141" t="s">
        <v>1397</v>
      </c>
      <c r="N141" t="str">
        <f t="shared" si="8"/>
        <v>Exclude</v>
      </c>
      <c r="O141" t="s">
        <v>1472</v>
      </c>
    </row>
    <row r="142" spans="1:15">
      <c r="A142">
        <v>140</v>
      </c>
      <c r="B142" t="s">
        <v>28</v>
      </c>
      <c r="C142" s="12" t="str">
        <f>HYPERLINK(SCOPUS_NEW!$N3, SCOPUS_NEW!$D3)</f>
        <v>Cyber4OT dataset: Network traces for cyber-security vulnerability evaluation in industrial control systems</v>
      </c>
      <c r="D142" s="13">
        <v>0</v>
      </c>
      <c r="E142" t="s">
        <v>1398</v>
      </c>
      <c r="I142" t="str">
        <f t="shared" si="7"/>
        <v/>
      </c>
      <c r="L142" t="s">
        <v>1397</v>
      </c>
      <c r="N142" t="str">
        <f t="shared" si="8"/>
        <v>Exclude</v>
      </c>
      <c r="O142" t="s">
        <v>1478</v>
      </c>
    </row>
    <row r="143" spans="1:15">
      <c r="A143">
        <v>141</v>
      </c>
      <c r="B143" t="s">
        <v>28</v>
      </c>
      <c r="C143" s="12" t="str">
        <f>HYPERLINK(SCOPUS_NEW!$N4, SCOPUS_NEW!$D4)</f>
        <v>Exponential Backoff and Its Security Implications for Safety-Critical OT Protocols over TCP/IP Networks</v>
      </c>
      <c r="D143" s="13">
        <v>0</v>
      </c>
      <c r="E143" t="s">
        <v>1398</v>
      </c>
      <c r="I143" t="str">
        <f t="shared" si="7"/>
        <v/>
      </c>
      <c r="N143" t="str">
        <f t="shared" si="8"/>
        <v>Include</v>
      </c>
      <c r="O143" t="s">
        <v>1479</v>
      </c>
    </row>
    <row r="144" spans="1:15">
      <c r="A144">
        <v>142</v>
      </c>
      <c r="B144" t="s">
        <v>28</v>
      </c>
      <c r="C144" s="12" t="str">
        <f>HYPERLINK(SCOPUS_NEW!$N5, SCOPUS_NEW!$D5)</f>
        <v>TSCH in Edge IoT: A Comprehensive Survey of Research Challenges</v>
      </c>
      <c r="D144" s="13">
        <v>0</v>
      </c>
      <c r="E144" t="s">
        <v>1398</v>
      </c>
      <c r="I144" t="str">
        <f t="shared" si="7"/>
        <v/>
      </c>
      <c r="J144" t="s">
        <v>1397</v>
      </c>
      <c r="M144" t="s">
        <v>1397</v>
      </c>
      <c r="N144" t="str">
        <f t="shared" si="8"/>
        <v>Exclude</v>
      </c>
      <c r="O144" t="s">
        <v>1402</v>
      </c>
    </row>
    <row r="145" spans="1:15">
      <c r="A145">
        <v>145</v>
      </c>
      <c r="B145" t="s">
        <v>28</v>
      </c>
      <c r="C145" s="12" t="str">
        <f>HYPERLINK(SCOPUS_NEW!$N8, SCOPUS_NEW!$D8)</f>
        <v>Methodology for Assessing Existing Vulnerabilities in Modbus Protocol</v>
      </c>
      <c r="D145" s="13">
        <v>10</v>
      </c>
      <c r="E145" t="s">
        <v>1398</v>
      </c>
      <c r="I145" t="str">
        <f t="shared" si="7"/>
        <v/>
      </c>
      <c r="L145" t="s">
        <v>1397</v>
      </c>
      <c r="N145" t="str">
        <f t="shared" si="8"/>
        <v>Exclude</v>
      </c>
      <c r="O145" t="s">
        <v>5678</v>
      </c>
    </row>
    <row r="146" spans="1:15">
      <c r="A146">
        <v>147</v>
      </c>
      <c r="B146" t="s">
        <v>28</v>
      </c>
      <c r="C146" s="12" t="str">
        <f>HYPERLINK(SCOPUS_NEW!$N10, SCOPUS_NEW!$D10)</f>
        <v>Simulation and modeling of a robust cybersecurity system for next-generation manufacturing execution</v>
      </c>
      <c r="D146" s="13">
        <v>0</v>
      </c>
      <c r="E146" t="s">
        <v>1398</v>
      </c>
      <c r="I146" t="str">
        <f t="shared" si="7"/>
        <v/>
      </c>
      <c r="L146" t="s">
        <v>1397</v>
      </c>
      <c r="M146" t="s">
        <v>1397</v>
      </c>
      <c r="N146" t="str">
        <f t="shared" si="8"/>
        <v>Exclude</v>
      </c>
      <c r="O146" t="s">
        <v>1473</v>
      </c>
    </row>
    <row r="147" spans="1:15">
      <c r="A147">
        <v>148</v>
      </c>
      <c r="B147" t="s">
        <v>28</v>
      </c>
      <c r="C147" s="12" t="str">
        <f>HYPERLINK(SCOPUS_NEW!$N11, SCOPUS_NEW!$D11)</f>
        <v>Securing industrial control systems: Developing a SCADA/IoT test bench and evaluating lightweight cipher performance on hardware simulator</v>
      </c>
      <c r="D147" s="13">
        <v>0</v>
      </c>
      <c r="E147" t="s">
        <v>1398</v>
      </c>
      <c r="I147" t="str">
        <f t="shared" si="7"/>
        <v/>
      </c>
      <c r="L147" t="s">
        <v>1397</v>
      </c>
      <c r="N147" t="str">
        <f t="shared" si="8"/>
        <v>Exclude</v>
      </c>
      <c r="O147" t="s">
        <v>1481</v>
      </c>
    </row>
    <row r="148" spans="1:15">
      <c r="A148">
        <v>149</v>
      </c>
      <c r="B148" t="s">
        <v>28</v>
      </c>
      <c r="C148" s="12" t="str">
        <f>HYPERLINK(SCOPUS_NEW!$N12, SCOPUS_NEW!$D12)</f>
        <v>OPC-UA in interoperability - a performance comparative testing</v>
      </c>
      <c r="D148" s="13">
        <v>5</v>
      </c>
      <c r="E148" t="s">
        <v>1398</v>
      </c>
      <c r="I148" t="str">
        <f t="shared" si="7"/>
        <v/>
      </c>
      <c r="N148" t="str">
        <f t="shared" si="8"/>
        <v>Include</v>
      </c>
      <c r="O148" t="s">
        <v>2238</v>
      </c>
    </row>
    <row r="149" spans="1:15">
      <c r="A149">
        <v>153</v>
      </c>
      <c r="B149" t="s">
        <v>28</v>
      </c>
      <c r="C149" s="12" t="str">
        <f>HYPERLINK(SCOPUS_NEW!$N16, SCOPUS_NEW!$D16)</f>
        <v>SEAG: A novel dynamic security risk assessment method for industrial control systems with consideration of social engineering</v>
      </c>
      <c r="D149" s="13">
        <v>0</v>
      </c>
      <c r="E149" t="s">
        <v>1398</v>
      </c>
      <c r="I149" t="str">
        <f t="shared" si="7"/>
        <v/>
      </c>
      <c r="L149" t="s">
        <v>1397</v>
      </c>
      <c r="M149" t="s">
        <v>1397</v>
      </c>
      <c r="N149" t="str">
        <f t="shared" si="8"/>
        <v>Exclude</v>
      </c>
      <c r="O149" t="s">
        <v>1475</v>
      </c>
    </row>
    <row r="150" spans="1:15">
      <c r="A150">
        <v>154</v>
      </c>
      <c r="B150" t="s">
        <v>28</v>
      </c>
      <c r="C150" s="12" t="str">
        <f>HYPERLINK(SCOPUS_NEW!$N17, SCOPUS_NEW!$D17)</f>
        <v>Secure Sensor Prototype Using Hardware Security Modules and Trusted Execution Environments in a Blockchain Application: Wine Logistic Use Case</v>
      </c>
      <c r="D150" s="13">
        <v>0</v>
      </c>
      <c r="E150" t="s">
        <v>1398</v>
      </c>
      <c r="H150" t="s">
        <v>1397</v>
      </c>
      <c r="I150" t="str">
        <f t="shared" si="7"/>
        <v/>
      </c>
      <c r="L150" t="s">
        <v>1397</v>
      </c>
      <c r="M150" t="s">
        <v>1397</v>
      </c>
      <c r="N150" t="str">
        <f t="shared" si="8"/>
        <v>Exclude</v>
      </c>
      <c r="O150" t="s">
        <v>1476</v>
      </c>
    </row>
    <row r="151" spans="1:15">
      <c r="A151">
        <v>162</v>
      </c>
      <c r="B151" t="s">
        <v>28</v>
      </c>
      <c r="C151" s="12" t="str">
        <f>HYPERLINK(SCOPUS_NEW!$N25, SCOPUS_NEW!$D25)</f>
        <v>A performance analysis of internet of things networking protocols: Evaluating MQTT, CoAP, OPC UA</v>
      </c>
      <c r="D151" s="13">
        <v>0</v>
      </c>
      <c r="E151" t="s">
        <v>1398</v>
      </c>
      <c r="I151" t="str">
        <f t="shared" si="7"/>
        <v/>
      </c>
      <c r="N151" t="str">
        <f t="shared" si="8"/>
        <v>Include</v>
      </c>
      <c r="O151" t="s">
        <v>1483</v>
      </c>
    </row>
    <row r="152" spans="1:15">
      <c r="A152">
        <v>164</v>
      </c>
      <c r="B152" t="s">
        <v>28</v>
      </c>
      <c r="C152" s="12" t="str">
        <f>HYPERLINK(SCOPUS_NEW!$N27, SCOPUS_NEW!$D27)</f>
        <v>Security Transformation Technology for Electricity Metering Communication Protocol; 电能计量用通信规约安全改造技术</v>
      </c>
      <c r="D152" s="13">
        <v>7</v>
      </c>
      <c r="E152" t="s">
        <v>1398</v>
      </c>
      <c r="F152" t="s">
        <v>1397</v>
      </c>
      <c r="G152" t="s">
        <v>1397</v>
      </c>
      <c r="I152" t="str">
        <f t="shared" si="7"/>
        <v/>
      </c>
      <c r="M152" t="s">
        <v>1397</v>
      </c>
      <c r="N152" t="str">
        <f t="shared" si="8"/>
        <v>Exclude</v>
      </c>
      <c r="O152" t="s">
        <v>2239</v>
      </c>
    </row>
    <row r="153" spans="1:15">
      <c r="A153">
        <v>166</v>
      </c>
      <c r="B153" t="s">
        <v>28</v>
      </c>
      <c r="C153" s="12" t="str">
        <f>HYPERLINK(SCOPUS_NEW!$N29, SCOPUS_NEW!$D29)</f>
        <v>SCADA Testbed Implementation, Attacks, and Security Solutions</v>
      </c>
      <c r="D153" s="13">
        <v>19</v>
      </c>
      <c r="E153" t="s">
        <v>1398</v>
      </c>
      <c r="I153" t="str">
        <f t="shared" si="7"/>
        <v/>
      </c>
      <c r="L153" t="s">
        <v>1397</v>
      </c>
      <c r="N153" t="str">
        <f t="shared" si="8"/>
        <v>Exclude</v>
      </c>
      <c r="O153" t="s">
        <v>5679</v>
      </c>
    </row>
    <row r="154" spans="1:15">
      <c r="A154">
        <v>187</v>
      </c>
      <c r="B154" t="s">
        <v>19</v>
      </c>
      <c r="C154" s="12" t="str">
        <f>HYPERLINK(IEEE_NEW!$P102, IEEE_NEW!$A102)</f>
        <v>A Testbed for Evaluating Performance and Cybersecurity Implications of IEC-61850 GOOSE Hardware Implementations</v>
      </c>
      <c r="D154" s="13">
        <f>IEEE_NEW!$AC102</f>
        <v>6</v>
      </c>
      <c r="E154" t="s">
        <v>1398</v>
      </c>
      <c r="I154" t="str">
        <f t="shared" si="7"/>
        <v/>
      </c>
      <c r="N154" t="str">
        <f t="shared" si="8"/>
        <v>Include</v>
      </c>
      <c r="O154" t="s">
        <v>2367</v>
      </c>
    </row>
    <row r="155" spans="1:15">
      <c r="A155">
        <v>188</v>
      </c>
      <c r="B155" t="s">
        <v>19</v>
      </c>
      <c r="C155" s="12" t="str">
        <f>HYPERLINK(IEEE_NEW!$P103, IEEE_NEW!$A103)</f>
        <v>Benchmarking Cloud-Based SCADA System</v>
      </c>
      <c r="D155" s="13">
        <f>IEEE_NEW!$AC103</f>
        <v>8</v>
      </c>
      <c r="E155" t="s">
        <v>1398</v>
      </c>
      <c r="I155" t="str">
        <f t="shared" si="7"/>
        <v/>
      </c>
      <c r="N155" t="str">
        <f t="shared" si="8"/>
        <v>Include</v>
      </c>
      <c r="O155" t="s">
        <v>2373</v>
      </c>
    </row>
    <row r="156" spans="1:15">
      <c r="A156">
        <v>189</v>
      </c>
      <c r="B156" t="s">
        <v>19</v>
      </c>
      <c r="C156" s="12" t="str">
        <f>HYPERLINK(IEEE_NEW!$P104, IEEE_NEW!$A104)</f>
        <v>Implementing a performant security control for Industrial Ethernet</v>
      </c>
      <c r="D156" s="13">
        <f>IEEE_NEW!$AC104</f>
        <v>4</v>
      </c>
      <c r="E156" t="s">
        <v>1398</v>
      </c>
      <c r="I156" t="str">
        <f t="shared" si="7"/>
        <v>X</v>
      </c>
      <c r="M156" t="s">
        <v>1397</v>
      </c>
      <c r="N156" t="str">
        <f t="shared" si="8"/>
        <v>Exclude</v>
      </c>
      <c r="O156" t="s">
        <v>1401</v>
      </c>
    </row>
    <row r="157" spans="1:15">
      <c r="A157">
        <v>190</v>
      </c>
      <c r="B157" t="s">
        <v>19</v>
      </c>
      <c r="C157" s="12" t="str">
        <f>HYPERLINK(IEEE_NEW!$P105, IEEE_NEW!$A105)</f>
        <v>Passive Device Fingerprinting for OT Networks Using Byte Histograms</v>
      </c>
      <c r="D157" s="13">
        <f>IEEE_NEW!$AC105</f>
        <v>6</v>
      </c>
      <c r="E157" t="s">
        <v>1398</v>
      </c>
      <c r="I157" t="str">
        <f t="shared" si="7"/>
        <v/>
      </c>
      <c r="L157" t="s">
        <v>1397</v>
      </c>
      <c r="M157" t="s">
        <v>1397</v>
      </c>
      <c r="N157" t="str">
        <f t="shared" si="8"/>
        <v>Exclude</v>
      </c>
      <c r="O157" t="s">
        <v>2368</v>
      </c>
    </row>
    <row r="158" spans="1:15">
      <c r="A158">
        <v>191</v>
      </c>
      <c r="B158" t="s">
        <v>19</v>
      </c>
      <c r="C158" s="12" t="str">
        <f>HYPERLINK(IEEE_NEW!$P106, IEEE_NEW!$A106)</f>
        <v>Safety and Security: A Field of Tension in Industrial Practice</v>
      </c>
      <c r="D158" s="13">
        <f>IEEE_NEW!$AC106</f>
        <v>7</v>
      </c>
      <c r="E158" t="s">
        <v>1398</v>
      </c>
      <c r="I158" t="str">
        <f t="shared" si="7"/>
        <v/>
      </c>
      <c r="L158" t="s">
        <v>1397</v>
      </c>
      <c r="M158" t="s">
        <v>1397</v>
      </c>
      <c r="N158" t="str">
        <f t="shared" si="8"/>
        <v>Exclude</v>
      </c>
      <c r="O158" t="s">
        <v>2369</v>
      </c>
    </row>
    <row r="159" spans="1:15">
      <c r="A159">
        <v>192</v>
      </c>
      <c r="B159" t="s">
        <v>19</v>
      </c>
      <c r="C159" s="12" t="str">
        <f>HYPERLINK(IEEE_NEW!$P107, IEEE_NEW!$A107)</f>
        <v>The importance of testing Smart Grid IEDs against security vulnerabilities</v>
      </c>
      <c r="D159" s="13">
        <f>IEEE_NEW!$AC107</f>
        <v>21</v>
      </c>
      <c r="E159" t="s">
        <v>1398</v>
      </c>
      <c r="H159" t="s">
        <v>1397</v>
      </c>
      <c r="I159" t="str">
        <f t="shared" si="7"/>
        <v/>
      </c>
      <c r="M159" t="s">
        <v>1397</v>
      </c>
      <c r="N159" t="str">
        <f t="shared" si="8"/>
        <v>Exclude</v>
      </c>
      <c r="O159" t="s">
        <v>2370</v>
      </c>
    </row>
    <row r="160" spans="1:15">
      <c r="A160">
        <v>193</v>
      </c>
      <c r="B160" t="s">
        <v>19</v>
      </c>
      <c r="C160" s="12" t="str">
        <f>HYPERLINK(IEEE_NEW!$P108, IEEE_NEW!$A108)</f>
        <v>Virtual PLC in Industrial Edge Platform: Performance Evaluation of Supervision and Control Communication</v>
      </c>
      <c r="D160" s="13">
        <f>IEEE_NEW!$AC108</f>
        <v>10</v>
      </c>
      <c r="E160" t="s">
        <v>1398</v>
      </c>
      <c r="I160" t="str">
        <f t="shared" si="7"/>
        <v/>
      </c>
      <c r="N160" t="str">
        <f t="shared" si="8"/>
        <v>Include</v>
      </c>
      <c r="O160" t="s">
        <v>2372</v>
      </c>
    </row>
    <row r="161" spans="1:15">
      <c r="A161">
        <v>195</v>
      </c>
      <c r="B161" t="s">
        <v>28</v>
      </c>
      <c r="C161" s="12" t="str">
        <f>HYPERLINK(SCOPUS_NEW!$N33, SCOPUS_NEW!$D33)</f>
        <v>Integrity Enhancing Protocols: Performance and Recommendations for Nuclear Systems</v>
      </c>
      <c r="D161" s="13">
        <f>SCOPUS_NEW!$V33</f>
        <v>10</v>
      </c>
      <c r="E161" t="s">
        <v>1398</v>
      </c>
      <c r="F161" t="s">
        <v>1397</v>
      </c>
      <c r="I161" t="str">
        <f t="shared" si="7"/>
        <v/>
      </c>
      <c r="N161" t="str">
        <f t="shared" si="8"/>
        <v>Exclude</v>
      </c>
      <c r="O161" t="s">
        <v>2377</v>
      </c>
    </row>
    <row r="162" spans="1:15">
      <c r="A162">
        <v>196</v>
      </c>
      <c r="B162" t="s">
        <v>1366</v>
      </c>
      <c r="C162" s="12" t="str">
        <f>HYPERLINK(ACM_NEW!$D41, ACM_NEW!$B41)</f>
        <v>Identification of industrial devices based on payload</v>
      </c>
      <c r="D162" s="13">
        <f>ACM_NEW!$H41</f>
        <v>9</v>
      </c>
      <c r="E162" t="s">
        <v>1398</v>
      </c>
      <c r="I162" t="str">
        <f t="shared" si="7"/>
        <v/>
      </c>
      <c r="L162" t="s">
        <v>1397</v>
      </c>
      <c r="M162" t="s">
        <v>1397</v>
      </c>
      <c r="N162" t="str">
        <f t="shared" si="8"/>
        <v>Exclude</v>
      </c>
      <c r="O162" t="s">
        <v>2371</v>
      </c>
    </row>
  </sheetData>
  <conditionalFormatting sqref="C1">
    <cfRule type="duplicateValues" dxfId="92" priority="582"/>
  </conditionalFormatting>
  <conditionalFormatting sqref="C2:C153">
    <cfRule type="duplicateValues" dxfId="91" priority="4"/>
    <cfRule type="duplicateValues" dxfId="90" priority="5"/>
  </conditionalFormatting>
  <conditionalFormatting sqref="C154:C162">
    <cfRule type="duplicateValues" dxfId="89" priority="1"/>
    <cfRule type="duplicateValues" dxfId="88" priority="2"/>
  </conditionalFormatting>
  <conditionalFormatting sqref="D2:D72 D81:D91 D99:D126 D135:D153">
    <cfRule type="cellIs" dxfId="87" priority="7" operator="equal">
      <formula>0</formula>
    </cfRule>
    <cfRule type="cellIs" dxfId="86" priority="8" operator="between">
      <formula>1</formula>
      <formula>4</formula>
    </cfRule>
  </conditionalFormatting>
  <conditionalFormatting sqref="E2:E162">
    <cfRule type="cellIs" dxfId="85" priority="3" operator="equal">
      <formula>$E$154</formula>
    </cfRule>
  </conditionalFormatting>
  <conditionalFormatting sqref="N2:N162">
    <cfRule type="cellIs" dxfId="84" priority="15" operator="equal">
      <formula>"Exclude"</formula>
    </cfRule>
    <cfRule type="cellIs" dxfId="83" priority="16" operator="equal">
      <formula>"Include"</formula>
    </cfRule>
  </conditionalFormatting>
  <pageMargins left="0.7" right="0.7" top="0.75" bottom="0.75" header="0.3" footer="0.3"/>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5736-168A-4059-AF4F-6D55036B581F}">
  <dimension ref="A1:AB54"/>
  <sheetViews>
    <sheetView tabSelected="1" zoomScaleNormal="85" workbookViewId="0">
      <pane ySplit="1" topLeftCell="A2" activePane="bottomLeft" state="frozen"/>
      <selection activeCell="C1" sqref="C1"/>
      <selection pane="bottomLeft" activeCell="R14" sqref="R14"/>
    </sheetView>
  </sheetViews>
  <sheetFormatPr defaultRowHeight="12.75"/>
  <cols>
    <col min="3" max="3" width="111.28515625" customWidth="1"/>
    <col min="4" max="4" width="18.140625" customWidth="1"/>
    <col min="5" max="5" width="8.7109375" customWidth="1"/>
    <col min="6" max="6" width="5.42578125" customWidth="1"/>
    <col min="7" max="7" width="6.28515625" customWidth="1"/>
    <col min="8" max="8" width="7.140625" customWidth="1"/>
    <col min="9" max="9" width="4.140625" customWidth="1"/>
    <col min="10" max="11" width="4.42578125" customWidth="1"/>
    <col min="14" max="14" width="9.140625" customWidth="1"/>
    <col min="15" max="15" width="5.5703125" customWidth="1"/>
    <col min="16" max="16" width="4.85546875" customWidth="1"/>
    <col min="17" max="17" width="21.28515625" customWidth="1"/>
    <col min="18" max="18" width="9.42578125" customWidth="1"/>
    <col min="19" max="19" width="10.5703125" customWidth="1"/>
    <col min="21" max="21" width="18.42578125" customWidth="1"/>
    <col min="22" max="22" width="9.42578125" customWidth="1"/>
    <col min="25" max="25" width="15.42578125" customWidth="1"/>
  </cols>
  <sheetData>
    <row r="1" spans="1:28">
      <c r="A1" s="2" t="s">
        <v>1</v>
      </c>
      <c r="B1" s="2" t="s">
        <v>18</v>
      </c>
      <c r="C1" s="14" t="s">
        <v>2</v>
      </c>
      <c r="D1" s="2" t="s">
        <v>327</v>
      </c>
      <c r="E1" s="2" t="s">
        <v>1399</v>
      </c>
      <c r="F1" s="2" t="s">
        <v>2244</v>
      </c>
      <c r="G1" s="2" t="s">
        <v>2245</v>
      </c>
      <c r="H1" s="2" t="s">
        <v>2246</v>
      </c>
      <c r="I1" s="2" t="s">
        <v>2247</v>
      </c>
      <c r="J1" s="2" t="s">
        <v>3</v>
      </c>
      <c r="K1" s="2" t="s">
        <v>4</v>
      </c>
      <c r="L1" s="2" t="s">
        <v>328</v>
      </c>
      <c r="M1" s="2" t="s">
        <v>329</v>
      </c>
      <c r="N1" s="2" t="s">
        <v>330</v>
      </c>
      <c r="O1" s="2" t="s">
        <v>331</v>
      </c>
      <c r="P1" s="2" t="s">
        <v>332</v>
      </c>
      <c r="Q1" s="2" t="s">
        <v>325</v>
      </c>
      <c r="R1" s="2" t="s">
        <v>6</v>
      </c>
    </row>
    <row r="2" spans="1:28">
      <c r="A2">
        <v>0</v>
      </c>
      <c r="B2" t="s">
        <v>19</v>
      </c>
      <c r="C2" s="36" t="str">
        <f>HYPERLINK(IEEE_NEW!$P2, IEEE_NEW!$A2)</f>
        <v>Towards a modular security testing framework for industrial automation and control systems: ISuTest</v>
      </c>
      <c r="D2" s="37">
        <v>5</v>
      </c>
      <c r="E2" t="s">
        <v>1398</v>
      </c>
      <c r="F2" t="s">
        <v>1397</v>
      </c>
      <c r="G2" t="s">
        <v>1397</v>
      </c>
      <c r="H2" t="s">
        <v>1397</v>
      </c>
      <c r="I2" t="s">
        <v>1397</v>
      </c>
      <c r="M2" t="str">
        <f t="shared" ref="M2:M26" si="0">IF(AND(D2&gt;=1, D2&lt;=4), "X", "")</f>
        <v/>
      </c>
      <c r="P2" t="s">
        <v>1397</v>
      </c>
      <c r="Q2" t="str">
        <f>IF(OR(COUNTIF(J2:P2,"X")&gt;0,COUNTIF(F2:I2,"X")&lt;&gt;4),"Exclude",IF(UPPER(TRIM(E2))="O","Include",""))</f>
        <v>Exclude</v>
      </c>
      <c r="R2" t="s">
        <v>5699</v>
      </c>
    </row>
    <row r="3" spans="1:28">
      <c r="A3">
        <v>6</v>
      </c>
      <c r="B3" t="s">
        <v>19</v>
      </c>
      <c r="C3" s="36" t="str">
        <f>HYPERLINK(IEEE_NEW!$P8, IEEE_NEW!$A8)</f>
        <v>Performance Evaluation of MQTT and CoAP Communication Protocols in IIoT for Electrical Substations Based on the IEC 61850 Standard</v>
      </c>
      <c r="D3" s="37">
        <v>6</v>
      </c>
      <c r="E3" t="s">
        <v>1398</v>
      </c>
      <c r="F3" t="s">
        <v>1397</v>
      </c>
      <c r="G3" t="s">
        <v>1397</v>
      </c>
      <c r="H3" t="s">
        <v>1397</v>
      </c>
      <c r="I3" t="s">
        <v>1397</v>
      </c>
      <c r="M3" t="str">
        <f t="shared" si="0"/>
        <v/>
      </c>
      <c r="Q3" t="str">
        <f t="shared" ref="Q3:Q26" si="1">IF(COUNTIF(J3:P3,"X")&gt;0,"Exclude",IF(UPPER(TRIM(E3))="O","Include",""))</f>
        <v>Include</v>
      </c>
      <c r="R3" t="s">
        <v>2254</v>
      </c>
      <c r="Z3" s="2" t="s">
        <v>1522</v>
      </c>
      <c r="AA3" t="s">
        <v>1406</v>
      </c>
      <c r="AB3" t="s">
        <v>1407</v>
      </c>
    </row>
    <row r="4" spans="1:28">
      <c r="A4">
        <v>9</v>
      </c>
      <c r="B4" t="s">
        <v>19</v>
      </c>
      <c r="C4" s="36" t="str">
        <f>HYPERLINK(IEEE_NEW!$P11, IEEE_NEW!$A11)</f>
        <v>Developing a Security Testbed for Industrial Internet of Things</v>
      </c>
      <c r="D4" s="37">
        <v>16</v>
      </c>
      <c r="E4" t="s">
        <v>1398</v>
      </c>
      <c r="F4" t="s">
        <v>1397</v>
      </c>
      <c r="G4" t="s">
        <v>1397</v>
      </c>
      <c r="H4" t="s">
        <v>1397</v>
      </c>
      <c r="I4" t="s">
        <v>1397</v>
      </c>
      <c r="M4" t="str">
        <f t="shared" si="0"/>
        <v/>
      </c>
      <c r="Q4" t="str">
        <f t="shared" si="1"/>
        <v>Include</v>
      </c>
      <c r="R4" t="s">
        <v>2248</v>
      </c>
      <c r="T4" s="2"/>
      <c r="Z4" t="s">
        <v>1403</v>
      </c>
      <c r="AA4" s="1">
        <f>COUNTIF(A2:A25,"&lt;&gt;")</f>
        <v>24</v>
      </c>
    </row>
    <row r="5" spans="1:28">
      <c r="A5">
        <v>11</v>
      </c>
      <c r="B5" t="s">
        <v>19</v>
      </c>
      <c r="C5" s="36" t="str">
        <f>HYPERLINK(IEEE_NEW!$P13, IEEE_NEW!$A13)</f>
        <v>A Comparative Analysis of Application Layer Protocols Within an Industrial Internet of Things Monitoring System</v>
      </c>
      <c r="D5" s="37">
        <v>6</v>
      </c>
      <c r="E5" t="s">
        <v>1398</v>
      </c>
      <c r="F5" t="s">
        <v>1397</v>
      </c>
      <c r="G5" t="s">
        <v>1397</v>
      </c>
      <c r="H5" t="s">
        <v>1397</v>
      </c>
      <c r="I5" t="s">
        <v>1397</v>
      </c>
      <c r="M5" t="str">
        <f t="shared" si="0"/>
        <v/>
      </c>
      <c r="Q5" t="str">
        <f t="shared" si="1"/>
        <v>Include</v>
      </c>
      <c r="R5" t="s">
        <v>2255</v>
      </c>
      <c r="U5" s="1"/>
      <c r="Z5" t="s">
        <v>1404</v>
      </c>
      <c r="AA5">
        <f>COUNTIF(Q2:Q25,"Exclude")</f>
        <v>11</v>
      </c>
      <c r="AB5" s="15">
        <f>(($AA5/$AA4))</f>
        <v>0.45833333333333331</v>
      </c>
    </row>
    <row r="6" spans="1:28">
      <c r="A6">
        <v>16</v>
      </c>
      <c r="B6" t="s">
        <v>19</v>
      </c>
      <c r="C6" s="36" t="str">
        <f>HYPERLINK(IEEE_NEW!$P18, IEEE_NEW!$A18)</f>
        <v>A dual-standard solution for industrial Wireless Sensor Network deployment: Experimental testbed and performance evaluation</v>
      </c>
      <c r="D6" s="38">
        <v>9</v>
      </c>
      <c r="E6" t="s">
        <v>1398</v>
      </c>
      <c r="F6" t="s">
        <v>1397</v>
      </c>
      <c r="G6" t="s">
        <v>1397</v>
      </c>
      <c r="H6" t="s">
        <v>1397</v>
      </c>
      <c r="I6" t="s">
        <v>1397</v>
      </c>
      <c r="M6" t="str">
        <f t="shared" si="0"/>
        <v/>
      </c>
      <c r="Q6" t="str">
        <f t="shared" si="1"/>
        <v>Include</v>
      </c>
      <c r="R6" t="s">
        <v>2241</v>
      </c>
      <c r="V6" s="15"/>
      <c r="Z6" t="s">
        <v>1405</v>
      </c>
      <c r="AA6">
        <f>COUNTIF(Q2:Q25,"Include")</f>
        <v>13</v>
      </c>
      <c r="AB6" s="15">
        <f>(($AA6/$AA4))</f>
        <v>0.54166666666666663</v>
      </c>
    </row>
    <row r="7" spans="1:28">
      <c r="A7">
        <v>17</v>
      </c>
      <c r="B7" t="s">
        <v>19</v>
      </c>
      <c r="C7" s="36" t="str">
        <f>HYPERLINK(IEEE_NEW!$P19, IEEE_NEW!$A19)</f>
        <v>Enhancing Industrial Communication Protocol Fuzz Testing Through Virtualization And Intelligent Guidance</v>
      </c>
      <c r="D7" s="38">
        <v>5</v>
      </c>
      <c r="E7" t="s">
        <v>1398</v>
      </c>
      <c r="F7" t="s">
        <v>1397</v>
      </c>
      <c r="G7" t="s">
        <v>1397</v>
      </c>
      <c r="H7" t="s">
        <v>1397</v>
      </c>
      <c r="I7" t="s">
        <v>1397</v>
      </c>
      <c r="M7" t="str">
        <f t="shared" si="0"/>
        <v/>
      </c>
      <c r="P7" t="s">
        <v>1397</v>
      </c>
      <c r="Q7" t="str">
        <f t="shared" si="1"/>
        <v>Exclude</v>
      </c>
      <c r="R7" t="s">
        <v>5712</v>
      </c>
      <c r="V7" s="15"/>
      <c r="Z7" s="2" t="s">
        <v>1408</v>
      </c>
    </row>
    <row r="8" spans="1:28">
      <c r="A8">
        <v>21</v>
      </c>
      <c r="B8" t="s">
        <v>19</v>
      </c>
      <c r="C8" s="36" t="str">
        <f>HYPERLINK(IEEE_NEW!$P23, IEEE_NEW!$A23)</f>
        <v>A Comparative Study to Evaluate the Performance of Communication Protocols for Process Industry</v>
      </c>
      <c r="D8" s="38">
        <v>8</v>
      </c>
      <c r="E8" t="s">
        <v>1398</v>
      </c>
      <c r="F8" t="s">
        <v>1397</v>
      </c>
      <c r="G8" t="s">
        <v>1397</v>
      </c>
      <c r="H8" t="s">
        <v>1397</v>
      </c>
      <c r="I8" t="s">
        <v>1397</v>
      </c>
      <c r="M8" t="str">
        <f t="shared" si="0"/>
        <v/>
      </c>
      <c r="Q8" t="str">
        <f t="shared" si="1"/>
        <v>Include</v>
      </c>
      <c r="R8" t="s">
        <v>2252</v>
      </c>
      <c r="T8" s="2"/>
      <c r="Z8" t="s">
        <v>3</v>
      </c>
      <c r="AA8">
        <f>COUNTIF(J$2:J$25,"X")</f>
        <v>0</v>
      </c>
      <c r="AB8" s="15">
        <f t="shared" ref="AB8:AB18" si="2">(($AA8/$AA$4))</f>
        <v>0</v>
      </c>
    </row>
    <row r="9" spans="1:28">
      <c r="A9">
        <v>36</v>
      </c>
      <c r="B9" t="s">
        <v>19</v>
      </c>
      <c r="C9" s="36" t="str">
        <f>HYPERLINK(IEEE_NEW!$P38, IEEE_NEW!$A38)</f>
        <v>Security and Effectiveness Analysis of the Gateway Integrity Checking Protocol</v>
      </c>
      <c r="D9" s="38">
        <v>9</v>
      </c>
      <c r="E9" t="s">
        <v>1398</v>
      </c>
      <c r="F9" t="s">
        <v>1397</v>
      </c>
      <c r="I9" t="s">
        <v>1397</v>
      </c>
      <c r="M9" t="str">
        <f t="shared" si="0"/>
        <v/>
      </c>
      <c r="P9" t="s">
        <v>1397</v>
      </c>
      <c r="Q9" t="str">
        <f t="shared" si="1"/>
        <v>Exclude</v>
      </c>
      <c r="R9" t="s">
        <v>2251</v>
      </c>
      <c r="V9" s="15"/>
      <c r="Z9" t="s">
        <v>4</v>
      </c>
      <c r="AA9">
        <f>COUNTIF(K$2:K$25,"X")</f>
        <v>0</v>
      </c>
      <c r="AB9" s="15">
        <f t="shared" si="2"/>
        <v>0</v>
      </c>
    </row>
    <row r="10" spans="1:28">
      <c r="A10">
        <v>40</v>
      </c>
      <c r="B10" t="s">
        <v>19</v>
      </c>
      <c r="C10" s="36" t="str">
        <f>HYPERLINK(IEEE_NEW!$P42, IEEE_NEW!$A42)</f>
        <v>Towards Performance Benchmarking of Cyclic OPC UA PubSub over TSN</v>
      </c>
      <c r="D10" s="38">
        <v>8</v>
      </c>
      <c r="E10" t="s">
        <v>1398</v>
      </c>
      <c r="F10" t="s">
        <v>1397</v>
      </c>
      <c r="G10" t="s">
        <v>1397</v>
      </c>
      <c r="H10" t="s">
        <v>1397</v>
      </c>
      <c r="I10" t="s">
        <v>1397</v>
      </c>
      <c r="M10" t="str">
        <f t="shared" si="0"/>
        <v/>
      </c>
      <c r="Q10" t="str">
        <f t="shared" si="1"/>
        <v>Include</v>
      </c>
      <c r="R10" t="s">
        <v>2253</v>
      </c>
      <c r="V10" s="15"/>
      <c r="Z10" t="s">
        <v>328</v>
      </c>
      <c r="AA10">
        <f>COUNTIF(L$2:L$25,"X")</f>
        <v>0</v>
      </c>
      <c r="AB10" s="15">
        <f t="shared" si="2"/>
        <v>0</v>
      </c>
    </row>
    <row r="11" spans="1:28">
      <c r="A11">
        <v>57</v>
      </c>
      <c r="B11" t="s">
        <v>19</v>
      </c>
      <c r="C11" s="36" t="str">
        <f>HYPERLINK(IEEE_NEW!$P59, IEEE_NEW!$A59)</f>
        <v>End-to-End Delay Evaluation of Industrial Automation Systems Based on EtherCAT</v>
      </c>
      <c r="D11" s="38">
        <v>8</v>
      </c>
      <c r="E11" t="s">
        <v>1398</v>
      </c>
      <c r="F11" t="s">
        <v>1397</v>
      </c>
      <c r="G11" t="s">
        <v>1397</v>
      </c>
      <c r="H11" t="s">
        <v>1397</v>
      </c>
      <c r="I11" t="s">
        <v>1397</v>
      </c>
      <c r="M11" t="str">
        <f t="shared" si="0"/>
        <v/>
      </c>
      <c r="Q11" t="str">
        <f t="shared" si="1"/>
        <v>Include</v>
      </c>
      <c r="R11" t="s">
        <v>2240</v>
      </c>
      <c r="V11" s="15"/>
      <c r="Z11" t="s">
        <v>329</v>
      </c>
      <c r="AA11">
        <f>COUNTIF(M$2:M$25,"X")</f>
        <v>0</v>
      </c>
      <c r="AB11" s="15">
        <f t="shared" si="2"/>
        <v>0</v>
      </c>
    </row>
    <row r="12" spans="1:28">
      <c r="A12">
        <v>78</v>
      </c>
      <c r="B12" t="s">
        <v>19</v>
      </c>
      <c r="C12" s="36" t="str">
        <f>HYPERLINK(IEEE_NEW!$P80, IEEE_NEW!$A80)</f>
        <v>SenseFuzz: Black-box Fuzzing of ICS Protocols via Runtime Statistics Sensing</v>
      </c>
      <c r="D12" s="33">
        <v>6</v>
      </c>
      <c r="E12" t="s">
        <v>1398</v>
      </c>
      <c r="F12" t="s">
        <v>1397</v>
      </c>
      <c r="G12" t="s">
        <v>1397</v>
      </c>
      <c r="H12" t="s">
        <v>1397</v>
      </c>
      <c r="I12" t="s">
        <v>1397</v>
      </c>
      <c r="M12" t="str">
        <f t="shared" si="0"/>
        <v/>
      </c>
      <c r="P12" t="s">
        <v>1397</v>
      </c>
      <c r="Q12" t="str">
        <f t="shared" si="1"/>
        <v>Exclude</v>
      </c>
      <c r="R12" t="s">
        <v>5713</v>
      </c>
      <c r="V12" s="15"/>
      <c r="Z12" t="s">
        <v>330</v>
      </c>
      <c r="AA12">
        <f>COUNTIF(N$2:N$25,"X")</f>
        <v>0</v>
      </c>
      <c r="AB12" s="15">
        <f t="shared" si="2"/>
        <v>0</v>
      </c>
    </row>
    <row r="13" spans="1:28">
      <c r="A13">
        <v>82</v>
      </c>
      <c r="B13" t="s">
        <v>19</v>
      </c>
      <c r="C13" s="36" t="str">
        <f>HYPERLINK(IEEE_NEW!$P84, IEEE_NEW!$A84)</f>
        <v>Experimenting With Digital Signatures Over a DNP3 Protocol in a Multitenant Cloud-Based SCADA Architecture</v>
      </c>
      <c r="D13" s="38">
        <v>20</v>
      </c>
      <c r="E13" t="s">
        <v>1398</v>
      </c>
      <c r="F13" t="s">
        <v>1397</v>
      </c>
      <c r="G13" t="s">
        <v>1397</v>
      </c>
      <c r="I13" t="s">
        <v>1397</v>
      </c>
      <c r="M13" t="str">
        <f t="shared" si="0"/>
        <v/>
      </c>
      <c r="P13" t="s">
        <v>1397</v>
      </c>
      <c r="Q13" t="str">
        <f t="shared" si="1"/>
        <v>Exclude</v>
      </c>
      <c r="R13" t="s">
        <v>2243</v>
      </c>
      <c r="V13" s="15"/>
      <c r="Z13" t="s">
        <v>331</v>
      </c>
      <c r="AA13">
        <f>COUNTIF(O$2:O$25,"X")</f>
        <v>0</v>
      </c>
      <c r="AB13" s="15">
        <f t="shared" si="2"/>
        <v>0</v>
      </c>
    </row>
    <row r="14" spans="1:28">
      <c r="A14">
        <v>84</v>
      </c>
      <c r="B14" t="s">
        <v>19</v>
      </c>
      <c r="C14" s="36" t="str">
        <f>HYPERLINK(IEEE_NEW!$P86, IEEE_NEW!$A86)</f>
        <v>Time Synchronization Extension for the IO-Link Industrial Communication Protocol</v>
      </c>
      <c r="D14" s="38">
        <v>6</v>
      </c>
      <c r="E14" t="s">
        <v>1398</v>
      </c>
      <c r="F14" t="s">
        <v>1397</v>
      </c>
      <c r="G14" t="s">
        <v>1397</v>
      </c>
      <c r="I14" t="s">
        <v>1397</v>
      </c>
      <c r="M14" t="str">
        <f t="shared" si="0"/>
        <v/>
      </c>
      <c r="P14" t="s">
        <v>1397</v>
      </c>
      <c r="Q14" t="str">
        <f t="shared" si="1"/>
        <v>Exclude</v>
      </c>
      <c r="R14" t="s">
        <v>2256</v>
      </c>
      <c r="V14" s="15"/>
      <c r="Z14" t="s">
        <v>332</v>
      </c>
      <c r="AA14">
        <f>COUNTIF(P$2:P$25,"X")</f>
        <v>11</v>
      </c>
      <c r="AB14" s="15">
        <f t="shared" si="2"/>
        <v>0.45833333333333331</v>
      </c>
    </row>
    <row r="15" spans="1:28">
      <c r="A15">
        <v>86</v>
      </c>
      <c r="B15" t="s">
        <v>19</v>
      </c>
      <c r="C15" s="36" t="str">
        <f>HYPERLINK(IEEE_NEW!$P88, IEEE_NEW!$A88)</f>
        <v>Priority-Aware Wireless Fieldbus Protocol for Mixed-Criticality Industrial Wireless Sensor Networks</v>
      </c>
      <c r="D15" s="38">
        <v>14</v>
      </c>
      <c r="E15" t="s">
        <v>1398</v>
      </c>
      <c r="F15" t="s">
        <v>1397</v>
      </c>
      <c r="G15" t="s">
        <v>1397</v>
      </c>
      <c r="H15" t="s">
        <v>1397</v>
      </c>
      <c r="I15" t="s">
        <v>1397</v>
      </c>
      <c r="M15" t="str">
        <f t="shared" si="0"/>
        <v/>
      </c>
      <c r="P15" t="s">
        <v>1397</v>
      </c>
      <c r="Q15" t="str">
        <f t="shared" si="1"/>
        <v>Exclude</v>
      </c>
      <c r="R15" t="s">
        <v>2242</v>
      </c>
      <c r="V15" s="15"/>
      <c r="Z15" t="s">
        <v>2244</v>
      </c>
      <c r="AA15">
        <f>COUNTIF(F$2:F$25,"&lt;&gt;X")</f>
        <v>0</v>
      </c>
      <c r="AB15" s="15">
        <f t="shared" si="2"/>
        <v>0</v>
      </c>
    </row>
    <row r="16" spans="1:28">
      <c r="A16">
        <v>101</v>
      </c>
      <c r="B16" t="s">
        <v>1366</v>
      </c>
      <c r="C16" s="36" t="str">
        <f>HYPERLINK(ACM_NEW!$D3, ACM_NEW!$B3)</f>
        <v>RTPL: A Real-Time Communication Protocol for LoRa Network</v>
      </c>
      <c r="D16" s="38">
        <v>31</v>
      </c>
      <c r="E16" t="s">
        <v>1398</v>
      </c>
      <c r="F16" t="s">
        <v>1397</v>
      </c>
      <c r="G16" t="s">
        <v>1397</v>
      </c>
      <c r="H16" t="s">
        <v>1397</v>
      </c>
      <c r="I16" t="s">
        <v>1397</v>
      </c>
      <c r="M16" t="str">
        <f t="shared" si="0"/>
        <v/>
      </c>
      <c r="P16" t="s">
        <v>1397</v>
      </c>
      <c r="Q16" t="str">
        <f t="shared" si="1"/>
        <v>Exclude</v>
      </c>
      <c r="R16" t="s">
        <v>2260</v>
      </c>
      <c r="V16" s="30"/>
      <c r="Z16" t="s">
        <v>2245</v>
      </c>
      <c r="AA16">
        <f>COUNTIF(G$2:G$25,"&lt;&gt;X")</f>
        <v>1</v>
      </c>
      <c r="AB16" s="15">
        <f t="shared" si="2"/>
        <v>4.1666666666666664E-2</v>
      </c>
    </row>
    <row r="17" spans="1:28">
      <c r="A17">
        <v>102</v>
      </c>
      <c r="B17" t="s">
        <v>1366</v>
      </c>
      <c r="C17" s="36" t="str">
        <f>HYPERLINK(ACM_NEW!$D4, ACM_NEW!$B4)</f>
        <v>EmuFlex: A Flexible OT Testbed for Security Experiments with OPC UA</v>
      </c>
      <c r="D17" s="38">
        <v>9</v>
      </c>
      <c r="E17" t="s">
        <v>1398</v>
      </c>
      <c r="F17" t="s">
        <v>1397</v>
      </c>
      <c r="G17" t="s">
        <v>1397</v>
      </c>
      <c r="H17" t="s">
        <v>1397</v>
      </c>
      <c r="I17" t="s">
        <v>1397</v>
      </c>
      <c r="M17" t="str">
        <f t="shared" si="0"/>
        <v/>
      </c>
      <c r="P17" t="s">
        <v>1397</v>
      </c>
      <c r="Q17" t="str">
        <f t="shared" si="1"/>
        <v>Exclude</v>
      </c>
      <c r="R17" t="s">
        <v>5700</v>
      </c>
      <c r="Z17" t="s">
        <v>2246</v>
      </c>
      <c r="AA17">
        <f>COUNTIF(H$2:H$25,"&lt;&gt;X")</f>
        <v>5</v>
      </c>
      <c r="AB17" s="15">
        <f t="shared" si="2"/>
        <v>0.20833333333333334</v>
      </c>
    </row>
    <row r="18" spans="1:28">
      <c r="A18">
        <v>106</v>
      </c>
      <c r="B18" t="s">
        <v>1366</v>
      </c>
      <c r="C18" s="36" t="str">
        <f>HYPERLINK(ACM_NEW!$D8, ACM_NEW!$B8)</f>
        <v>Examining the Suitability of Stream Ciphers for Modbus-TCP Encryption on Resource Constrained Devices</v>
      </c>
      <c r="D18" s="38">
        <v>7</v>
      </c>
      <c r="E18" t="s">
        <v>1398</v>
      </c>
      <c r="F18" t="s">
        <v>1397</v>
      </c>
      <c r="G18" t="s">
        <v>1397</v>
      </c>
      <c r="I18" t="s">
        <v>1397</v>
      </c>
      <c r="M18" t="str">
        <f t="shared" si="0"/>
        <v/>
      </c>
      <c r="P18" t="s">
        <v>1397</v>
      </c>
      <c r="Q18" t="str">
        <f t="shared" si="1"/>
        <v>Exclude</v>
      </c>
      <c r="R18" t="s">
        <v>2258</v>
      </c>
      <c r="Z18" t="s">
        <v>2247</v>
      </c>
      <c r="AA18">
        <f>COUNTIF(I$2:I$25,"&lt;&gt;X")</f>
        <v>1</v>
      </c>
      <c r="AB18" s="15">
        <f t="shared" si="2"/>
        <v>4.1666666666666664E-2</v>
      </c>
    </row>
    <row r="19" spans="1:28">
      <c r="A19">
        <v>123</v>
      </c>
      <c r="B19" t="s">
        <v>1366</v>
      </c>
      <c r="C19" s="36" t="str">
        <f>HYPERLINK(ACM_NEW!$D25, ACM_NEW!$B25)</f>
        <v>Enabling Industry 4.0 Communication Protocol Interoperability: An OPC UA Case Study</v>
      </c>
      <c r="D19" s="38">
        <v>9</v>
      </c>
      <c r="E19" t="s">
        <v>1398</v>
      </c>
      <c r="F19" t="s">
        <v>1397</v>
      </c>
      <c r="G19" t="s">
        <v>1397</v>
      </c>
      <c r="M19" t="str">
        <f t="shared" si="0"/>
        <v/>
      </c>
      <c r="P19" t="s">
        <v>1397</v>
      </c>
      <c r="Q19" t="str">
        <f t="shared" si="1"/>
        <v>Exclude</v>
      </c>
      <c r="R19" t="s">
        <v>2249</v>
      </c>
    </row>
    <row r="20" spans="1:28">
      <c r="A20">
        <v>141</v>
      </c>
      <c r="B20" t="s">
        <v>28</v>
      </c>
      <c r="C20" s="36" t="str">
        <f>HYPERLINK(SCOPUS_NEW!$N4, SCOPUS_NEW!$D4)</f>
        <v>Exponential Backoff and Its Security Implications for Safety-Critical OT Protocols over TCP/IP Networks</v>
      </c>
      <c r="D20" s="38">
        <v>0</v>
      </c>
      <c r="E20" t="s">
        <v>1398</v>
      </c>
      <c r="F20" t="s">
        <v>1397</v>
      </c>
      <c r="G20" t="s">
        <v>1397</v>
      </c>
      <c r="H20" t="s">
        <v>1397</v>
      </c>
      <c r="I20" t="s">
        <v>1397</v>
      </c>
      <c r="M20" t="str">
        <f t="shared" si="0"/>
        <v/>
      </c>
      <c r="Q20" t="str">
        <f t="shared" si="1"/>
        <v>Include</v>
      </c>
      <c r="R20" t="s">
        <v>2259</v>
      </c>
    </row>
    <row r="21" spans="1:28">
      <c r="A21">
        <v>149</v>
      </c>
      <c r="B21" t="s">
        <v>28</v>
      </c>
      <c r="C21" s="36" t="str">
        <f>HYPERLINK(SCOPUS_NEW!$N12, SCOPUS_NEW!$D12)</f>
        <v>OPC-UA in interoperability - a performance comparative testing</v>
      </c>
      <c r="D21" s="38">
        <v>5</v>
      </c>
      <c r="E21" t="s">
        <v>1398</v>
      </c>
      <c r="F21" t="s">
        <v>1397</v>
      </c>
      <c r="G21" t="s">
        <v>1397</v>
      </c>
      <c r="H21" t="s">
        <v>1397</v>
      </c>
      <c r="I21" t="s">
        <v>1397</v>
      </c>
      <c r="M21" t="str">
        <f t="shared" si="0"/>
        <v/>
      </c>
      <c r="Q21" t="str">
        <f t="shared" si="1"/>
        <v>Include</v>
      </c>
      <c r="R21" t="s">
        <v>2257</v>
      </c>
    </row>
    <row r="22" spans="1:28">
      <c r="A22">
        <v>162</v>
      </c>
      <c r="B22" t="s">
        <v>28</v>
      </c>
      <c r="C22" s="36" t="str">
        <f>HYPERLINK(SCOPUS_NEW!$N25, SCOPUS_NEW!$D25)</f>
        <v>A performance analysis of internet of things networking protocols: Evaluating MQTT, CoAP, OPC UA</v>
      </c>
      <c r="D22" s="38">
        <v>0</v>
      </c>
      <c r="E22" t="s">
        <v>1398</v>
      </c>
      <c r="F22" t="s">
        <v>1397</v>
      </c>
      <c r="G22" t="s">
        <v>1397</v>
      </c>
      <c r="H22" t="s">
        <v>1397</v>
      </c>
      <c r="I22" t="s">
        <v>1397</v>
      </c>
      <c r="M22" t="str">
        <f t="shared" si="0"/>
        <v/>
      </c>
      <c r="Q22" t="str">
        <f t="shared" si="1"/>
        <v>Include</v>
      </c>
      <c r="R22" t="s">
        <v>2250</v>
      </c>
    </row>
    <row r="23" spans="1:28">
      <c r="A23">
        <v>187</v>
      </c>
      <c r="B23" t="s">
        <v>19</v>
      </c>
      <c r="C23" s="36" t="str">
        <f>HYPERLINK(IEEE_NEW!$P102, IEEE_NEW!$A102)</f>
        <v>A Testbed for Evaluating Performance and Cybersecurity Implications of IEC-61850 GOOSE Hardware Implementations</v>
      </c>
      <c r="D23" s="35">
        <v>6</v>
      </c>
      <c r="E23" t="s">
        <v>1398</v>
      </c>
      <c r="F23" t="s">
        <v>1397</v>
      </c>
      <c r="G23" t="s">
        <v>1397</v>
      </c>
      <c r="H23" t="s">
        <v>1397</v>
      </c>
      <c r="I23" t="s">
        <v>1397</v>
      </c>
      <c r="M23" t="str">
        <f t="shared" si="0"/>
        <v/>
      </c>
      <c r="Q23" t="str">
        <f t="shared" si="1"/>
        <v>Include</v>
      </c>
      <c r="R23" t="s">
        <v>2374</v>
      </c>
    </row>
    <row r="24" spans="1:28">
      <c r="A24">
        <v>188</v>
      </c>
      <c r="B24" t="s">
        <v>19</v>
      </c>
      <c r="C24" s="36" t="str">
        <f>HYPERLINK(IEEE_NEW!$P103, IEEE_NEW!$A103)</f>
        <v>Benchmarking Cloud-Based SCADA System</v>
      </c>
      <c r="D24" s="35">
        <v>8</v>
      </c>
      <c r="E24" t="s">
        <v>1398</v>
      </c>
      <c r="F24" t="s">
        <v>1397</v>
      </c>
      <c r="G24" t="s">
        <v>1397</v>
      </c>
      <c r="H24" t="s">
        <v>1397</v>
      </c>
      <c r="I24" t="s">
        <v>1397</v>
      </c>
      <c r="M24" t="str">
        <f t="shared" si="0"/>
        <v/>
      </c>
      <c r="Q24" t="str">
        <f t="shared" si="1"/>
        <v>Include</v>
      </c>
      <c r="R24" t="s">
        <v>2375</v>
      </c>
    </row>
    <row r="25" spans="1:28">
      <c r="A25">
        <v>193</v>
      </c>
      <c r="B25" t="s">
        <v>19</v>
      </c>
      <c r="C25" s="36" t="str">
        <f>HYPERLINK(IEEE_NEW!$P108, IEEE_NEW!$A108)</f>
        <v>Virtual PLC in Industrial Edge Platform: Performance Evaluation of Supervision and Control Communication</v>
      </c>
      <c r="D25" s="35">
        <v>10</v>
      </c>
      <c r="E25" t="s">
        <v>1398</v>
      </c>
      <c r="F25" t="s">
        <v>1397</v>
      </c>
      <c r="G25" t="s">
        <v>1397</v>
      </c>
      <c r="H25" t="s">
        <v>1397</v>
      </c>
      <c r="I25" t="s">
        <v>1397</v>
      </c>
      <c r="M25" t="str">
        <f t="shared" si="0"/>
        <v/>
      </c>
      <c r="Q25" t="str">
        <f t="shared" si="1"/>
        <v>Include</v>
      </c>
      <c r="R25" t="s">
        <v>2376</v>
      </c>
    </row>
    <row r="26" spans="1:28">
      <c r="C26" s="36"/>
      <c r="D26" s="35"/>
      <c r="M26" t="str">
        <f t="shared" si="0"/>
        <v/>
      </c>
      <c r="Q26" t="str">
        <f t="shared" si="1"/>
        <v/>
      </c>
    </row>
    <row r="31" spans="1:28">
      <c r="C31" s="12"/>
    </row>
    <row r="32" spans="1:28">
      <c r="C32" s="12"/>
    </row>
    <row r="33" spans="1:19">
      <c r="C33" s="12"/>
    </row>
    <row r="34" spans="1:19">
      <c r="C34" s="12"/>
    </row>
    <row r="35" spans="1:19">
      <c r="C35" s="12"/>
    </row>
    <row r="36" spans="1:19">
      <c r="C36" s="12"/>
    </row>
    <row r="37" spans="1:19">
      <c r="C37" s="12"/>
    </row>
    <row r="38" spans="1:19">
      <c r="C38" s="12"/>
    </row>
    <row r="39" spans="1:19">
      <c r="C39" s="12"/>
    </row>
    <row r="40" spans="1:19">
      <c r="C40" s="12"/>
    </row>
    <row r="41" spans="1:19">
      <c r="A41" s="2"/>
      <c r="C41" s="12"/>
    </row>
    <row r="42" spans="1:19">
      <c r="A42" s="2"/>
      <c r="B42" s="2"/>
      <c r="C42" s="12"/>
      <c r="D42" s="2"/>
      <c r="E42" s="2"/>
      <c r="F42" s="2"/>
      <c r="G42" s="2"/>
      <c r="H42" s="2"/>
      <c r="I42" s="2"/>
      <c r="J42" s="2"/>
      <c r="K42" s="2"/>
      <c r="L42" s="2"/>
      <c r="M42" s="2"/>
      <c r="N42" s="2"/>
      <c r="O42" s="2"/>
      <c r="P42" s="2"/>
      <c r="Q42" s="2"/>
      <c r="R42" s="2"/>
      <c r="S42" s="2"/>
    </row>
    <row r="43" spans="1:19">
      <c r="C43" s="12"/>
    </row>
    <row r="44" spans="1:19">
      <c r="C44" s="12"/>
    </row>
    <row r="45" spans="1:19">
      <c r="C45" s="12"/>
    </row>
    <row r="46" spans="1:19">
      <c r="C46" s="12"/>
    </row>
    <row r="47" spans="1:19">
      <c r="C47" s="12"/>
    </row>
    <row r="48" spans="1:19">
      <c r="C48" s="12"/>
    </row>
    <row r="49" spans="3:3">
      <c r="C49" s="12"/>
    </row>
    <row r="50" spans="3:3">
      <c r="C50" s="12"/>
    </row>
    <row r="51" spans="3:3">
      <c r="C51" s="12"/>
    </row>
    <row r="52" spans="3:3">
      <c r="C52" s="12"/>
    </row>
    <row r="53" spans="3:3">
      <c r="C53" s="12"/>
    </row>
    <row r="54" spans="3:3">
      <c r="C54" s="12"/>
    </row>
  </sheetData>
  <conditionalFormatting sqref="C1">
    <cfRule type="duplicateValues" dxfId="82" priority="21"/>
  </conditionalFormatting>
  <conditionalFormatting sqref="C1:C1048576">
    <cfRule type="duplicateValues" dxfId="81" priority="1"/>
  </conditionalFormatting>
  <conditionalFormatting sqref="C2:C22">
    <cfRule type="duplicateValues" dxfId="80" priority="2140"/>
  </conditionalFormatting>
  <conditionalFormatting sqref="C23:C24">
    <cfRule type="duplicateValues" dxfId="79" priority="12"/>
    <cfRule type="duplicateValues" dxfId="78" priority="13"/>
  </conditionalFormatting>
  <conditionalFormatting sqref="C25:C26">
    <cfRule type="duplicateValues" dxfId="77" priority="10"/>
    <cfRule type="duplicateValues" dxfId="76" priority="11"/>
  </conditionalFormatting>
  <conditionalFormatting sqref="C31:C51">
    <cfRule type="duplicateValues" dxfId="75" priority="4"/>
    <cfRule type="duplicateValues" dxfId="74" priority="5"/>
  </conditionalFormatting>
  <conditionalFormatting sqref="C52:C54">
    <cfRule type="duplicateValues" dxfId="73" priority="2"/>
    <cfRule type="duplicateValues" dxfId="72" priority="3"/>
  </conditionalFormatting>
  <conditionalFormatting sqref="E2:E25 E43:E44">
    <cfRule type="cellIs" dxfId="71" priority="7" operator="equal">
      <formula>$E$152</formula>
    </cfRule>
  </conditionalFormatting>
  <conditionalFormatting sqref="Q2:Q26">
    <cfRule type="cellIs" dxfId="70" priority="19" operator="equal">
      <formula>"Exclude"</formula>
    </cfRule>
    <cfRule type="cellIs" dxfId="69" priority="20" operator="equal">
      <formula>"Include"</formula>
    </cfRule>
  </conditionalFormatting>
  <conditionalFormatting sqref="Q43:Q44">
    <cfRule type="cellIs" dxfId="68" priority="8" operator="equal">
      <formula>"Exclude"</formula>
    </cfRule>
    <cfRule type="cellIs" dxfId="67" priority="9" operator="equal">
      <formula>"Include"</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4399E-20F8-4EDA-955B-8222190E5E3A}">
  <dimension ref="A1:D474"/>
  <sheetViews>
    <sheetView topLeftCell="A368" workbookViewId="0">
      <selection activeCell="B410" sqref="B410"/>
    </sheetView>
  </sheetViews>
  <sheetFormatPr defaultRowHeight="12.75"/>
  <cols>
    <col min="2" max="2" width="45.42578125" customWidth="1"/>
  </cols>
  <sheetData>
    <row r="1" spans="1:4">
      <c r="A1" t="s">
        <v>47</v>
      </c>
      <c r="B1" t="s">
        <v>2</v>
      </c>
      <c r="C1" t="s">
        <v>32</v>
      </c>
      <c r="D1" t="s">
        <v>327</v>
      </c>
    </row>
    <row r="2" spans="1:4">
      <c r="A2" t="s">
        <v>4274</v>
      </c>
      <c r="B2" s="39" t="str">
        <f>HYPERLINK('citations-it1-studies'!$D2,'citations-it1-studies'!$B2)</f>
        <v>Practical approaches towards IoT dataset generation for security experiments</v>
      </c>
      <c r="C2">
        <f>'citations-it1-studies'!$C2</f>
        <v>2025</v>
      </c>
      <c r="D2">
        <f>'citations-it1-studies'!$H2</f>
        <v>65</v>
      </c>
    </row>
    <row r="3" spans="1:4">
      <c r="A3" t="s">
        <v>4274</v>
      </c>
      <c r="B3" s="39" t="str">
        <f>HYPERLINK('citations-it1-studies'!$D3,'citations-it1-studies'!$B3)</f>
        <v>Performance Evaluation of IoT-Enabled Edge Computing Infrastructure for mHealth Services</v>
      </c>
      <c r="C3">
        <f>'citations-it1-studies'!$C3</f>
        <v>2025</v>
      </c>
      <c r="D3">
        <f>'citations-it1-studies'!$H3</f>
        <v>12</v>
      </c>
    </row>
    <row r="4" spans="1:4">
      <c r="A4" t="s">
        <v>4274</v>
      </c>
      <c r="B4" s="39" t="str">
        <f>HYPERLINK('citations-it1-studies'!$D4,'citations-it1-studies'!$B4)</f>
        <v>Learning Temporal and Spatial Features Jointly: A Unified Framework for Space-Time Data Prediction in Industrial IoT Networks</v>
      </c>
      <c r="C4">
        <f>'citations-it1-studies'!$C4</f>
        <v>2023</v>
      </c>
      <c r="D4">
        <f>'citations-it1-studies'!$H4</f>
        <v>13</v>
      </c>
    </row>
    <row r="5" spans="1:4">
      <c r="A5" t="s">
        <v>4274</v>
      </c>
      <c r="B5" s="39" t="str">
        <f>HYPERLINK('citations-it1-studies'!$D5,'citations-it1-studies'!$B5)</f>
        <v>Design of 5G private network quality monitoring System based on edge computing</v>
      </c>
      <c r="C5">
        <f>'citations-it1-studies'!$C5</f>
        <v>2023</v>
      </c>
      <c r="D5">
        <f>'citations-it1-studies'!$H5</f>
        <v>5</v>
      </c>
    </row>
    <row r="6" spans="1:4">
      <c r="A6" t="s">
        <v>4274</v>
      </c>
      <c r="B6" s="39" t="str">
        <f>HYPERLINK('citations-it1-studies'!$D6,'citations-it1-studies'!$B6)</f>
        <v>Evaluating the Latency Impact for Time-Critical Operational Technology Applications of Transitioning IEC-61850 GOOSE Operations to 5G</v>
      </c>
      <c r="C6">
        <f>'citations-it1-studies'!$C6</f>
        <v>2024</v>
      </c>
      <c r="D6">
        <f>'citations-it1-studies'!$H6</f>
        <v>2</v>
      </c>
    </row>
    <row r="7" spans="1:4">
      <c r="A7" t="s">
        <v>4274</v>
      </c>
      <c r="B7" s="39" t="str">
        <f>HYPERLINK('citations-it1-studies'!$D7,'citations-it1-studies'!$B7)</f>
        <v>Challenges in Resource-Constrained IoT Devices: Energy and Communication as Critical Success Factors for Future IoT Deployment.</v>
      </c>
      <c r="C7">
        <f>'citations-it1-studies'!$C7</f>
        <v>2020</v>
      </c>
      <c r="D7">
        <f>'citations-it1-studies'!$H7</f>
        <v>0</v>
      </c>
    </row>
    <row r="8" spans="1:4">
      <c r="A8" t="s">
        <v>4274</v>
      </c>
      <c r="B8" s="39" t="str">
        <f>HYPERLINK('citations-it1-studies'!$D8,'citations-it1-studies'!$B8)</f>
        <v>A forensic tool for the identification, acquisition and analysis of sources of evidence in IoT investigations</v>
      </c>
      <c r="C8">
        <f>'citations-it1-studies'!$C8</f>
        <v>2024</v>
      </c>
      <c r="D8">
        <f>'citations-it1-studies'!$H8</f>
        <v>1</v>
      </c>
    </row>
    <row r="9" spans="1:4">
      <c r="A9" t="s">
        <v>4274</v>
      </c>
      <c r="B9" s="39" t="str">
        <f>HYPERLINK('citations-it1-studies'!$D9,'citations-it1-studies'!$B9)</f>
        <v>Construction of intelligent integrated model framework for the workshop manufacturing system via digital twin</v>
      </c>
      <c r="C9">
        <f>'citations-it1-studies'!$C9</f>
        <v>2021</v>
      </c>
      <c r="D9">
        <f>'citations-it1-studies'!$H9</f>
        <v>14</v>
      </c>
    </row>
    <row r="10" spans="1:4">
      <c r="A10" t="s">
        <v>4274</v>
      </c>
      <c r="B10" s="39" t="str">
        <f>HYPERLINK('citations-it1-studies'!$D10,'citations-it1-studies'!$B10)</f>
        <v>Communication and Coordination for Multi AGVs Based on MQTT Protocol</v>
      </c>
      <c r="C10">
        <f>'citations-it1-studies'!$C10</f>
        <v>2023</v>
      </c>
      <c r="D10">
        <f>'citations-it1-studies'!$H10</f>
        <v>6</v>
      </c>
    </row>
    <row r="11" spans="1:4">
      <c r="A11" t="s">
        <v>4274</v>
      </c>
      <c r="B11" s="39" t="str">
        <f>HYPERLINK('citations-it1-studies'!$D11,'citations-it1-studies'!$B11)</f>
        <v>QoSmart-IoT: Secure QoS-Based Reconfiguration and Protocol Adaptation for Hybrid Clustered IoT Systems in Constrained Environments</v>
      </c>
      <c r="C11">
        <f>'citations-it1-studies'!$C11</f>
        <v>2025</v>
      </c>
      <c r="D11">
        <f>'citations-it1-studies'!$H11</f>
        <v>13</v>
      </c>
    </row>
    <row r="12" spans="1:4">
      <c r="A12" t="s">
        <v>4274</v>
      </c>
      <c r="B12" s="39" t="str">
        <f>HYPERLINK('citations-it1-studies'!$D12,'citations-it1-studies'!$B12)</f>
        <v>APT Adversarial Defence Mechanism for Industrial IoT Enabled Cyber-Physical System</v>
      </c>
      <c r="C12">
        <f>'citations-it1-studies'!$C12</f>
        <v>2023</v>
      </c>
      <c r="D12">
        <f>'citations-it1-studies'!$H12</f>
        <v>21</v>
      </c>
    </row>
    <row r="13" spans="1:4">
      <c r="A13" t="s">
        <v>4274</v>
      </c>
      <c r="B13" s="39" t="str">
        <f>HYPERLINK('citations-it1-studies'!$D13,'citations-it1-studies'!$B13)</f>
        <v>Secure Communication Protocols: Safeguarding Information in The Digital Age</v>
      </c>
      <c r="C13">
        <f>'citations-it1-studies'!$C13</f>
        <v>2025</v>
      </c>
      <c r="D13">
        <f>'citations-it1-studies'!$H13</f>
        <v>65</v>
      </c>
    </row>
    <row r="14" spans="1:4">
      <c r="A14" t="s">
        <v>4274</v>
      </c>
      <c r="B14" s="39" t="str">
        <f>HYPERLINK('citations-it1-studies'!$D14,'citations-it1-studies'!$B14)</f>
        <v>IBAM: IPFS and Blockchain based Authentication for MQTT protocol in IoT</v>
      </c>
      <c r="C14">
        <f>'citations-it1-studies'!$C14</f>
        <v>2023</v>
      </c>
      <c r="D14">
        <f>'citations-it1-studies'!$H14</f>
        <v>6</v>
      </c>
    </row>
    <row r="15" spans="1:4">
      <c r="A15" t="s">
        <v>4274</v>
      </c>
      <c r="B15" s="39" t="str">
        <f>HYPERLINK('citations-it1-studies'!$D15,'citations-it1-studies'!$B15)</f>
        <v>Integration of MQTT and CoAP Protocols in OneM2M for IoT Applications</v>
      </c>
      <c r="C15">
        <f>'citations-it1-studies'!$C15</f>
        <v>2025</v>
      </c>
      <c r="D15">
        <f>'citations-it1-studies'!$H15</f>
        <v>11</v>
      </c>
    </row>
    <row r="16" spans="1:4">
      <c r="A16" t="s">
        <v>4274</v>
      </c>
      <c r="B16" s="39" t="str">
        <f>HYPERLINK('citations-it1-studies'!$D16,'citations-it1-studies'!$B16)</f>
        <v>MECInOT: a multi-access edge computing and industrial internet of things emulator for the modelling and study of cybersecurity threats</v>
      </c>
      <c r="C16">
        <f>'citations-it1-studies'!$C16</f>
        <v>2023</v>
      </c>
      <c r="D16">
        <f>'citations-it1-studies'!$H16</f>
        <v>39</v>
      </c>
    </row>
    <row r="17" spans="1:4">
      <c r="A17" t="s">
        <v>4274</v>
      </c>
      <c r="B17" s="39" t="str">
        <f>HYPERLINK('citations-it1-studies'!$D17,'citations-it1-studies'!$B17)</f>
        <v>Implementing Dead Letter Exchanges in MQTT and Proposing a Broker Failure Algorithm Utilizing Blockchain DNS</v>
      </c>
      <c r="C17">
        <f>'citations-it1-studies'!$C17</f>
        <v>2023</v>
      </c>
      <c r="D17">
        <f>'citations-it1-studies'!$H17</f>
        <v>6</v>
      </c>
    </row>
    <row r="18" spans="1:4">
      <c r="A18" t="s">
        <v>4274</v>
      </c>
      <c r="B18" s="39" t="str">
        <f>HYPERLINK('citations-it1-studies'!$D18,'citations-it1-studies'!$B18)</f>
        <v>X-IIoTID: A Connectivity-Agnostic and Device-Agnostic Intrusion Data Set for Industrial Internet of Things</v>
      </c>
      <c r="C18">
        <f>'citations-it1-studies'!$C18</f>
        <v>2022</v>
      </c>
      <c r="D18">
        <f>'citations-it1-studies'!$H18</f>
        <v>16</v>
      </c>
    </row>
    <row r="19" spans="1:4">
      <c r="A19" t="s">
        <v>4274</v>
      </c>
      <c r="B19" s="39" t="str">
        <f>HYPERLINK('citations-it1-studies'!$D19,'citations-it1-studies'!$B19)</f>
        <v>Intelligent Monitoring and Control Systems for Smart Water Management</v>
      </c>
      <c r="C19">
        <f>'citations-it1-studies'!$C19</f>
        <v>2025</v>
      </c>
      <c r="D19">
        <f>'citations-it1-studies'!$H19</f>
        <v>22</v>
      </c>
    </row>
    <row r="20" spans="1:4">
      <c r="A20" t="s">
        <v>4274</v>
      </c>
      <c r="B20" s="39" t="str">
        <f>HYPERLINK('citations-it1-studies'!$D20,'citations-it1-studies'!$B20)</f>
        <v>Multisensory Fusion, Haptic, and Visual Feedback Teleoperation System Under IoT Framework</v>
      </c>
      <c r="C20">
        <f>'citations-it1-studies'!$C20</f>
        <v>2022</v>
      </c>
      <c r="D20">
        <f>'citations-it1-studies'!$H20</f>
        <v>11</v>
      </c>
    </row>
    <row r="21" spans="1:4">
      <c r="A21" t="s">
        <v>4274</v>
      </c>
      <c r="B21" s="39" t="str">
        <f>HYPERLINK('citations-it1-studies'!$D21,'citations-it1-studies'!$B21)</f>
        <v>Transfer Fuzzy Learning enabled Streebog Cryptographic Substitution Permutation based zero trust security in IIOT</v>
      </c>
      <c r="C21">
        <f>'citations-it1-studies'!$C21</f>
        <v>2023</v>
      </c>
      <c r="D21">
        <f>'citations-it1-studies'!$H21</f>
        <v>11</v>
      </c>
    </row>
    <row r="22" spans="1:4">
      <c r="A22" t="s">
        <v>4274</v>
      </c>
      <c r="B22" s="39" t="str">
        <f>HYPERLINK('citations-it1-studies'!$D22,'citations-it1-studies'!$B22)</f>
        <v>High Precision Open Laboratory 3D Positioning System for Automated Underwater Measurements</v>
      </c>
      <c r="C22">
        <f>'citations-it1-studies'!$C22</f>
        <v>2021</v>
      </c>
      <c r="D22">
        <f>'citations-it1-studies'!$H22</f>
        <v>5</v>
      </c>
    </row>
    <row r="23" spans="1:4">
      <c r="A23" t="s">
        <v>4274</v>
      </c>
      <c r="B23" s="39" t="str">
        <f>HYPERLINK('citations-it1-studies'!$D23,'citations-it1-studies'!$B23)</f>
        <v>Architecture for data-centric and semantic-enhanced industrial metaverse: Bridging physical factories and virtual landscape</v>
      </c>
      <c r="C23">
        <f>'citations-it1-studies'!$C23</f>
        <v>2024</v>
      </c>
      <c r="D23">
        <f>'citations-it1-studies'!$H23</f>
        <v>15</v>
      </c>
    </row>
    <row r="24" spans="1:4">
      <c r="A24" t="s">
        <v>4274</v>
      </c>
      <c r="B24" s="39" t="str">
        <f>HYPERLINK('citations-it1-studies'!$D24,'citations-it1-studies'!$B24)</f>
        <v>Developing a Low-cost SCADA System for Industrial Application</v>
      </c>
      <c r="C24">
        <f>'citations-it1-studies'!$C24</f>
        <v>2022</v>
      </c>
      <c r="D24">
        <f>'citations-it1-studies'!$H24</f>
        <v>6</v>
      </c>
    </row>
    <row r="25" spans="1:4">
      <c r="A25" t="s">
        <v>4274</v>
      </c>
      <c r="B25" s="39" t="str">
        <f>HYPERLINK('citations-it1-studies'!$D25,'citations-it1-studies'!$B25)</f>
        <v>Evaluating Real-Time Ethernet performance indicators for SERCOS III networks</v>
      </c>
      <c r="C25">
        <f>'citations-it1-studies'!$C25</f>
        <v>2021</v>
      </c>
      <c r="D25">
        <f>'citations-it1-studies'!$H25</f>
        <v>7</v>
      </c>
    </row>
    <row r="26" spans="1:4">
      <c r="A26" t="s">
        <v>4274</v>
      </c>
      <c r="B26" s="39" t="str">
        <f>HYPERLINK('citations-it1-studies'!$D26,'citations-it1-studies'!$B26)</f>
        <v>Research on Hardware-in-the-Loop Test Platform Based on Simulated IED and Man-in-the-Middle Attack</v>
      </c>
      <c r="C26">
        <f>'citations-it1-studies'!$C26</f>
        <v>2025</v>
      </c>
      <c r="D26">
        <f>'citations-it1-studies'!$H26</f>
        <v>1</v>
      </c>
    </row>
    <row r="27" spans="1:4">
      <c r="A27" t="s">
        <v>4274</v>
      </c>
      <c r="B27" s="39" t="str">
        <f>HYPERLINK('citations-it1-studies'!$D27,'citations-it1-studies'!$B27)</f>
        <v>Cloud-Fog Automation: The New Paradigm Toward Autonomous Industrial Cyber-Physical Systems</v>
      </c>
      <c r="C27">
        <f>'citations-it1-studies'!$C27</f>
        <v>2025</v>
      </c>
      <c r="D27">
        <f>'citations-it1-studies'!$H27</f>
        <v>21</v>
      </c>
    </row>
    <row r="28" spans="1:4">
      <c r="A28" t="s">
        <v>4274</v>
      </c>
      <c r="B28" s="39" t="str">
        <f>HYPERLINK('citations-it1-studies'!$D28,'citations-it1-studies'!$B28)</f>
        <v>Integrating Fieldbus and Data-Centric Middleware: An STM32 Modbus Master Gateway for DDS-Based IIoT Systems</v>
      </c>
      <c r="C28">
        <f>'citations-it1-studies'!$C28</f>
        <v>2025</v>
      </c>
      <c r="D28">
        <f>'citations-it1-studies'!$H28</f>
        <v>0</v>
      </c>
    </row>
    <row r="29" spans="1:4">
      <c r="A29" t="s">
        <v>4274</v>
      </c>
      <c r="B29" s="39" t="str">
        <f>HYPERLINK('citations-it1-studies'!$D29,'citations-it1-studies'!$B29)</f>
        <v>Online Compensation Method for Contour Error in the Parallel Module of a Hybrid Gantry Machining Center</v>
      </c>
      <c r="C29">
        <f>'citations-it1-studies'!$C29</f>
        <v>2025</v>
      </c>
      <c r="D29">
        <f>'citations-it1-studies'!$H29</f>
        <v>0</v>
      </c>
    </row>
    <row r="30" spans="1:4">
      <c r="A30" t="s">
        <v>4274</v>
      </c>
      <c r="B30" s="39" t="str">
        <f>HYPERLINK('citations-it1-studies'!$D30,'citations-it1-studies'!$B30)</f>
        <v>RAPTOR: Advanced Persistent Threat Detection in Industrial IoT via Attack Stage Correlation</v>
      </c>
      <c r="C30">
        <f>'citations-it1-studies'!$C30</f>
        <v>2023</v>
      </c>
      <c r="D30">
        <f>'citations-it1-studies'!$H30</f>
        <v>12</v>
      </c>
    </row>
    <row r="31" spans="1:4">
      <c r="A31" t="s">
        <v>4274</v>
      </c>
      <c r="B31" s="39" t="str">
        <f>HYPERLINK('citations-it1-studies'!$D31,'citations-it1-studies'!$B31)</f>
        <v>Improving Security and Preventing Cyber Attacks in Smart Device Networks</v>
      </c>
      <c r="C31">
        <f>'citations-it1-studies'!$C31</f>
        <v>2025</v>
      </c>
      <c r="D31">
        <f>'citations-it1-studies'!$H31</f>
        <v>6</v>
      </c>
    </row>
    <row r="32" spans="1:4">
      <c r="A32" t="s">
        <v>4274</v>
      </c>
      <c r="B32" s="39" t="str">
        <f>HYPERLINK('citations-it1-studies'!$D32,'citations-it1-studies'!$B32)</f>
        <v>KOTO: A Kubernetes-Based Platform for Secure and Scalable OT Orchestration in Industry 5.0</v>
      </c>
      <c r="C32">
        <f>'citations-it1-studies'!$C32</f>
        <v>2025</v>
      </c>
      <c r="D32">
        <f>'citations-it1-studies'!$H32</f>
        <v>6</v>
      </c>
    </row>
    <row r="33" spans="1:4">
      <c r="A33" t="s">
        <v>4274</v>
      </c>
      <c r="B33" s="39" t="str">
        <f>HYPERLINK('citations-it1-studies'!$D33,'citations-it1-studies'!$B33)</f>
        <v>A Survey of Public IoT Datasets for Network Security Research</v>
      </c>
      <c r="C33">
        <f>'citations-it1-studies'!$C33</f>
        <v>2023</v>
      </c>
      <c r="D33">
        <f>'citations-it1-studies'!$H33</f>
        <v>33</v>
      </c>
    </row>
    <row r="34" spans="1:4">
      <c r="A34" t="s">
        <v>4274</v>
      </c>
      <c r="B34" s="39" t="str">
        <f>HYPERLINK('citations-it1-studies'!$D34,'citations-it1-studies'!$B34)</f>
        <v>Petri nets-based digital twin drives dual-arm cooperative manipulation</v>
      </c>
      <c r="C34">
        <f>'citations-it1-studies'!$C34</f>
        <v>2023</v>
      </c>
      <c r="D34">
        <f>'citations-it1-studies'!$H34</f>
        <v>1</v>
      </c>
    </row>
    <row r="35" spans="1:4">
      <c r="A35" t="s">
        <v>4274</v>
      </c>
      <c r="B35" s="39" t="str">
        <f>HYPERLINK('citations-it1-studies'!$D35,'citations-it1-studies'!$B35)</f>
        <v>IoTForge Pro: A Security Testbed for Generating Intrusion Dataset for Industrial IoT</v>
      </c>
      <c r="C35">
        <f>'citations-it1-studies'!$C35</f>
        <v>2025</v>
      </c>
      <c r="D35">
        <f>'citations-it1-studies'!$H35</f>
        <v>8</v>
      </c>
    </row>
    <row r="36" spans="1:4">
      <c r="A36" t="s">
        <v>4274</v>
      </c>
      <c r="B36" s="39" t="str">
        <f>HYPERLINK('citations-it1-studies'!$D36,'citations-it1-studies'!$B36)</f>
        <v>Design Model for the Digital Shadow of a Value Stream</v>
      </c>
      <c r="C36">
        <f>'citations-it1-studies'!$C36</f>
        <v>2024</v>
      </c>
      <c r="D36">
        <f>'citations-it1-studies'!$H36</f>
        <v>1</v>
      </c>
    </row>
    <row r="37" spans="1:4">
      <c r="A37" t="s">
        <v>4274</v>
      </c>
      <c r="B37" s="39" t="str">
        <f>HYPERLINK('citations-it1-studies'!$D37,'citations-it1-studies'!$B37)</f>
        <v>ExaMon-X: A Predictive Maintenance Framework for Automatic Monitoring in Industrial IoT Systems</v>
      </c>
      <c r="C37">
        <f>'citations-it1-studies'!$C37</f>
        <v>2023</v>
      </c>
      <c r="D37">
        <f>'citations-it1-studies'!$H37</f>
        <v>11</v>
      </c>
    </row>
    <row r="38" spans="1:4">
      <c r="A38" t="s">
        <v>4274</v>
      </c>
      <c r="B38" s="39" t="str">
        <f>HYPERLINK('citations-it1-studies'!$D38,'citations-it1-studies'!$B38)</f>
        <v>Equipment Failure Prediction using Artificial Intelligence on Vibration Data</v>
      </c>
      <c r="C38">
        <f>'citations-it1-studies'!$C38</f>
        <v>2024</v>
      </c>
      <c r="D38">
        <f>'citations-it1-studies'!$H38</f>
        <v>4</v>
      </c>
    </row>
    <row r="39" spans="1:4">
      <c r="A39" t="s">
        <v>4274</v>
      </c>
      <c r="B39" s="39" t="str">
        <f>HYPERLINK('citations-it1-studies'!$D39,'citations-it1-studies'!$B39)</f>
        <v>Interaction of Artificial Intelligence and Machining Processes Regarding Industry 4.0 Production Systems</v>
      </c>
      <c r="C39">
        <f>'citations-it1-studies'!$C39</f>
        <v>2023</v>
      </c>
      <c r="D39">
        <f>'citations-it1-studies'!$H39</f>
        <v>10</v>
      </c>
    </row>
    <row r="40" spans="1:4">
      <c r="A40" t="s">
        <v>4274</v>
      </c>
      <c r="B40" s="39" t="str">
        <f>HYPERLINK('citations-it1-studies'!$D40,'citations-it1-studies'!$B40)</f>
        <v>The Influence of Choosing Sensor Locations Inside Closed Facilities on the Reliability, Adaptability, and Energy Efficiency of IoT Systems</v>
      </c>
      <c r="C40">
        <f>'citations-it1-studies'!$C40</f>
        <v>2024</v>
      </c>
      <c r="D40">
        <f>'citations-it1-studies'!$H40</f>
        <v>6</v>
      </c>
    </row>
    <row r="41" spans="1:4">
      <c r="A41" t="s">
        <v>4274</v>
      </c>
      <c r="B41" s="39" t="str">
        <f>HYPERLINK('citations-it1-studies'!$D41,'citations-it1-studies'!$B41)</f>
        <v>Messaging Protocols for IoT Systems-A Pragmatic Comparison.</v>
      </c>
      <c r="C41">
        <f>'citations-it1-studies'!$C41</f>
        <v>2021</v>
      </c>
      <c r="D41">
        <f>'citations-it1-studies'!$H41</f>
        <v>0</v>
      </c>
    </row>
    <row r="42" spans="1:4">
      <c r="A42" t="s">
        <v>4274</v>
      </c>
      <c r="B42" s="39" t="str">
        <f>HYPERLINK('citations-it1-studies'!$D42,'citations-it1-studies'!$B42)</f>
        <v>Deep Learning-Based Intrusion Detection for Distributed Denial of Service Attack in Agriculture 4.0</v>
      </c>
      <c r="C42">
        <f>'citations-it1-studies'!$C42</f>
        <v>2021</v>
      </c>
      <c r="D42">
        <f>'citations-it1-studies'!$H42</f>
        <v>0</v>
      </c>
    </row>
    <row r="43" spans="1:4">
      <c r="A43" t="s">
        <v>4274</v>
      </c>
      <c r="B43" s="39" t="str">
        <f>HYPERLINK('citations-it1-studies'!$D43,'citations-it1-studies'!$B43)</f>
        <v>Smart IoT SCADA System for Hybrid Power Monitoring in Remote Natural Gas Pipeline Control Stations</v>
      </c>
      <c r="C43">
        <f>'citations-it1-studies'!$C43</f>
        <v>2024</v>
      </c>
      <c r="D43">
        <f>'citations-it1-studies'!$H43</f>
        <v>1</v>
      </c>
    </row>
    <row r="44" spans="1:4">
      <c r="A44" t="s">
        <v>4274</v>
      </c>
      <c r="B44" s="39" t="str">
        <f>HYPERLINK('citations-it1-studies'!$D44,'citations-it1-studies'!$B44)</f>
        <v>Enhancing Cybersecurity in Industrial Internet of Things: Machine Learning-Based Approaches for Cyber-Attack Detection in a Realworld Testbed Environment</v>
      </c>
      <c r="C44">
        <f>'citations-it1-studies'!$C44</f>
        <v>2025</v>
      </c>
      <c r="D44">
        <f>'citations-it1-studies'!$H44</f>
        <v>14</v>
      </c>
    </row>
    <row r="45" spans="1:4">
      <c r="A45" t="s">
        <v>4274</v>
      </c>
      <c r="B45" s="39" t="str">
        <f>HYPERLINK('citations-it1-studies'!$D45,'citations-it1-studies'!$B45)</f>
        <v>Wireless Cyber-Physical Systems Performance Evaluation through a Graph Database Approach.</v>
      </c>
      <c r="C45">
        <f>'citations-it1-studies'!$C45</f>
        <v>2020</v>
      </c>
      <c r="D45">
        <f>'citations-it1-studies'!$H45</f>
        <v>19</v>
      </c>
    </row>
    <row r="46" spans="1:4">
      <c r="A46" t="s">
        <v>4274</v>
      </c>
      <c r="B46" s="39" t="str">
        <f>HYPERLINK('citations-it1-studies'!$D46,'citations-it1-studies'!$B46)</f>
        <v>Orchestrating Embodied Systems through the Embodied Context Protocol: Motivation, Progress, and Directions.</v>
      </c>
      <c r="C46">
        <f>'citations-it1-studies'!$C46</f>
        <v>2025</v>
      </c>
      <c r="D46">
        <f>'citations-it1-studies'!$H46</f>
        <v>0</v>
      </c>
    </row>
    <row r="47" spans="1:4">
      <c r="A47" t="s">
        <v>4274</v>
      </c>
      <c r="B47" s="39" t="str">
        <f>HYPERLINK('citations-it1-studies'!$D47,'citations-it1-studies'!$B47)</f>
        <v>Functioning and Development of a Real-Time Information System for the Oil Treatment Technological Process Control</v>
      </c>
      <c r="C47">
        <f>'citations-it1-studies'!$C47</f>
        <v>2020</v>
      </c>
      <c r="D47">
        <f>'citations-it1-studies'!$H47</f>
        <v>6</v>
      </c>
    </row>
    <row r="48" spans="1:4">
      <c r="A48" t="s">
        <v>4274</v>
      </c>
      <c r="B48" s="39" t="str">
        <f>HYPERLINK('citations-it1-studies'!$D48,'citations-it1-studies'!$B48)</f>
        <v>OPC UA PubSub and Industrial Controller Redundancy</v>
      </c>
      <c r="C48">
        <f>'citations-it1-studies'!$C48</f>
        <v>2024</v>
      </c>
      <c r="D48">
        <f>'citations-it1-studies'!$H48</f>
        <v>8</v>
      </c>
    </row>
    <row r="49" spans="1:4">
      <c r="A49" t="s">
        <v>4274</v>
      </c>
      <c r="B49" s="39" t="str">
        <f>HYPERLINK('citations-it1-studies'!$D49,'citations-it1-studies'!$B49)</f>
        <v>Evaluation of quality of service parameters for MQTT communication in IoT application by using deep neural network</v>
      </c>
      <c r="C49">
        <f>'citations-it1-studies'!$C49</f>
        <v>2023</v>
      </c>
      <c r="D49">
        <f>'citations-it1-studies'!$H49</f>
        <v>14</v>
      </c>
    </row>
    <row r="50" spans="1:4">
      <c r="A50" t="s">
        <v>4274</v>
      </c>
      <c r="B50" s="39" t="str">
        <f>HYPERLINK('citations-it1-studies'!$D50,'citations-it1-studies'!$B50)</f>
        <v>Game Theoretic Feedback Control for Reliability Enhancement of EtherCAT-Based Networked Systems</v>
      </c>
      <c r="C50">
        <f>'citations-it1-studies'!$C50</f>
        <v>2019</v>
      </c>
      <c r="D50">
        <f>'citations-it1-studies'!$H50</f>
        <v>12</v>
      </c>
    </row>
    <row r="51" spans="1:4">
      <c r="A51" t="s">
        <v>4274</v>
      </c>
      <c r="B51" s="39" t="str">
        <f>HYPERLINK('citations-it1-studies'!$D51,'citations-it1-studies'!$B51)</f>
        <v>Centralized controlling of distributed PV systems using cloud and IoT technologies</v>
      </c>
      <c r="C51">
        <f>'citations-it1-studies'!$C51</f>
        <v>2023</v>
      </c>
      <c r="D51">
        <f>'citations-it1-studies'!$H51</f>
        <v>6</v>
      </c>
    </row>
    <row r="52" spans="1:4">
      <c r="A52" t="s">
        <v>4274</v>
      </c>
      <c r="B52" s="39" t="str">
        <f>HYPERLINK('citations-it1-studies'!$D52,'citations-it1-studies'!$B52)</f>
        <v>A Thorough Analysis and Comparison of Data Communication Protocols Used in Industry 4.0: the Case of Smart-CNC</v>
      </c>
      <c r="C52">
        <f>'citations-it1-studies'!$C52</f>
        <v>2022</v>
      </c>
      <c r="D52">
        <f>'citations-it1-studies'!$H52</f>
        <v>8</v>
      </c>
    </row>
    <row r="53" spans="1:4">
      <c r="A53" t="s">
        <v>4274</v>
      </c>
      <c r="B53" s="39" t="str">
        <f>HYPERLINK('citations-it1-studies'!$D53,'citations-it1-studies'!$B53)</f>
        <v>Redundancy for an all-in-one ISA100.11a Gateway: Protocol Design and Hardware Integration</v>
      </c>
      <c r="C53">
        <f>'citations-it1-studies'!$C53</f>
        <v>2019</v>
      </c>
      <c r="D53">
        <f>'citations-it1-studies'!$H53</f>
        <v>6</v>
      </c>
    </row>
    <row r="54" spans="1:4">
      <c r="A54" t="s">
        <v>4274</v>
      </c>
      <c r="B54" s="39" t="str">
        <f>HYPERLINK('citations-it1-studies'!$D54,'citations-it1-studies'!$B54)</f>
        <v>Driving Factors Behind Adopting Virtual Testbeds for ICS Cybersecurity Education.</v>
      </c>
      <c r="C54">
        <f>'citations-it1-studies'!$C54</f>
        <v>2025</v>
      </c>
      <c r="D54">
        <f>'citations-it1-studies'!$H54</f>
        <v>7</v>
      </c>
    </row>
    <row r="55" spans="1:4">
      <c r="A55" t="s">
        <v>4274</v>
      </c>
      <c r="B55" s="39" t="str">
        <f>HYPERLINK('citations-it1-studies'!$D55,'citations-it1-studies'!$B55)</f>
        <v>A platform-enabled CNC within edge-cloud environments: perspectives, challenges, and potential solutions</v>
      </c>
      <c r="C55">
        <f>'citations-it1-studies'!$C55</f>
        <v>2025</v>
      </c>
      <c r="D55">
        <f>'citations-it1-studies'!$H55</f>
        <v>17</v>
      </c>
    </row>
    <row r="56" spans="1:4">
      <c r="A56" t="s">
        <v>4274</v>
      </c>
      <c r="B56" s="39" t="str">
        <f>HYPERLINK('citations-it1-studies'!$D56,'citations-it1-studies'!$B56)</f>
        <v>Voltage Regulation in Microgrids via Modulation Communication: A Distributed Output Consensus Approach</v>
      </c>
      <c r="C56">
        <f>'citations-it1-studies'!$C56</f>
        <v>2025</v>
      </c>
      <c r="D56">
        <f>'citations-it1-studies'!$H56</f>
        <v>10</v>
      </c>
    </row>
    <row r="57" spans="1:4">
      <c r="A57" t="s">
        <v>4274</v>
      </c>
      <c r="B57" s="39" t="str">
        <f>HYPERLINK('citations-it1-studies'!$D57,'citations-it1-studies'!$B57)</f>
        <v>Trustworthy and Reliable Deep Learning-based Cyberattack Detection in Industrial IoT.</v>
      </c>
      <c r="C57">
        <f>'citations-it1-studies'!$C57</f>
        <v>2022</v>
      </c>
      <c r="D57">
        <f>'citations-it1-studies'!$H57</f>
        <v>9</v>
      </c>
    </row>
    <row r="58" spans="1:4">
      <c r="A58" t="s">
        <v>4274</v>
      </c>
      <c r="B58" s="39" t="str">
        <f>HYPERLINK('citations-it1-studies'!$D58,'citations-it1-studies'!$B58)</f>
        <v>Characterizing the Real-Time Communication Performance of Virtual PLC in Industrial Edge Platform</v>
      </c>
      <c r="C58">
        <f>'citations-it1-studies'!$C58</f>
        <v>2025</v>
      </c>
      <c r="D58">
        <f>'citations-it1-studies'!$H58</f>
        <v>11</v>
      </c>
    </row>
    <row r="59" spans="1:4">
      <c r="A59" t="s">
        <v>4274</v>
      </c>
      <c r="B59" s="39" t="str">
        <f>HYPERLINK('citations-it1-studies'!$D59,'citations-it1-studies'!$B59)</f>
        <v>A Comparative Study to Evaluate the Performance of Communication Protocols for Process Industry</v>
      </c>
      <c r="C59">
        <f>'citations-it1-studies'!$C59</f>
        <v>2022</v>
      </c>
      <c r="D59">
        <f>'citations-it1-studies'!$H59</f>
        <v>8</v>
      </c>
    </row>
    <row r="60" spans="1:4">
      <c r="A60" t="s">
        <v>4274</v>
      </c>
      <c r="B60" s="39" t="str">
        <f>HYPERLINK('citations-it1-studies'!$D60,'citations-it1-studies'!$B60)</f>
        <v>A Hybrid VLC/RF Parking Automation System</v>
      </c>
      <c r="C60">
        <f>'citations-it1-studies'!$C60</f>
        <v>2023</v>
      </c>
      <c r="D60">
        <f>'citations-it1-studies'!$H60</f>
        <v>19</v>
      </c>
    </row>
    <row r="61" spans="1:4">
      <c r="A61" t="s">
        <v>4274</v>
      </c>
      <c r="B61" s="39" t="str">
        <f>HYPERLINK('citations-it1-studies'!$D61,'citations-it1-studies'!$B61)</f>
        <v>INFORMATION PROTECTION IN AUTOMATED SYSTEMS BASED ON A CONCEPTUAL MODEL WITH FORMALIZED EFFICIENCY EVALUATION</v>
      </c>
      <c r="C61">
        <f>'citations-it1-studies'!$C61</f>
        <v>2025</v>
      </c>
      <c r="D61">
        <f>'citations-it1-studies'!$H61</f>
        <v>1</v>
      </c>
    </row>
    <row r="62" spans="1:4">
      <c r="A62" t="s">
        <v>4274</v>
      </c>
      <c r="B62" s="39" t="str">
        <f>HYPERLINK('citations-it1-studies'!$D62,'citations-it1-studies'!$B62)</f>
        <v>A Novel Industrial Software Model for Social Manufacturing</v>
      </c>
      <c r="C62">
        <f>'citations-it1-studies'!$C62</f>
        <v>2024</v>
      </c>
      <c r="D62">
        <f>'citations-it1-studies'!$H62</f>
        <v>0</v>
      </c>
    </row>
    <row r="63" spans="1:4">
      <c r="A63" t="s">
        <v>4274</v>
      </c>
      <c r="B63" s="39" t="str">
        <f>HYPERLINK('citations-it1-studies'!$D63,'citations-it1-studies'!$B63)</f>
        <v>A Systematic Review of Recent Advances in IoT-Based Sensor Networks for Warehouse Management</v>
      </c>
      <c r="C63">
        <f>'citations-it1-studies'!$C63</f>
        <v>2025</v>
      </c>
      <c r="D63">
        <f>'citations-it1-studies'!$H63</f>
        <v>0</v>
      </c>
    </row>
    <row r="64" spans="1:4">
      <c r="A64" t="s">
        <v>4274</v>
      </c>
      <c r="B64" s="39" t="str">
        <f>HYPERLINK('citations-it1-studies'!$D64,'citations-it1-studies'!$B64)</f>
        <v>An Aggregated Data Integration Approach to the Web and Cloud Platforms through a Modular REST-Based OPC UA Middleware.</v>
      </c>
      <c r="C64">
        <f>'citations-it1-studies'!$C64</f>
        <v>2022</v>
      </c>
      <c r="D64">
        <f>'citations-it1-studies'!$H64</f>
        <v>1</v>
      </c>
    </row>
    <row r="65" spans="1:4">
      <c r="A65" t="s">
        <v>4274</v>
      </c>
      <c r="B65" s="39" t="str">
        <f>HYPERLINK('citations-it1-studies'!$D65,'citations-it1-studies'!$B65)</f>
        <v>Blake-2s based Improved Authentication Scheme for IEC 61850 GOOSE Messages</v>
      </c>
      <c r="C65">
        <f>'citations-it1-studies'!$C65</f>
        <v>2025</v>
      </c>
      <c r="D65">
        <f>'citations-it1-studies'!$H65</f>
        <v>6</v>
      </c>
    </row>
    <row r="66" spans="1:4">
      <c r="A66" t="s">
        <v>4274</v>
      </c>
      <c r="B66" s="39" t="str">
        <f>HYPERLINK('citations-it1-studies'!$D66,'citations-it1-studies'!$B66)</f>
        <v>Predictive Energy-Aware Routing Solution for Industrial IoT Evaluated on a WSN Hardware Platform.</v>
      </c>
      <c r="C66">
        <f>'citations-it1-studies'!$C66</f>
        <v>2022</v>
      </c>
      <c r="D66">
        <f>'citations-it1-studies'!$H66</f>
        <v>1</v>
      </c>
    </row>
    <row r="67" spans="1:4">
      <c r="A67" t="s">
        <v>4274</v>
      </c>
      <c r="B67" s="39" t="str">
        <f>HYPERLINK('citations-it1-studies'!$D67,'citations-it1-studies'!$B67)</f>
        <v>Communication in collaborating construction equipment</v>
      </c>
      <c r="C67">
        <f>'citations-it1-studies'!$C67</f>
        <v>2023</v>
      </c>
      <c r="D67">
        <f>'citations-it1-studies'!$H67</f>
        <v>10</v>
      </c>
    </row>
    <row r="68" spans="1:4">
      <c r="A68" t="s">
        <v>4274</v>
      </c>
      <c r="B68" s="39" t="str">
        <f>HYPERLINK('citations-it1-studies'!$D68,'citations-it1-studies'!$B68)</f>
        <v>A Blockchain-Reinforced Federated Intrusion Detection Architecture for IIoT</v>
      </c>
      <c r="C68">
        <f>'citations-it1-studies'!$C68</f>
        <v>2024</v>
      </c>
      <c r="D68">
        <f>'citations-it1-studies'!$H68</f>
        <v>13</v>
      </c>
    </row>
    <row r="69" spans="1:4">
      <c r="A69" t="s">
        <v>4274</v>
      </c>
      <c r="B69" s="39" t="str">
        <f>HYPERLINK('citations-it1-studies'!$D69,'citations-it1-studies'!$B69)</f>
        <v>OPC UA client-server connection over an ISO 11783 vehicle network</v>
      </c>
      <c r="C69">
        <f>'citations-it1-studies'!$C69</f>
        <v>2023</v>
      </c>
      <c r="D69">
        <f>'citations-it1-studies'!$H69</f>
        <v>12</v>
      </c>
    </row>
    <row r="70" spans="1:4">
      <c r="A70" t="s">
        <v>4274</v>
      </c>
      <c r="B70" s="39" t="str">
        <f>HYPERLINK('citations-it1-studies'!$D70,'citations-it1-studies'!$B70)</f>
        <v>Towards a Software-Defined Industrial IoT-Edge Network for Next-Generation Offshore Wind Farms: State of the Art, Resilience, and Self-X Network and Service Management</v>
      </c>
      <c r="C70">
        <f>'citations-it1-studies'!$C70</f>
        <v>2024</v>
      </c>
      <c r="D70">
        <f>'citations-it1-studies'!$H70</f>
        <v>1</v>
      </c>
    </row>
    <row r="71" spans="1:4">
      <c r="A71" t="s">
        <v>4274</v>
      </c>
      <c r="B71" s="39" t="str">
        <f>HYPERLINK('citations-it1-studies'!$D71,'citations-it1-studies'!$B71)</f>
        <v>WiSEE - Wireless Transmission of Sensor Data over UWB in Spacecraft Payload Networks</v>
      </c>
      <c r="C71">
        <f>'citations-it1-studies'!$C71</f>
        <v>2018</v>
      </c>
      <c r="D71">
        <f>'citations-it1-studies'!$H71</f>
        <v>6</v>
      </c>
    </row>
    <row r="72" spans="1:4">
      <c r="A72" t="s">
        <v>4274</v>
      </c>
      <c r="B72" s="39" t="str">
        <f>HYPERLINK('citations-it1-studies'!$D72,'citations-it1-studies'!$B72)</f>
        <v>The Digital Backbone of Manufacturing: A Framework for Network Protocol Selection</v>
      </c>
      <c r="C72">
        <f>'citations-it1-studies'!$C72</f>
        <v>2025</v>
      </c>
      <c r="D72">
        <f>'citations-it1-studies'!$H72</f>
        <v>0</v>
      </c>
    </row>
    <row r="73" spans="1:4">
      <c r="A73" t="s">
        <v>4274</v>
      </c>
      <c r="B73" s="39" t="str">
        <f>HYPERLINK('citations-it1-studies'!$D73,'citations-it1-studies'!$B73)</f>
        <v>ETFA - Clock Synchronization in Integrated TSN-EtherCAT Networks</v>
      </c>
      <c r="C73">
        <f>'citations-it1-studies'!$C73</f>
        <v>2020</v>
      </c>
      <c r="D73">
        <f>'citations-it1-studies'!$H73</f>
        <v>8</v>
      </c>
    </row>
    <row r="74" spans="1:4">
      <c r="A74" t="s">
        <v>4274</v>
      </c>
      <c r="B74" s="39" t="str">
        <f>HYPERLINK('citations-it1-studies'!$D74,'citations-it1-studies'!$B74)</f>
        <v>End-to-End Visual Control Framework in Wireless TSN Networks for Industrial IoT</v>
      </c>
      <c r="C74">
        <f>'citations-it1-studies'!$C74</f>
        <v>2025</v>
      </c>
      <c r="D74">
        <f>'citations-it1-studies'!$H74</f>
        <v>14</v>
      </c>
    </row>
    <row r="75" spans="1:4">
      <c r="A75" t="s">
        <v>4274</v>
      </c>
      <c r="B75" s="39" t="str">
        <f>HYPERLINK('citations-it1-studies'!$D75,'citations-it1-studies'!$B75)</f>
        <v>Beyond the Virtual PLC Networking Constraints: MACvLAN Approach in Industrial Environments</v>
      </c>
      <c r="C75">
        <f>'citations-it1-studies'!$C75</f>
        <v>2025</v>
      </c>
      <c r="D75">
        <f>'citations-it1-studies'!$H75</f>
        <v>6</v>
      </c>
    </row>
    <row r="76" spans="1:4">
      <c r="A76" t="s">
        <v>4274</v>
      </c>
      <c r="B76" s="39" t="str">
        <f>HYPERLINK('citations-it1-studies'!$D76,'citations-it1-studies'!$B76)</f>
        <v>A Study on 28 GHz Power Amplifiers for Industrial Revolution 4.0 Compatible 5G NR FR2 IoT Transceivers</v>
      </c>
      <c r="C76">
        <f>'citations-it1-studies'!$C76</f>
        <v>2023</v>
      </c>
      <c r="D76">
        <f>'citations-it1-studies'!$H76</f>
        <v>6</v>
      </c>
    </row>
    <row r="77" spans="1:4">
      <c r="A77" t="s">
        <v>4274</v>
      </c>
      <c r="B77" s="39" t="str">
        <f>HYPERLINK('citations-it1-studies'!$D77,'citations-it1-studies'!$B77)</f>
        <v>Methodological Study of Cross-Domain Co-Simulation for Port Equipment Operation Monitoring and Collaborative Early Warning</v>
      </c>
      <c r="C77">
        <f>'citations-it1-studies'!$C77</f>
        <v>2025</v>
      </c>
      <c r="D77">
        <f>'citations-it1-studies'!$H77</f>
        <v>4</v>
      </c>
    </row>
    <row r="78" spans="1:4">
      <c r="A78" t="s">
        <v>4274</v>
      </c>
      <c r="B78" s="39" t="str">
        <f>HYPERLINK('citations-it1-studies'!$D78,'citations-it1-studies'!$B78)</f>
        <v>Asset Management Method of Industrial IoT Systems for Cyber-Security Countermeasures</v>
      </c>
      <c r="C78">
        <f>'citations-it1-studies'!$C78</f>
        <v>2021</v>
      </c>
      <c r="D78">
        <f>'citations-it1-studies'!$H78</f>
        <v>0</v>
      </c>
    </row>
    <row r="79" spans="1:4">
      <c r="A79" t="s">
        <v>4274</v>
      </c>
      <c r="B79" s="39" t="str">
        <f>HYPERLINK('citations-it1-studies'!$D79,'citations-it1-studies'!$B79)</f>
        <v>A threat intelligence framework for protecting smart satellite-based healthcare networks</v>
      </c>
      <c r="C79">
        <f>'citations-it1-studies'!$C79</f>
        <v>2021</v>
      </c>
      <c r="D79">
        <f>'citations-it1-studies'!$H79</f>
        <v>21</v>
      </c>
    </row>
    <row r="80" spans="1:4">
      <c r="A80" t="s">
        <v>4274</v>
      </c>
      <c r="B80" s="39" t="str">
        <f>HYPERLINK('citations-it1-studies'!$D80,'citations-it1-studies'!$B80)</f>
        <v>Performance Analysis of OPC UA for Industrial Interoperability towards Industry 4.0</v>
      </c>
      <c r="C80">
        <f>'citations-it1-studies'!$C80</f>
        <v>2022</v>
      </c>
      <c r="D80">
        <f>'citations-it1-studies'!$H80</f>
        <v>19</v>
      </c>
    </row>
    <row r="81" spans="1:4">
      <c r="A81" t="s">
        <v>4274</v>
      </c>
      <c r="B81" s="39" t="str">
        <f>HYPERLINK('citations-it1-studies'!$D81,'citations-it1-studies'!$B81)</f>
        <v>Benchmark and Design Support for Demand-Oriented Cloud-Communication Architectures of Cyber-Physical Production Systems</v>
      </c>
      <c r="C81">
        <f>'citations-it1-studies'!$C81</f>
        <v>2023</v>
      </c>
      <c r="D81">
        <f>'citations-it1-studies'!$H81</f>
        <v>8</v>
      </c>
    </row>
    <row r="82" spans="1:4">
      <c r="A82" t="s">
        <v>4274</v>
      </c>
      <c r="B82" s="39" t="str">
        <f>HYPERLINK('citations-it1-studies'!$D82,'citations-it1-studies'!$B82)</f>
        <v>A Real Network Performance Analysis Testbed for Encrypted MQTT in DMS</v>
      </c>
      <c r="C82">
        <f>'citations-it1-studies'!$C82</f>
        <v>2024</v>
      </c>
      <c r="D82">
        <f>'citations-it1-studies'!$H82</f>
        <v>6</v>
      </c>
    </row>
    <row r="83" spans="1:4">
      <c r="A83" t="s">
        <v>4274</v>
      </c>
      <c r="B83" s="39" t="str">
        <f>HYPERLINK('citations-it1-studies'!$D83,'citations-it1-studies'!$B83)</f>
        <v>ДОСЛІДЖЕННЯ ЕФЕКТИВНОСТІ ВИКОРИСТАННЯ РОЗПОДІЛЕНИХ БАЗ ДАНИХ В СИСТЕМАХ IIOT</v>
      </c>
      <c r="C83">
        <f>'citations-it1-studies'!$C83</f>
        <v>2022</v>
      </c>
      <c r="D83">
        <f>'citations-it1-studies'!$H83</f>
        <v>7</v>
      </c>
    </row>
    <row r="84" spans="1:4">
      <c r="A84" t="s">
        <v>4274</v>
      </c>
      <c r="B84" s="39" t="str">
        <f>HYPERLINK('citations-it1-studies'!$D84,'citations-it1-studies'!$B84)</f>
        <v>Performance Evaluation of an IEEE 802.11g Network in an Industrial Environment</v>
      </c>
      <c r="C84">
        <f>'citations-it1-studies'!$C84</f>
        <v>2020</v>
      </c>
      <c r="D84">
        <f>'citations-it1-studies'!$H84</f>
        <v>7</v>
      </c>
    </row>
    <row r="85" spans="1:4">
      <c r="A85" t="s">
        <v>4274</v>
      </c>
      <c r="B85" s="39" t="str">
        <f>HYPERLINK('citations-it1-studies'!$D85,'citations-it1-studies'!$B85)</f>
        <v>Improving Fault Tolerance and Tackling Broker Failure in MQTT through Blockchain</v>
      </c>
      <c r="C85">
        <f>'citations-it1-studies'!$C85</f>
        <v>2023</v>
      </c>
      <c r="D85">
        <f>'citations-it1-studies'!$H85</f>
        <v>6</v>
      </c>
    </row>
    <row r="86" spans="1:4">
      <c r="A86" t="s">
        <v>4274</v>
      </c>
      <c r="B86" s="39" t="str">
        <f>HYPERLINK('citations-it1-studies'!$D86,'citations-it1-studies'!$B86)</f>
        <v>Delay and Energy Consumption of MQTT over QUIC: An Empirical Characterization Using Commercial-Off-The-Shelf Devices.</v>
      </c>
      <c r="C86">
        <f>'citations-it1-studies'!$C86</f>
        <v>2022</v>
      </c>
      <c r="D86">
        <f>'citations-it1-studies'!$H86</f>
        <v>1</v>
      </c>
    </row>
    <row r="87" spans="1:4">
      <c r="A87" t="s">
        <v>4274</v>
      </c>
      <c r="B87" s="39" t="str">
        <f>HYPERLINK('citations-it1-studies'!$D87,'citations-it1-studies'!$B87)</f>
        <v>Time Sensitive Networking for Future Enabling Technologies: Overview and Measurement Issues for Metrological Characterization</v>
      </c>
      <c r="C87">
        <f>'citations-it1-studies'!$C87</f>
        <v>2024</v>
      </c>
      <c r="D87">
        <f>'citations-it1-studies'!$H87</f>
        <v>6</v>
      </c>
    </row>
    <row r="88" spans="1:4">
      <c r="A88" t="s">
        <v>4274</v>
      </c>
      <c r="B88" s="39" t="str">
        <f>HYPERLINK('citations-it1-studies'!$D88,'citations-it1-studies'!$B88)</f>
        <v>On the integration of OPC UA over Wired – Wireless Time Sensitive Networking</v>
      </c>
      <c r="C88">
        <f>'citations-it1-studies'!$C88</f>
        <v>2023</v>
      </c>
      <c r="D88">
        <f>'citations-it1-studies'!$H88</f>
        <v>6</v>
      </c>
    </row>
    <row r="89" spans="1:4">
      <c r="A89" t="s">
        <v>4274</v>
      </c>
      <c r="B89" s="39" t="str">
        <f>HYPERLINK('citations-it1-studies'!$D89,'citations-it1-studies'!$B89)</f>
        <v>Empirical Evaluation of TLS-Enhanced MQTT on IoT Devices for V2X Use Cases</v>
      </c>
      <c r="C89">
        <f>'citations-it1-studies'!$C89</f>
        <v>2025</v>
      </c>
      <c r="D89">
        <f>'citations-it1-studies'!$H89</f>
        <v>1</v>
      </c>
    </row>
    <row r="90" spans="1:4">
      <c r="A90" t="s">
        <v>4274</v>
      </c>
      <c r="B90" s="39" t="str">
        <f>HYPERLINK('citations-it1-studies'!$D90,'citations-it1-studies'!$B90)</f>
        <v>An Innovative Digital Twin of Integrated Transportation and Power Networks for Efficient Scheduling of Autonomous Electric Vehicles</v>
      </c>
      <c r="C90">
        <f>'citations-it1-studies'!$C90</f>
        <v>2024</v>
      </c>
      <c r="D90">
        <f>'citations-it1-studies'!$H90</f>
        <v>5</v>
      </c>
    </row>
    <row r="91" spans="1:4">
      <c r="A91" t="s">
        <v>4274</v>
      </c>
      <c r="B91" s="39" t="str">
        <f>HYPERLINK('citations-it1-studies'!$D91,'citations-it1-studies'!$B91)</f>
        <v>A Comprehensive Review on 5G IIoT Test-Beds</v>
      </c>
      <c r="C91">
        <f>'citations-it1-studies'!$C91</f>
        <v>2025</v>
      </c>
      <c r="D91">
        <f>'citations-it1-studies'!$H91</f>
        <v>25</v>
      </c>
    </row>
    <row r="92" spans="1:4">
      <c r="A92" t="s">
        <v>4274</v>
      </c>
      <c r="B92" s="39" t="str">
        <f>HYPERLINK('citations-it1-studies'!$D92,'citations-it1-studies'!$B92)</f>
        <v>Securing Industry 5.0: An explainable deep learning model for intrusion detection in cyber-physical systems</v>
      </c>
      <c r="C92">
        <f>'citations-it1-studies'!$C92</f>
        <v>2025</v>
      </c>
      <c r="D92">
        <f>'citations-it1-studies'!$H92</f>
        <v>1</v>
      </c>
    </row>
    <row r="93" spans="1:4">
      <c r="A93" t="s">
        <v>4274</v>
      </c>
      <c r="B93" s="39" t="str">
        <f>HYPERLINK('citations-it1-studies'!$D93,'citations-it1-studies'!$B93)</f>
        <v>Implementing and using smart maintenance technologies: Introducing challenges and enablers related to human, organizational and technological perspectives</v>
      </c>
      <c r="C93">
        <f>'citations-it1-studies'!$C93</f>
        <v>2025</v>
      </c>
      <c r="D93">
        <f>'citations-it1-studies'!$H93</f>
        <v>10</v>
      </c>
    </row>
    <row r="94" spans="1:4">
      <c r="A94" t="s">
        <v>4274</v>
      </c>
      <c r="B94" s="39" t="str">
        <f>HYPERLINK('citations-it1-studies'!$D94,'citations-it1-studies'!$B94)</f>
        <v>Performance evaluation of industrial Ethernet protocols for networked control application</v>
      </c>
      <c r="C94">
        <f>'citations-it1-studies'!$C94</f>
        <v>2019</v>
      </c>
      <c r="D94">
        <f>'citations-it1-studies'!$H94</f>
        <v>10</v>
      </c>
    </row>
    <row r="95" spans="1:4">
      <c r="A95" t="s">
        <v>4274</v>
      </c>
      <c r="B95" s="39" t="str">
        <f>HYPERLINK('citations-it1-studies'!$D95,'citations-it1-studies'!$B95)</f>
        <v>Comprehensive Exploration of IoT Communication Protocol: CoAP, MQTT, HTTP, LoRaWAN and AMQP</v>
      </c>
      <c r="C95">
        <f>'citations-it1-studies'!$C95</f>
        <v>2024</v>
      </c>
      <c r="D95">
        <f>'citations-it1-studies'!$H95</f>
        <v>14</v>
      </c>
    </row>
    <row r="96" spans="1:4">
      <c r="A96" t="s">
        <v>4274</v>
      </c>
      <c r="B96" s="39" t="str">
        <f>HYPERLINK('citations-it1-studies'!$D96,'citations-it1-studies'!$B96)</f>
        <v>System architecture for small‐scale personalized production lines based on industrial Internet</v>
      </c>
      <c r="C96">
        <f>'citations-it1-studies'!$C96</f>
        <v>2024</v>
      </c>
      <c r="D96">
        <f>'citations-it1-studies'!$H96</f>
        <v>0</v>
      </c>
    </row>
    <row r="97" spans="1:4">
      <c r="A97" t="s">
        <v>4274</v>
      </c>
      <c r="B97" s="39" t="str">
        <f>HYPERLINK('citations-it1-studies'!$D97,'citations-it1-studies'!$B97)</f>
        <v>Enhancing Industrial Digitalisation through an Adaptable Component for Bridging Semantic Interoperability Gaps</v>
      </c>
      <c r="C97">
        <f>'citations-it1-studies'!$C97</f>
        <v>2024</v>
      </c>
      <c r="D97">
        <f>'citations-it1-studies'!$H97</f>
        <v>1</v>
      </c>
    </row>
    <row r="98" spans="1:4">
      <c r="A98" t="s">
        <v>4274</v>
      </c>
      <c r="B98" s="39" t="str">
        <f>HYPERLINK('citations-it1-studies'!$D98,'citations-it1-studies'!$B98)</f>
        <v>Encryption for Industrial Control Systems: A Survey of Application-Level and Network-Level Approaches in Smart Grids</v>
      </c>
      <c r="C98">
        <f>'citations-it1-studies'!$C98</f>
        <v>2026</v>
      </c>
      <c r="D98">
        <f>'citations-it1-studies'!$H98</f>
        <v>0</v>
      </c>
    </row>
    <row r="99" spans="1:4">
      <c r="A99" t="s">
        <v>4274</v>
      </c>
      <c r="B99" s="39" t="str">
        <f>HYPERLINK('citations-it1-studies'!$D99,'citations-it1-studies'!$B99)</f>
        <v>Distributed Process Control and Interoperability Using IEC 61499 and MQTT</v>
      </c>
      <c r="C99">
        <f>'citations-it1-studies'!$C99</f>
        <v>2025</v>
      </c>
      <c r="D99">
        <f>'citations-it1-studies'!$H99</f>
        <v>4</v>
      </c>
    </row>
    <row r="100" spans="1:4">
      <c r="A100" t="s">
        <v>4274</v>
      </c>
      <c r="B100" s="39" t="str">
        <f>HYPERLINK('citations-it1-studies'!$D100,'citations-it1-studies'!$B100)</f>
        <v>Application of Machine Learning Algorithms for the Validation of a New CoAP-IoT Anomaly Detection Dataset</v>
      </c>
      <c r="C100">
        <f>'citations-it1-studies'!$C100</f>
        <v>2023</v>
      </c>
      <c r="D100">
        <f>'citations-it1-studies'!$H100</f>
        <v>1</v>
      </c>
    </row>
    <row r="101" spans="1:4">
      <c r="A101" t="s">
        <v>4274</v>
      </c>
      <c r="B101" s="39" t="str">
        <f>HYPERLINK('citations-it1-studies'!$D101,'citations-it1-studies'!$B101)</f>
        <v>Design of Cloud-Edge-Gateway Collaborative Zero-Trust Architecture and Workflow for Smart Factories</v>
      </c>
      <c r="C101">
        <f>'citations-it1-studies'!$C101</f>
        <v>2024</v>
      </c>
      <c r="D101">
        <f>'citations-it1-studies'!$H101</f>
        <v>5</v>
      </c>
    </row>
    <row r="102" spans="1:4">
      <c r="A102" t="s">
        <v>4274</v>
      </c>
      <c r="B102" s="39" t="str">
        <f>HYPERLINK('citations-it1-studies'!$D102,'citations-it1-studies'!$B102)</f>
        <v>Performance Evaluation of Application Layer IoT Protocols: MQTT and CoAP</v>
      </c>
      <c r="C102">
        <f>'citations-it1-studies'!$C102</f>
        <v>2024</v>
      </c>
      <c r="D102">
        <f>'citations-it1-studies'!$H102</f>
        <v>6</v>
      </c>
    </row>
    <row r="103" spans="1:4">
      <c r="A103" t="s">
        <v>4274</v>
      </c>
      <c r="B103" s="39" t="str">
        <f>HYPERLINK('citations-it1-studies'!$D103,'citations-it1-studies'!$B103)</f>
        <v>Mitigating 3D printing defects via cyber-physical systems: a process for fabricating defect-free components</v>
      </c>
      <c r="C103">
        <f>'citations-it1-studies'!$C103</f>
        <v>2025</v>
      </c>
      <c r="D103">
        <f>'citations-it1-studies'!$H103</f>
        <v>22</v>
      </c>
    </row>
    <row r="104" spans="1:4">
      <c r="A104" t="s">
        <v>4274</v>
      </c>
      <c r="B104" s="39" t="str">
        <f>HYPERLINK('citations-it1-studies'!$D104,'citations-it1-studies'!$B104)</f>
        <v>Environment Monitoring Subsystem Based on Recursive InterNetwork Architecture</v>
      </c>
      <c r="C104">
        <f>'citations-it1-studies'!$C104</f>
        <v>2024</v>
      </c>
      <c r="D104">
        <f>'citations-it1-studies'!$H104</f>
        <v>19</v>
      </c>
    </row>
    <row r="105" spans="1:4">
      <c r="A105" t="s">
        <v>4274</v>
      </c>
      <c r="B105" s="39" t="str">
        <f>HYPERLINK('citations-it1-studies'!$D105,'citations-it1-studies'!$B105)</f>
        <v>When the digital twin meets the preventive conservation of movable wooden artifacts</v>
      </c>
      <c r="C105">
        <f>'citations-it1-studies'!$C105</f>
        <v>2023</v>
      </c>
      <c r="D105">
        <f>'citations-it1-studies'!$H105</f>
        <v>0</v>
      </c>
    </row>
    <row r="106" spans="1:4">
      <c r="A106" t="s">
        <v>4274</v>
      </c>
      <c r="B106" s="39" t="str">
        <f>HYPERLINK('citations-it1-studies'!$D106,'citations-it1-studies'!$B106)</f>
        <v>Deep Learning Applications for Blockchain in Industrial IoT</v>
      </c>
      <c r="C106">
        <f>'citations-it1-studies'!$C106</f>
        <v>2022</v>
      </c>
      <c r="D106">
        <f>'citations-it1-studies'!$H106</f>
        <v>6</v>
      </c>
    </row>
    <row r="107" spans="1:4">
      <c r="A107" t="s">
        <v>4274</v>
      </c>
      <c r="B107" s="39" t="str">
        <f>HYPERLINK('citations-it1-studies'!$D107,'citations-it1-studies'!$B107)</f>
        <v>Edge Computing: Use Cases and Research Challenges</v>
      </c>
      <c r="C107">
        <f>'citations-it1-studies'!$C107</f>
        <v>2023</v>
      </c>
      <c r="D107">
        <f>'citations-it1-studies'!$H107</f>
        <v>18</v>
      </c>
    </row>
    <row r="108" spans="1:4">
      <c r="A108" t="s">
        <v>4274</v>
      </c>
      <c r="B108" s="39" t="str">
        <f>HYPERLINK('citations-it1-studies'!$D108,'citations-it1-studies'!$B108)</f>
        <v>Data Security and Privacy in Industrial IoT</v>
      </c>
      <c r="C108">
        <f>'citations-it1-studies'!$C108</f>
        <v>2021</v>
      </c>
      <c r="D108">
        <f>'citations-it1-studies'!$H108</f>
        <v>19</v>
      </c>
    </row>
    <row r="109" spans="1:4">
      <c r="A109" t="s">
        <v>4274</v>
      </c>
      <c r="B109" s="39" t="str">
        <f>HYPERLINK('citations-it1-studies'!$D109,'citations-it1-studies'!$B109)</f>
        <v>Cloud Computing for High Voltage Substation Based Relay Protection</v>
      </c>
      <c r="C109">
        <f>'citations-it1-studies'!$C109</f>
        <v>2024</v>
      </c>
      <c r="D109">
        <f>'citations-it1-studies'!$H109</f>
        <v>7</v>
      </c>
    </row>
    <row r="110" spans="1:4">
      <c r="A110" t="s">
        <v>4274</v>
      </c>
      <c r="B110" s="39" t="str">
        <f>HYPERLINK('citations-it1-studies'!$D110,'citations-it1-studies'!$B110)</f>
        <v>An Online Model to Minimize Energy Consumption of IoT Sensors in Smart Cities</v>
      </c>
      <c r="C110">
        <f>'citations-it1-studies'!$C110</f>
        <v>2022</v>
      </c>
      <c r="D110">
        <f>'citations-it1-studies'!$H110</f>
        <v>9</v>
      </c>
    </row>
    <row r="111" spans="1:4">
      <c r="A111" t="s">
        <v>4274</v>
      </c>
      <c r="B111" s="39" t="str">
        <f>HYPERLINK('citations-it1-studies'!$D111,'citations-it1-studies'!$B111)</f>
        <v>Model of a Device-Level Combined Wireless Network Based on NB-IoT and IEEE 802.15.4 Standards for Low-Power Applications in a Diverse IoT Framework.</v>
      </c>
      <c r="C111">
        <f>'citations-it1-studies'!$C111</f>
        <v>2021</v>
      </c>
      <c r="D111">
        <f>'citations-it1-studies'!$H111</f>
        <v>0</v>
      </c>
    </row>
    <row r="112" spans="1:4">
      <c r="A112" t="s">
        <v>4274</v>
      </c>
      <c r="B112" s="39" t="str">
        <f>HYPERLINK('citations-it1-studies'!$D112,'citations-it1-studies'!$B112)</f>
        <v>A chronological review of advanced metering infrastructure</v>
      </c>
      <c r="C112">
        <f>'citations-it1-studies'!$C112</f>
        <v>2023</v>
      </c>
      <c r="D112">
        <f>'citations-it1-studies'!$H112</f>
        <v>1</v>
      </c>
    </row>
    <row r="113" spans="1:4">
      <c r="A113" t="s">
        <v>4274</v>
      </c>
      <c r="B113" s="39" t="str">
        <f>HYPERLINK('citations-it1-studies'!$D113,'citations-it1-studies'!$B113)</f>
        <v>Joint Security-Reliability Performance Optimization in Low-Latency Industrial IoT Networks</v>
      </c>
      <c r="C113">
        <f>'citations-it1-studies'!$C113</f>
        <v>2025</v>
      </c>
      <c r="D113">
        <f>'citations-it1-studies'!$H113</f>
        <v>5</v>
      </c>
    </row>
    <row r="114" spans="1:4">
      <c r="A114" t="s">
        <v>4274</v>
      </c>
      <c r="B114" s="39" t="str">
        <f>HYPERLINK('citations-it1-studies'!$D114,'citations-it1-studies'!$B114)</f>
        <v>Identifying key attacks on an IEEE 9-Bus System by leveraging the MITRE ATT&amp;CK ICS Matrix</v>
      </c>
      <c r="C114">
        <f>'citations-it1-studies'!$C114</f>
        <v>2025</v>
      </c>
      <c r="D114">
        <f>'citations-it1-studies'!$H114</f>
        <v>8</v>
      </c>
    </row>
    <row r="115" spans="1:4">
      <c r="A115" t="s">
        <v>4274</v>
      </c>
      <c r="B115" s="39" t="str">
        <f>HYPERLINK('citations-it1-studies'!$D115,'citations-it1-studies'!$B115)</f>
        <v>Mapping of Industrial IoT to IEC 62443 Standards.</v>
      </c>
      <c r="C115">
        <f>'citations-it1-studies'!$C115</f>
        <v>2025</v>
      </c>
      <c r="D115">
        <f>'citations-it1-studies'!$H115</f>
        <v>1</v>
      </c>
    </row>
    <row r="116" spans="1:4">
      <c r="A116" t="s">
        <v>4274</v>
      </c>
      <c r="B116" s="39" t="str">
        <f>HYPERLINK('citations-it1-studies'!$D116,'citations-it1-studies'!$B116)</f>
        <v>Engineering Interoperable, Plug-and-Play, Distributed, Robotic Control Systems for Futureproof Fusion Power Plants</v>
      </c>
      <c r="C116">
        <f>'citations-it1-studies'!$C116</f>
        <v>2021</v>
      </c>
      <c r="D116">
        <f>'citations-it1-studies'!$H116</f>
        <v>0</v>
      </c>
    </row>
    <row r="117" spans="1:4">
      <c r="A117" t="s">
        <v>4274</v>
      </c>
      <c r="B117" s="39" t="str">
        <f>HYPERLINK('citations-it1-studies'!$D117,'citations-it1-studies'!$B117)</f>
        <v>Cybersecurity Testbeds for IoT: A Systematic Literature Review and Taxonomy</v>
      </c>
      <c r="C117">
        <f>'citations-it1-studies'!$C117</f>
        <v>2024</v>
      </c>
      <c r="D117">
        <f>'citations-it1-studies'!$H117</f>
        <v>24</v>
      </c>
    </row>
    <row r="118" spans="1:4">
      <c r="A118" t="s">
        <v>4274</v>
      </c>
      <c r="B118" s="39" t="str">
        <f>HYPERLINK('citations-it1-studies'!$D118,'citations-it1-studies'!$B118)</f>
        <v>A systematic literature review: Messaging protocols and electronic platforms used in the internet of things for the purpose of building smart homes</v>
      </c>
      <c r="C118">
        <f>'citations-it1-studies'!$C118</f>
        <v>2023</v>
      </c>
      <c r="D118">
        <f>'citations-it1-studies'!$H118</f>
        <v>10</v>
      </c>
    </row>
    <row r="119" spans="1:4">
      <c r="A119" t="s">
        <v>4274</v>
      </c>
      <c r="B119" s="39" t="str">
        <f>HYPERLINK('citations-it1-studies'!$D119,'citations-it1-studies'!$B119)</f>
        <v>Data-Based Process Monitoring for Structural Bonding of Fiber-Reinforced Thermoplastics in Aviation</v>
      </c>
      <c r="C119">
        <f>'citations-it1-studies'!$C119</f>
        <v>2025</v>
      </c>
      <c r="D119">
        <f>'citations-it1-studies'!$H119</f>
        <v>6</v>
      </c>
    </row>
    <row r="120" spans="1:4">
      <c r="A120" t="s">
        <v>4274</v>
      </c>
      <c r="B120" s="39" t="str">
        <f>HYPERLINK('citations-it1-studies'!$D120,'citations-it1-studies'!$B120)</f>
        <v>Smart Tree: An Architectural, Greening and ICT Multidisciplinary Approach to Smart Campus Environments.</v>
      </c>
      <c r="C120">
        <f>'citations-it1-studies'!$C120</f>
        <v>2021</v>
      </c>
      <c r="D120">
        <f>'citations-it1-studies'!$H120</f>
        <v>0</v>
      </c>
    </row>
    <row r="121" spans="1:4">
      <c r="A121" t="s">
        <v>4274</v>
      </c>
      <c r="B121" s="39" t="str">
        <f>HYPERLINK('citations-it1-studies'!$D121,'citations-it1-studies'!$B121)</f>
        <v>The Nexus Between Digital Transformation and Economic Efficiency: Evidence from Selected Countries</v>
      </c>
      <c r="C121">
        <f>'citations-it1-studies'!$C121</f>
        <v>2023</v>
      </c>
      <c r="D121">
        <f>'citations-it1-studies'!$H121</f>
        <v>10</v>
      </c>
    </row>
    <row r="122" spans="1:4">
      <c r="A122" t="s">
        <v>4274</v>
      </c>
      <c r="B122" s="39" t="str">
        <f>HYPERLINK('citations-it1-studies'!$D122,'citations-it1-studies'!$B122)</f>
        <v>OPC UA and MQTT performance analysis within a unified namespace context</v>
      </c>
      <c r="C122">
        <f>'citations-it1-studies'!$C122</f>
        <v>2025</v>
      </c>
      <c r="D122">
        <f>'citations-it1-studies'!$H122</f>
        <v>1</v>
      </c>
    </row>
    <row r="123" spans="1:4">
      <c r="A123" t="s">
        <v>4274</v>
      </c>
      <c r="B123" s="39" t="str">
        <f>HYPERLINK('citations-it1-studies'!$D123,'citations-it1-studies'!$B123)</f>
        <v>Methods and means of conflict-free data exchange in the group of mobile robotic platforms</v>
      </c>
      <c r="C123">
        <f>'citations-it1-studies'!$C123</f>
        <v>2024</v>
      </c>
      <c r="D123">
        <f>'citations-it1-studies'!$H123</f>
        <v>11</v>
      </c>
    </row>
    <row r="124" spans="1:4">
      <c r="A124" t="s">
        <v>4274</v>
      </c>
      <c r="B124" s="39" t="str">
        <f>HYPERLINK('citations-it1-studies'!$D124,'citations-it1-studies'!$B124)</f>
        <v>A Survey on Industrial Internet With ISA100 Wireless</v>
      </c>
      <c r="C124">
        <f>'citations-it1-studies'!$C124</f>
        <v>2020</v>
      </c>
      <c r="D124">
        <f>'citations-it1-studies'!$H124</f>
        <v>20</v>
      </c>
    </row>
    <row r="125" spans="1:4">
      <c r="A125" t="s">
        <v>4274</v>
      </c>
      <c r="B125" s="39" t="str">
        <f>HYPERLINK('citations-it1-studies'!$D125,'citations-it1-studies'!$B125)</f>
        <v>A Comprehensive Systematic Survey of IoT Protocols: Implications for Data Quality and Performance</v>
      </c>
      <c r="C125">
        <f>'citations-it1-studies'!$C125</f>
        <v>2025</v>
      </c>
      <c r="D125">
        <f>'citations-it1-studies'!$H125</f>
        <v>30</v>
      </c>
    </row>
    <row r="126" spans="1:4">
      <c r="A126" t="s">
        <v>4274</v>
      </c>
      <c r="B126" s="39" t="str">
        <f>HYPERLINK('citations-it1-studies'!$D126,'citations-it1-studies'!$B126)</f>
        <v>Securing the Industrial Internet of Things against ransomware attacks: A comprehensive analysis of the emerging threat landscape and detection mechanisms</v>
      </c>
      <c r="C126">
        <f>'citations-it1-studies'!$C126</f>
        <v>2024</v>
      </c>
      <c r="D126">
        <f>'citations-it1-studies'!$H126</f>
        <v>1</v>
      </c>
    </row>
    <row r="127" spans="1:4">
      <c r="A127" t="s">
        <v>4274</v>
      </c>
      <c r="B127" s="39" t="str">
        <f>HYPERLINK('citations-it1-studies'!$D127,'citations-it1-studies'!$B127)</f>
        <v>Wide area, IoT-based PID control of slow systems over LoRaWAN</v>
      </c>
      <c r="C127">
        <f>'citations-it1-studies'!$C127</f>
        <v>2025</v>
      </c>
      <c r="D127">
        <f>'citations-it1-studies'!$H127</f>
        <v>6</v>
      </c>
    </row>
    <row r="128" spans="1:4">
      <c r="A128" t="s">
        <v>4274</v>
      </c>
      <c r="B128" s="39" t="str">
        <f>HYPERLINK('citations-it1-studies'!$D128,'citations-it1-studies'!$B128)</f>
        <v>ETFA - Modular Signal Processing Unit for Motion Control Applications Based on System-on-Chip with FPGA</v>
      </c>
      <c r="C128">
        <f>'citations-it1-studies'!$C128</f>
        <v>2019</v>
      </c>
      <c r="D128">
        <f>'citations-it1-studies'!$H128</f>
        <v>7</v>
      </c>
    </row>
    <row r="129" spans="1:4">
      <c r="A129" t="s">
        <v>4274</v>
      </c>
      <c r="B129" s="39" t="str">
        <f>HYPERLINK('citations-it1-studies'!$D129,'citations-it1-studies'!$B129)</f>
        <v>Digital Twin—Cyber Replica of Physical Things: Architecture, Applications and Future Research Directions</v>
      </c>
      <c r="C129">
        <f>'citations-it1-studies'!$C129</f>
        <v>2022</v>
      </c>
      <c r="D129">
        <f>'citations-it1-studies'!$H129</f>
        <v>1</v>
      </c>
    </row>
    <row r="130" spans="1:4">
      <c r="A130" t="s">
        <v>4274</v>
      </c>
      <c r="B130" s="39" t="str">
        <f>HYPERLINK('citations-it1-studies'!$D130,'citations-it1-studies'!$B130)</f>
        <v>Assertive, Selective, Scalable IoT-Based Warning System.</v>
      </c>
      <c r="C130">
        <f>'citations-it1-studies'!$C130</f>
        <v>2022</v>
      </c>
      <c r="D130">
        <f>'citations-it1-studies'!$H130</f>
        <v>1</v>
      </c>
    </row>
    <row r="131" spans="1:4">
      <c r="A131" t="s">
        <v>4274</v>
      </c>
      <c r="B131" s="39" t="str">
        <f>HYPERLINK('citations-it1-studies'!$D131,'citations-it1-studies'!$B131)</f>
        <v>Faster Implementation Time Through Interoperability: Let's Prove it!</v>
      </c>
      <c r="C131">
        <f>'citations-it1-studies'!$C131</f>
        <v>2025</v>
      </c>
      <c r="D131">
        <f>'citations-it1-studies'!$H131</f>
        <v>7</v>
      </c>
    </row>
    <row r="132" spans="1:4">
      <c r="A132" t="s">
        <v>4274</v>
      </c>
      <c r="B132" s="39" t="str">
        <f>HYPERLINK('citations-it1-studies'!$D132,'citations-it1-studies'!$B132)</f>
        <v>AI-Enhanced Process Digital Twins for Circular Manufacturing: Design, Architecture, and Deployment</v>
      </c>
      <c r="C132">
        <f>'citations-it1-studies'!$C132</f>
        <v>2025</v>
      </c>
      <c r="D132">
        <f>'citations-it1-studies'!$H132</f>
        <v>8</v>
      </c>
    </row>
    <row r="133" spans="1:4">
      <c r="A133" t="s">
        <v>4274</v>
      </c>
      <c r="B133" s="39" t="str">
        <f>HYPERLINK('citations-it1-studies'!$D133,'citations-it1-studies'!$B133)</f>
        <v>Web Based PLC Integrated Process Simulator</v>
      </c>
      <c r="C133">
        <f>'citations-it1-studies'!$C133</f>
        <v>2022</v>
      </c>
      <c r="D133">
        <f>'citations-it1-studies'!$H133</f>
        <v>9</v>
      </c>
    </row>
    <row r="134" spans="1:4">
      <c r="A134" t="s">
        <v>4274</v>
      </c>
      <c r="B134" s="39" t="str">
        <f>HYPERLINK('citations-it1-studies'!$D134,'citations-it1-studies'!$B134)</f>
        <v>Asynchronous Peer-to-Peer Federated Capability-Based Targeted Ransomware Detection Model for Industrial IoT</v>
      </c>
      <c r="C134">
        <f>'citations-it1-studies'!$C134</f>
        <v>2021</v>
      </c>
      <c r="D134">
        <f>'citations-it1-studies'!$H134</f>
        <v>18</v>
      </c>
    </row>
    <row r="135" spans="1:4">
      <c r="A135" t="s">
        <v>4274</v>
      </c>
      <c r="B135" s="39" t="str">
        <f>HYPERLINK('citations-it1-studies'!$D135,'citations-it1-studies'!$B135)</f>
        <v>E-MQTT: End-to-End Synchronous and Asynchronous Communication Mechanisms in MQTT Protocol</v>
      </c>
      <c r="C135">
        <f>'citations-it1-studies'!$C135</f>
        <v>2023</v>
      </c>
      <c r="D135">
        <f>'citations-it1-studies'!$H135</f>
        <v>1</v>
      </c>
    </row>
    <row r="136" spans="1:4">
      <c r="A136" t="s">
        <v>4274</v>
      </c>
      <c r="B136" s="39" t="str">
        <f>HYPERLINK('citations-it1-studies'!$D136,'citations-it1-studies'!$B136)</f>
        <v>Analysis of Penetration Testing Methods for Specific IoT Device: IP Camera</v>
      </c>
      <c r="C136">
        <f>'citations-it1-studies'!$C136</f>
        <v>2024</v>
      </c>
      <c r="D136">
        <f>'citations-it1-studies'!$H136</f>
        <v>7</v>
      </c>
    </row>
    <row r="137" spans="1:4">
      <c r="A137" t="s">
        <v>4274</v>
      </c>
      <c r="B137" s="39" t="str">
        <f>HYPERLINK('citations-it1-studies'!$D137,'citations-it1-studies'!$B137)</f>
        <v>Edge-Fog Enhanced Post-Quantum Network Security: Applications, Challenges and Solutions</v>
      </c>
      <c r="C137">
        <f>'citations-it1-studies'!$C137</f>
        <v>2025</v>
      </c>
      <c r="D137">
        <f>'citations-it1-studies'!$H137</f>
        <v>31</v>
      </c>
    </row>
    <row r="138" spans="1:4">
      <c r="A138" t="s">
        <v>4274</v>
      </c>
      <c r="B138" s="39" t="str">
        <f>HYPERLINK('citations-it1-studies'!$D138,'citations-it1-studies'!$B138)</f>
        <v>Ultra Light-weight Encryption for Securing D2D Communication of ESP8266 IoT devices in Wireless Mesh Networks</v>
      </c>
      <c r="C138">
        <f>'citations-it1-studies'!$C138</f>
        <v>2022</v>
      </c>
      <c r="D138">
        <f>'citations-it1-studies'!$H138</f>
        <v>6</v>
      </c>
    </row>
    <row r="139" spans="1:4">
      <c r="A139" t="s">
        <v>4274</v>
      </c>
      <c r="B139" s="39" t="str">
        <f>HYPERLINK('citations-it1-studies'!$D139,'citations-it1-studies'!$B139)</f>
        <v>MQTT Latency Evaluation in Cloud-Based Spectrometer Control</v>
      </c>
      <c r="C139">
        <f>'citations-it1-studies'!$C139</f>
        <v>2025</v>
      </c>
      <c r="D139">
        <f>'citations-it1-studies'!$H139</f>
        <v>7</v>
      </c>
    </row>
    <row r="140" spans="1:4">
      <c r="A140" t="s">
        <v>4274</v>
      </c>
      <c r="B140" s="39" t="str">
        <f>HYPERLINK('citations-it1-studies'!$D140,'citations-it1-studies'!$B140)</f>
        <v>Defending against smishing attacks: State-of-the-art techniques, challenges, limitations, and future directions</v>
      </c>
      <c r="C140">
        <f>'citations-it1-studies'!$C140</f>
        <v>2025</v>
      </c>
      <c r="D140">
        <f>'citations-it1-studies'!$H140</f>
        <v>1</v>
      </c>
    </row>
    <row r="141" spans="1:4">
      <c r="A141" t="s">
        <v>4274</v>
      </c>
      <c r="B141" s="39" t="str">
        <f>HYPERLINK('citations-it1-studies'!$D141,'citations-it1-studies'!$B141)</f>
        <v>Monitoring and management solution for distributed PV systems based on cloud and IoT technologies</v>
      </c>
      <c r="C141">
        <f>'citations-it1-studies'!$C141</f>
        <v>2022</v>
      </c>
      <c r="D141">
        <f>'citations-it1-studies'!$H141</f>
        <v>4</v>
      </c>
    </row>
    <row r="142" spans="1:4">
      <c r="A142" t="s">
        <v>4274</v>
      </c>
      <c r="B142" s="39" t="str">
        <f>HYPERLINK('citations-it1-studies'!$D142,'citations-it1-studies'!$B142)</f>
        <v>Reducing Commissioning Efforts in the Process Industry Through Open Standards</v>
      </c>
      <c r="C142">
        <f>'citations-it1-studies'!$C142</f>
        <v>2025</v>
      </c>
      <c r="D142">
        <f>'citations-it1-studies'!$H142</f>
        <v>7</v>
      </c>
    </row>
    <row r="143" spans="1:4">
      <c r="A143" t="s">
        <v>4274</v>
      </c>
      <c r="B143" s="39" t="str">
        <f>HYPERLINK('citations-it1-studies'!$D143,'citations-it1-studies'!$B143)</f>
        <v>A Low-Cost Open-Source Architecture for a Digital Signage Emergency Evacuation System for Cruise Ships, Based on IoT and LTE/4G Technologies</v>
      </c>
      <c r="C143">
        <f>'citations-it1-studies'!$C143</f>
        <v>2022</v>
      </c>
      <c r="D143">
        <f>'citations-it1-studies'!$H143</f>
        <v>1</v>
      </c>
    </row>
    <row r="144" spans="1:4">
      <c r="A144" t="s">
        <v>4274</v>
      </c>
      <c r="B144" s="39" t="str">
        <f>HYPERLINK('citations-it1-studies'!$D144,'citations-it1-studies'!$B144)</f>
        <v>Framework for Modeling and Evaluating Information Flows in Flexible Manufacturing Systems</v>
      </c>
      <c r="C144">
        <f>'citations-it1-studies'!$C144</f>
        <v>2024</v>
      </c>
      <c r="D144">
        <f>'citations-it1-studies'!$H144</f>
        <v>13</v>
      </c>
    </row>
    <row r="145" spans="1:4">
      <c r="A145" t="s">
        <v>4274</v>
      </c>
      <c r="B145" s="39" t="str">
        <f>HYPERLINK('citations-it1-studies'!$D145,'citations-it1-studies'!$B145)</f>
        <v>SAIndust: A Self-Aware Heterogeneous Computing Framework for Industrial Internet of Things</v>
      </c>
      <c r="C145">
        <f>'citations-it1-studies'!$C145</f>
        <v>2025</v>
      </c>
      <c r="D145">
        <f>'citations-it1-studies'!$H145</f>
        <v>17</v>
      </c>
    </row>
    <row r="146" spans="1:4">
      <c r="A146" t="s">
        <v>4274</v>
      </c>
      <c r="B146" s="39" t="str">
        <f>HYPERLINK('citations-it1-studies'!$D146,'citations-it1-studies'!$B146)</f>
        <v>Developing and Comparing Protocols for Low-Latency IoT Networking</v>
      </c>
      <c r="C146">
        <f>'citations-it1-studies'!$C146</f>
        <v>2025</v>
      </c>
      <c r="D146">
        <f>'citations-it1-studies'!$H146</f>
        <v>7</v>
      </c>
    </row>
    <row r="147" spans="1:4">
      <c r="A147" t="s">
        <v>4274</v>
      </c>
      <c r="B147" s="39" t="str">
        <f>HYPERLINK('citations-it1-studies'!$D147,'citations-it1-studies'!$B147)</f>
        <v>Methodology for the Implementation and Operation of Multivendor Automation Systems at Large-Scale Industrial Facilities</v>
      </c>
      <c r="C147">
        <f>'citations-it1-studies'!$C147</f>
        <v>2025</v>
      </c>
      <c r="D147">
        <f>'citations-it1-studies'!$H147</f>
        <v>5</v>
      </c>
    </row>
    <row r="148" spans="1:4">
      <c r="A148" t="s">
        <v>4274</v>
      </c>
      <c r="B148" s="39" t="str">
        <f>HYPERLINK('citations-it1-studies'!$D148,'citations-it1-studies'!$B148)</f>
        <v>DCNNBiLSTM: An Efficient Hybrid Deep Learning-Based Intrusion Detection System</v>
      </c>
      <c r="C148">
        <f>'citations-it1-studies'!$C148</f>
        <v>2023</v>
      </c>
      <c r="D148">
        <f>'citations-it1-studies'!$H148</f>
        <v>1</v>
      </c>
    </row>
    <row r="149" spans="1:4">
      <c r="A149" t="s">
        <v>4274</v>
      </c>
      <c r="B149" s="39" t="str">
        <f>HYPERLINK('citations-it1-studies'!$D149,'citations-it1-studies'!$B149)</f>
        <v>RTIMS: Real-Time Indoor Monitoring Systems: A Comprehensive Review</v>
      </c>
      <c r="C149">
        <f>'citations-it1-studies'!$C149</f>
        <v>2025</v>
      </c>
      <c r="D149">
        <f>'citations-it1-studies'!$H149</f>
        <v>0</v>
      </c>
    </row>
    <row r="150" spans="1:4">
      <c r="A150" t="s">
        <v>4274</v>
      </c>
      <c r="B150" s="39" t="str">
        <f>HYPERLINK('citations-it1-studies'!$D150,'citations-it1-studies'!$B150)</f>
        <v>ICT-Equipped Portable E-Bike Charging Station Powered by Renewables for Mass Cycling Events</v>
      </c>
      <c r="C150">
        <f>'citations-it1-studies'!$C150</f>
        <v>2024</v>
      </c>
      <c r="D150">
        <f>'citations-it1-studies'!$H150</f>
        <v>6</v>
      </c>
    </row>
    <row r="151" spans="1:4">
      <c r="A151" t="s">
        <v>4274</v>
      </c>
      <c r="B151" s="39" t="str">
        <f>HYPERLINK('citations-it1-studies'!$D151,'citations-it1-studies'!$B151)</f>
        <v>Assessing Industrial Communication Protocols to Bridge the Gap between Machine Tools and Software Monitoring.</v>
      </c>
      <c r="C151">
        <f>'citations-it1-studies'!$C151</f>
        <v>2023</v>
      </c>
      <c r="D151">
        <f>'citations-it1-studies'!$H151</f>
        <v>1</v>
      </c>
    </row>
    <row r="152" spans="1:4">
      <c r="A152" t="s">
        <v>4274</v>
      </c>
      <c r="B152" s="39" t="str">
        <f>HYPERLINK('citations-it1-studies'!$D152,'citations-it1-studies'!$B152)</f>
        <v>Systematic Literature Review of Cybersecurity Testbeds for Industrial Internet of Things.</v>
      </c>
      <c r="C152">
        <f>'citations-it1-studies'!$C152</f>
        <v>2025</v>
      </c>
      <c r="D152">
        <f>'citations-it1-studies'!$H152</f>
        <v>7</v>
      </c>
    </row>
    <row r="153" spans="1:4">
      <c r="A153" t="s">
        <v>4274</v>
      </c>
      <c r="B153" s="39" t="str">
        <f>HYPERLINK('citations-it1-studies'!$D153,'citations-it1-studies'!$B153)</f>
        <v>Estendendo o MENTORED Testbed para a execução de experimentos de cibersegurança multi-cluster e IoT</v>
      </c>
      <c r="C153">
        <f>'citations-it1-studies'!$C153</f>
        <v>2025</v>
      </c>
      <c r="D153">
        <f>'citations-it1-studies'!$H153</f>
        <v>14</v>
      </c>
    </row>
    <row r="154" spans="1:4">
      <c r="A154" t="s">
        <v>4274</v>
      </c>
      <c r="B154" s="39" t="str">
        <f>HYPERLINK('citations-it1-studies'!$D154,'citations-it1-studies'!$B154)</f>
        <v>Multisensor Platform for Underwater Object Detection and Localization Applications</v>
      </c>
      <c r="C154">
        <f>'citations-it1-studies'!$C154</f>
        <v>2022</v>
      </c>
      <c r="D154">
        <f>'citations-it1-studies'!$H154</f>
        <v>7</v>
      </c>
    </row>
    <row r="155" spans="1:4">
      <c r="A155" t="s">
        <v>4274</v>
      </c>
      <c r="B155" s="39" t="str">
        <f>HYPERLINK('citations-it1-studies'!$D155,'citations-it1-studies'!$B155)</f>
        <v>A Survey of Security Challenges in Cloud-Based SCADA Systems</v>
      </c>
      <c r="C155">
        <f>'citations-it1-studies'!$C155</f>
        <v>2024</v>
      </c>
      <c r="D155">
        <f>'citations-it1-studies'!$H155</f>
        <v>1</v>
      </c>
    </row>
    <row r="156" spans="1:4">
      <c r="A156" t="s">
        <v>4274</v>
      </c>
      <c r="B156" s="39" t="str">
        <f>HYPERLINK('citations-it1-studies'!$D156,'citations-it1-studies'!$B156)</f>
        <v>DripAlyze: internet of things based water leakage detection system for smart resource management</v>
      </c>
      <c r="C156">
        <f>'citations-it1-studies'!$C156</f>
        <v>2025</v>
      </c>
      <c r="D156">
        <f>'citations-it1-studies'!$H156</f>
        <v>11</v>
      </c>
    </row>
    <row r="157" spans="1:4">
      <c r="A157" t="s">
        <v>4274</v>
      </c>
      <c r="B157" s="39" t="str">
        <f>HYPERLINK('citations-it1-studies'!$D157,'citations-it1-studies'!$B157)</f>
        <v>OPC UA for NDE: Integration, Challenges, and Prospects</v>
      </c>
      <c r="C157">
        <f>'citations-it1-studies'!$C157</f>
        <v>2025</v>
      </c>
      <c r="D157">
        <f>'citations-it1-studies'!$H157</f>
        <v>24</v>
      </c>
    </row>
    <row r="158" spans="1:4">
      <c r="A158" t="s">
        <v>4274</v>
      </c>
      <c r="B158" s="39" t="str">
        <f>HYPERLINK('citations-it1-studies'!$D158,'citations-it1-studies'!$B158)</f>
        <v>Intrusion Detection System for Securing Agriculture 4.0 Against DDoS Attacks Using Deep Learning and Machine Learning Models</v>
      </c>
      <c r="C158">
        <f>'citations-it1-studies'!$C158</f>
        <v>2025</v>
      </c>
      <c r="D158">
        <f>'citations-it1-studies'!$H158</f>
        <v>7</v>
      </c>
    </row>
    <row r="159" spans="1:4">
      <c r="A159" t="s">
        <v>4274</v>
      </c>
      <c r="B159" s="39" t="str">
        <f>HYPERLINK('citations-it1-studies'!$D159,'citations-it1-studies'!$B159)</f>
        <v>OPC-UA vs. MQTT (UNS): Evaluating Alignment with RAMI4.0 Through Literature Review</v>
      </c>
      <c r="C159">
        <f>'citations-it1-studies'!$C159</f>
        <v>2025</v>
      </c>
      <c r="D159">
        <f>'citations-it1-studies'!$H159</f>
        <v>12</v>
      </c>
    </row>
    <row r="160" spans="1:4">
      <c r="A160" t="s">
        <v>4274</v>
      </c>
      <c r="B160" s="39" t="str">
        <f>HYPERLINK('citations-it1-studies'!$D160,'citations-it1-studies'!$B160)</f>
        <v>A Single-Fed Dual-Band Orthogonal Circularly Polarized Filtering Antenna for 5G-Enabled IoV Applications</v>
      </c>
      <c r="C160">
        <f>'citations-it1-studies'!$C160</f>
        <v>2025</v>
      </c>
      <c r="D160">
        <f>'citations-it1-studies'!$H160</f>
        <v>10</v>
      </c>
    </row>
    <row r="161" spans="1:4">
      <c r="A161" t="s">
        <v>4274</v>
      </c>
      <c r="B161" s="39" t="str">
        <f>HYPERLINK('citations-it1-studies'!$D161,'citations-it1-studies'!$B161)</f>
        <v>Connecting 3D Printer to the Industrial Internet of Things (IIoT) through MQTT Sparkplug B Protocol</v>
      </c>
      <c r="C161">
        <f>'citations-it1-studies'!$C161</f>
        <v>2023</v>
      </c>
      <c r="D161">
        <f>'citations-it1-studies'!$H161</f>
        <v>6</v>
      </c>
    </row>
    <row r="162" spans="1:4">
      <c r="A162" t="s">
        <v>4274</v>
      </c>
      <c r="B162" s="39" t="str">
        <f>HYPERLINK('citations-it1-studies'!$D162,'citations-it1-studies'!$B162)</f>
        <v>OPC UA for NDE: Integration, Challenges, and Prospects</v>
      </c>
      <c r="C162">
        <f>'citations-it1-studies'!$C162</f>
        <v>2025</v>
      </c>
      <c r="D162">
        <f>'citations-it1-studies'!$H162</f>
        <v>25</v>
      </c>
    </row>
    <row r="163" spans="1:4">
      <c r="A163" t="s">
        <v>4274</v>
      </c>
      <c r="B163" s="39" t="str">
        <f>HYPERLINK('citations-it1-studies'!$D163,'citations-it1-studies'!$B163)</f>
        <v>SDN-DMQTT: SDN-Based Platform for Re-configurable MQTT Distributed Brokers Architecture</v>
      </c>
      <c r="C163">
        <f>'citations-it1-studies'!$C163</f>
        <v>2024</v>
      </c>
      <c r="D163">
        <f>'citations-it1-studies'!$H163</f>
        <v>19</v>
      </c>
    </row>
    <row r="164" spans="1:4">
      <c r="A164" t="s">
        <v>4274</v>
      </c>
      <c r="B164" s="39" t="str">
        <f>HYPERLINK('citations-it1-studies'!$D164,'citations-it1-studies'!$B164)</f>
        <v>Survey on Wireless Technology Trade-Offs for the Industrial Internet of Things.</v>
      </c>
      <c r="C164">
        <f>'citations-it1-studies'!$C164</f>
        <v>2020</v>
      </c>
      <c r="D164">
        <f>'citations-it1-studies'!$H164</f>
        <v>0</v>
      </c>
    </row>
    <row r="165" spans="1:4">
      <c r="A165" t="s">
        <v>4274</v>
      </c>
      <c r="B165" s="39" t="str">
        <f>HYPERLINK('citations-it1-studies'!$D165,'citations-it1-studies'!$B165)</f>
        <v>Shaping Intelligent Connectivity Using AI and IoT</v>
      </c>
      <c r="C165">
        <f>'citations-it1-studies'!$C165</f>
        <v>2025</v>
      </c>
      <c r="D165">
        <f>'citations-it1-studies'!$H165</f>
        <v>42</v>
      </c>
    </row>
    <row r="166" spans="1:4">
      <c r="A166" t="s">
        <v>4274</v>
      </c>
      <c r="B166" s="39" t="str">
        <f>HYPERLINK('citations-it1-studies'!$D166,'citations-it1-studies'!$B166)</f>
        <v>Holistic Survey on Security in IoT Application Layer: Attacks, Protocols, and Applications</v>
      </c>
      <c r="C166">
        <f>'citations-it1-studies'!$C166</f>
        <v>2024</v>
      </c>
      <c r="D166">
        <f>'citations-it1-studies'!$H166</f>
        <v>58</v>
      </c>
    </row>
    <row r="167" spans="1:4">
      <c r="A167" t="s">
        <v>4274</v>
      </c>
      <c r="B167" s="39" t="str">
        <f>HYPERLINK('citations-it1-studies'!$D167,'citations-it1-studies'!$B167)</f>
        <v>Big Data and Machine Learning in Industry 6.0</v>
      </c>
      <c r="C167">
        <f>'citations-it1-studies'!$C167</f>
        <v>2026</v>
      </c>
      <c r="D167">
        <f>'citations-it1-studies'!$H167</f>
        <v>27</v>
      </c>
    </row>
    <row r="168" spans="1:4">
      <c r="A168" t="s">
        <v>4274</v>
      </c>
      <c r="B168" s="39" t="str">
        <f>HYPERLINK('citations-it1-studies'!$D168,'citations-it1-studies'!$B168)</f>
        <v>Trend Analysis of Factory Automation Using Topic Modeling</v>
      </c>
      <c r="C168">
        <f>'citations-it1-studies'!$C168</f>
        <v>2025</v>
      </c>
      <c r="D168">
        <f>'citations-it1-studies'!$H168</f>
        <v>1</v>
      </c>
    </row>
    <row r="169" spans="1:4">
      <c r="A169" t="s">
        <v>4274</v>
      </c>
      <c r="B169" s="39" t="str">
        <f>HYPERLINK('citations-it1-studies'!$D169,'citations-it1-studies'!$B169)</f>
        <v>Edge Computing for Safe Control of a Parametric Multi-floor Manufacturing Process</v>
      </c>
      <c r="C169">
        <f>'citations-it1-studies'!$C169</f>
        <v>2025</v>
      </c>
      <c r="D169">
        <f>'citations-it1-studies'!$H169</f>
        <v>6</v>
      </c>
    </row>
    <row r="170" spans="1:4">
      <c r="A170" t="s">
        <v>4274</v>
      </c>
      <c r="B170" s="39" t="str">
        <f>HYPERLINK('citations-it1-studies'!$D170,'citations-it1-studies'!$B170)</f>
        <v>DDoS attack detection using CNN-BiLSTM with attention mechanism</v>
      </c>
      <c r="C170">
        <f>'citations-it1-studies'!$C170</f>
        <v>2025</v>
      </c>
      <c r="D170">
        <f>'citations-it1-studies'!$H170</f>
        <v>1</v>
      </c>
    </row>
    <row r="171" spans="1:4">
      <c r="A171" t="s">
        <v>4274</v>
      </c>
      <c r="B171" s="39" t="str">
        <f>HYPERLINK('citations-it1-studies'!$D171,'citations-it1-studies'!$B171)</f>
        <v>Resilience Against APTs: A Provenance-Based IIoT Dataset for Cybersecurity Research</v>
      </c>
      <c r="C171">
        <f>'citations-it1-studies'!$C171</f>
        <v>2026</v>
      </c>
      <c r="D171">
        <f>'citations-it1-studies'!$H171</f>
        <v>24</v>
      </c>
    </row>
    <row r="172" spans="1:4">
      <c r="A172" t="s">
        <v>4274</v>
      </c>
      <c r="B172" s="39" t="str">
        <f>HYPERLINK('citations-it1-studies'!$D172,'citations-it1-studies'!$B172)</f>
        <v>A Performance Analysis of Security Protocols for Distributed Measurement Systems Based on Internet of Things with Constrained Hardware and Open Source Infrastructures.</v>
      </c>
      <c r="C172">
        <f>'citations-it1-studies'!$C172</f>
        <v>2024</v>
      </c>
      <c r="D172">
        <f>'citations-it1-studies'!$H172</f>
        <v>1</v>
      </c>
    </row>
    <row r="173" spans="1:4">
      <c r="A173" t="s">
        <v>4274</v>
      </c>
      <c r="B173" s="39" t="str">
        <f>HYPERLINK('citations-it1-studies'!$D173,'citations-it1-studies'!$B173)</f>
        <v>Comparative Analysis and Implementation of HTTP3, MQTT, and CoAP for IoT Applications</v>
      </c>
      <c r="C173">
        <f>'citations-it1-studies'!$C173</f>
        <v>2024</v>
      </c>
      <c r="D173">
        <f>'citations-it1-studies'!$H173</f>
        <v>6</v>
      </c>
    </row>
    <row r="174" spans="1:4">
      <c r="A174" t="s">
        <v>4274</v>
      </c>
      <c r="B174" s="39" t="str">
        <f>HYPERLINK('citations-it1-studies'!$D174,'citations-it1-studies'!$B174)</f>
        <v>Comprehensive electrical models for a wireless sensor network device.</v>
      </c>
      <c r="C174">
        <f>'citations-it1-studies'!$C174</f>
        <v>2024</v>
      </c>
      <c r="D174">
        <f>'citations-it1-studies'!$H174</f>
        <v>1</v>
      </c>
    </row>
    <row r="175" spans="1:4">
      <c r="A175" t="s">
        <v>4274</v>
      </c>
      <c r="B175" s="39" t="str">
        <f>HYPERLINK('citations-it1-studies'!$D175,'citations-it1-studies'!$B175)</f>
        <v>Microsecond-Accurate EtherCAT Transmission Scheme for Industrial Cyber–Physical Systems</v>
      </c>
      <c r="C175">
        <f>'citations-it1-studies'!$C175</f>
        <v>2025</v>
      </c>
      <c r="D175">
        <f>'citations-it1-studies'!$H175</f>
        <v>13</v>
      </c>
    </row>
    <row r="176" spans="1:4">
      <c r="A176" t="s">
        <v>4274</v>
      </c>
      <c r="B176" s="39" t="str">
        <f>HYPERLINK('citations-it1-studies'!$D176,'citations-it1-studies'!$B176)</f>
        <v>OPC-UA Agent for Legacy Programmable Logic Controllers</v>
      </c>
      <c r="C176">
        <f>'citations-it1-studies'!$C176</f>
        <v>2022</v>
      </c>
      <c r="D176">
        <f>'citations-it1-studies'!$H176</f>
        <v>1</v>
      </c>
    </row>
    <row r="177" spans="1:4">
      <c r="A177" t="s">
        <v>4274</v>
      </c>
      <c r="B177" s="39" t="str">
        <f>HYPERLINK('citations-it1-studies'!$D177,'citations-it1-studies'!$B177)</f>
        <v>Seamless computing in industrial systems using container orchestration</v>
      </c>
      <c r="C177">
        <f>'citations-it1-studies'!$C177</f>
        <v>2020</v>
      </c>
      <c r="D177">
        <f>'citations-it1-studies'!$H177</f>
        <v>11</v>
      </c>
    </row>
    <row r="178" spans="1:4">
      <c r="A178" t="s">
        <v>4274</v>
      </c>
      <c r="B178" s="39" t="str">
        <f>HYPERLINK('citations-it1-studies'!$D178,'citations-it1-studies'!$B178)</f>
        <v>Comparative Evaluation of open62541 OPC UA Servers on Embedded Devices</v>
      </c>
      <c r="C178">
        <f>'citations-it1-studies'!$C178</f>
        <v>2025</v>
      </c>
      <c r="D178">
        <f>'citations-it1-studies'!$H178</f>
        <v>6</v>
      </c>
    </row>
    <row r="179" spans="1:4">
      <c r="A179" t="s">
        <v>4274</v>
      </c>
      <c r="B179" s="39" t="str">
        <f>HYPERLINK('citations-it1-studies'!$D179,'citations-it1-studies'!$B179)</f>
        <v>Multilabel Classification in IoT NIDS: A Proposed Cross Machine Learning Pipeline</v>
      </c>
      <c r="C179">
        <f>'citations-it1-studies'!$C179</f>
        <v>2024</v>
      </c>
      <c r="D179">
        <f>'citations-it1-studies'!$H179</f>
        <v>9</v>
      </c>
    </row>
    <row r="180" spans="1:4">
      <c r="A180" t="s">
        <v>4274</v>
      </c>
      <c r="B180" s="39" t="str">
        <f>HYPERLINK('citations-it1-studies'!$D180,'citations-it1-studies'!$B180)</f>
        <v>A survey on security issues in IoT operating systems</v>
      </c>
      <c r="C180">
        <f>'citations-it1-studies'!$C180</f>
        <v>2024</v>
      </c>
      <c r="D180">
        <f>'citations-it1-studies'!$H180</f>
        <v>1</v>
      </c>
    </row>
    <row r="181" spans="1:4">
      <c r="A181" t="s">
        <v>4274</v>
      </c>
      <c r="B181" s="39" t="str">
        <f>HYPERLINK('citations-it1-studies'!$D181,'citations-it1-studies'!$B181)</f>
        <v>A Modular Interface for Multi-Agent Marine Autonomy Simulation</v>
      </c>
      <c r="C181">
        <f>'citations-it1-studies'!$C181</f>
        <v>2025</v>
      </c>
      <c r="D181">
        <f>'citations-it1-studies'!$H181</f>
        <v>5</v>
      </c>
    </row>
    <row r="182" spans="1:4">
      <c r="A182" t="s">
        <v>4274</v>
      </c>
      <c r="B182" s="39" t="str">
        <f>HYPERLINK('citations-it1-studies'!$D182,'citations-it1-studies'!$B182)</f>
        <v>Enhancing Wireless Sensor Network in Structural Health Monitoring through TCP/IP Socket Programming-Based Mimic Broadcasting: Experimental Validation</v>
      </c>
      <c r="C182">
        <f>'citations-it1-studies'!$C182</f>
        <v>2024</v>
      </c>
      <c r="D182">
        <f>'citations-it1-studies'!$H182</f>
        <v>1</v>
      </c>
    </row>
    <row r="183" spans="1:4">
      <c r="A183" t="s">
        <v>4274</v>
      </c>
      <c r="B183" s="39" t="str">
        <f>HYPERLINK('citations-it1-studies'!$D183,'citations-it1-studies'!$B183)</f>
        <v>Assessment of OPC UA PubSub at Scale Using TSN Infrastructure and Network Calculus</v>
      </c>
      <c r="C183">
        <f>'citations-it1-studies'!$C183</f>
        <v>2024</v>
      </c>
      <c r="D183">
        <f>'citations-it1-studies'!$H183</f>
        <v>9</v>
      </c>
    </row>
    <row r="184" spans="1:4">
      <c r="A184" t="s">
        <v>4274</v>
      </c>
      <c r="B184" s="39" t="str">
        <f>HYPERLINK('citations-it1-studies'!$D184,'citations-it1-studies'!$B184)</f>
        <v>Development of a Monitoring System for the Cooling Water Experimental Platform of the China Spallation Neutron Source</v>
      </c>
      <c r="C184">
        <f>'citations-it1-studies'!$C184</f>
        <v>2025</v>
      </c>
      <c r="D184">
        <f>'citations-it1-studies'!$H184</f>
        <v>4</v>
      </c>
    </row>
    <row r="185" spans="1:4">
      <c r="A185" t="s">
        <v>4274</v>
      </c>
      <c r="B185" s="39" t="str">
        <f>HYPERLINK('citations-it1-studies'!$D185,'citations-it1-studies'!$B185)</f>
        <v>Multi-Client Scenario-Based Reverse Shell Attack Simulation</v>
      </c>
      <c r="C185">
        <f>'citations-it1-studies'!$C185</f>
        <v>2025</v>
      </c>
      <c r="D185">
        <f>'citations-it1-studies'!$H185</f>
        <v>5</v>
      </c>
    </row>
    <row r="186" spans="1:4">
      <c r="A186" t="s">
        <v>4274</v>
      </c>
      <c r="B186" s="39" t="str">
        <f>HYPERLINK('citations-it1-studies'!$D186,'citations-it1-studies'!$B186)</f>
        <v>Analyzing Microservice Communication Performance in Industrial Edge Platform</v>
      </c>
      <c r="C186">
        <f>'citations-it1-studies'!$C186</f>
        <v>2025</v>
      </c>
      <c r="D186">
        <f>'citations-it1-studies'!$H186</f>
        <v>12</v>
      </c>
    </row>
    <row r="187" spans="1:4">
      <c r="A187" t="s">
        <v>4274</v>
      </c>
      <c r="B187" s="39" t="str">
        <f>HYPERLINK('citations-it1-studies'!$D187,'citations-it1-studies'!$B187)</f>
        <v>D&amp;R of Digital Twin-based Intelligent Control Practical Training System</v>
      </c>
      <c r="C187">
        <f>'citations-it1-studies'!$C187</f>
        <v>2023</v>
      </c>
      <c r="D187">
        <f>'citations-it1-studies'!$H187</f>
        <v>7</v>
      </c>
    </row>
    <row r="188" spans="1:4">
      <c r="A188" t="s">
        <v>4274</v>
      </c>
      <c r="B188" s="39" t="str">
        <f>HYPERLINK('citations-it1-studies'!$D188,'citations-it1-studies'!$B188)</f>
        <v>Evaluating V2X Communications in the CARLA Simulator for a Collaborative Planning Use Case</v>
      </c>
      <c r="C188">
        <f>'citations-it1-studies'!$C188</f>
        <v>2024</v>
      </c>
      <c r="D188">
        <f>'citations-it1-studies'!$H188</f>
        <v>6</v>
      </c>
    </row>
    <row r="189" spans="1:4">
      <c r="A189" t="s">
        <v>4274</v>
      </c>
      <c r="B189" s="39" t="str">
        <f>HYPERLINK('citations-it1-studies'!$D189,'citations-it1-studies'!$B189)</f>
        <v>Deep learning-based stacked models for cyber-attack detection in industrial internet of things</v>
      </c>
      <c r="C189">
        <f>'citations-it1-studies'!$C189</f>
        <v>2025</v>
      </c>
      <c r="D189">
        <f>'citations-it1-studies'!$H189</f>
        <v>35</v>
      </c>
    </row>
    <row r="190" spans="1:4">
      <c r="A190" t="s">
        <v>4274</v>
      </c>
      <c r="B190" s="39" t="str">
        <f>HYPERLINK('citations-it1-studies'!$D190,'citations-it1-studies'!$B190)</f>
        <v>Toward Digital Twin-as-a-Service (DTaaS) Platforms: A Survey on Architecture, Design Requirements, and Performance Metrics</v>
      </c>
      <c r="C190">
        <f>'citations-it1-studies'!$C190</f>
        <v>2026</v>
      </c>
      <c r="D190">
        <f>'citations-it1-studies'!$H190</f>
        <v>34</v>
      </c>
    </row>
    <row r="191" spans="1:4">
      <c r="A191" t="s">
        <v>4274</v>
      </c>
      <c r="B191" s="39" t="str">
        <f>HYPERLINK('citations-it1-studies'!$D191,'citations-it1-studies'!$B191)</f>
        <v>A self-contained emulator for the forensic examination of IoE scenarios</v>
      </c>
      <c r="C191">
        <f>'citations-it1-studies'!$C191</f>
        <v>2025</v>
      </c>
      <c r="D191">
        <f>'citations-it1-studies'!$H191</f>
        <v>1</v>
      </c>
    </row>
    <row r="192" spans="1:4">
      <c r="A192" t="s">
        <v>4274</v>
      </c>
      <c r="B192" s="39" t="str">
        <f>HYPERLINK('citations-it1-studies'!$D192,'citations-it1-studies'!$B192)</f>
        <v>Computer vision-based quality inspection for tire sealant application with simulated robotic dispensing</v>
      </c>
      <c r="C192">
        <f>'citations-it1-studies'!$C192</f>
        <v>2025</v>
      </c>
      <c r="D192">
        <f>'citations-it1-studies'!$H192</f>
        <v>35</v>
      </c>
    </row>
    <row r="193" spans="1:4">
      <c r="A193" t="s">
        <v>4274</v>
      </c>
      <c r="B193" s="39" t="str">
        <f>HYPERLINK('citations-it1-studies'!$D193,'citations-it1-studies'!$B193)</f>
        <v>Multiuser Physical-Layer Authentication Based on Latent Perturbed Neural Networks for Industrial Internet of Things</v>
      </c>
      <c r="C193">
        <f>'citations-it1-studies'!$C193</f>
        <v>2023</v>
      </c>
      <c r="D193">
        <f>'citations-it1-studies'!$H193</f>
        <v>16</v>
      </c>
    </row>
    <row r="194" spans="1:4">
      <c r="A194" t="s">
        <v>4274</v>
      </c>
      <c r="B194" s="39" t="str">
        <f>HYPERLINK('citations-it1-studies'!$D194,'citations-it1-studies'!$B194)</f>
        <v>255Virtual cybersecurity testbeds for industrial Internet of Things</v>
      </c>
      <c r="C194">
        <f>'citations-it1-studies'!$C194</f>
        <v>0</v>
      </c>
      <c r="D194">
        <f>'citations-it1-studies'!$H194</f>
        <v>26</v>
      </c>
    </row>
    <row r="195" spans="1:4">
      <c r="A195" t="s">
        <v>4274</v>
      </c>
      <c r="B195" s="39" t="str">
        <f>HYPERLINK('citations-it1-studies'!$D195,'citations-it1-studies'!$B195)</f>
        <v>QMA: A Ressource-efficient, Q-Learning-based Multiple Access Scheme for the IIoT</v>
      </c>
      <c r="C195">
        <f>'citations-it1-studies'!$C195</f>
        <v>2021</v>
      </c>
      <c r="D195">
        <f>'citations-it1-studies'!$H195</f>
        <v>0</v>
      </c>
    </row>
    <row r="196" spans="1:4">
      <c r="A196" t="s">
        <v>4274</v>
      </c>
      <c r="B196" s="39" t="str">
        <f>HYPERLINK('citations-it1-studies'!$D196,'citations-it1-studies'!$B196)</f>
        <v>Intrusion Detection and Prevention in Industrial Internet of Things: A Study</v>
      </c>
      <c r="C196">
        <f>'citations-it1-studies'!$C196</f>
        <v>2023</v>
      </c>
      <c r="D196">
        <f>'citations-it1-studies'!$H196</f>
        <v>12</v>
      </c>
    </row>
    <row r="197" spans="1:4">
      <c r="A197" t="s">
        <v>4274</v>
      </c>
      <c r="B197" s="39" t="str">
        <f>HYPERLINK('citations-it1-studies'!$D197,'citations-it1-studies'!$B197)</f>
        <v>IEEE P2668-Compliant Multi-Layer IoT-DDoS Defense System Using Deep Reinforcement Learning</v>
      </c>
      <c r="C197">
        <f>'citations-it1-studies'!$C197</f>
        <v>2023</v>
      </c>
      <c r="D197">
        <f>'citations-it1-studies'!$H197</f>
        <v>16</v>
      </c>
    </row>
    <row r="198" spans="1:4">
      <c r="A198" t="s">
        <v>4274</v>
      </c>
      <c r="B198" s="39" t="str">
        <f>HYPERLINK('citations-it1-studies'!$D198,'citations-it1-studies'!$B198)</f>
        <v>Development of an IoT-Based SCADA System for Monitoring of Plant Leaf Temperature and Air and Soil Parameters</v>
      </c>
      <c r="C198">
        <f>'citations-it1-studies'!$C198</f>
        <v>2023</v>
      </c>
      <c r="D198">
        <f>'citations-it1-studies'!$H198</f>
        <v>1</v>
      </c>
    </row>
    <row r="199" spans="1:4">
      <c r="A199" t="s">
        <v>4274</v>
      </c>
      <c r="B199" s="39" t="str">
        <f>HYPERLINK('citations-it1-studies'!$D199,'citations-it1-studies'!$B199)</f>
        <v>Artificial intelligence for secure and sustainable industrial control systems - A Survey of challenges and solutions</v>
      </c>
      <c r="C199">
        <f>'citations-it1-studies'!$C199</f>
        <v>2025</v>
      </c>
      <c r="D199">
        <f>'citations-it1-studies'!$H199</f>
        <v>0</v>
      </c>
    </row>
    <row r="200" spans="1:4">
      <c r="A200" t="s">
        <v>4274</v>
      </c>
      <c r="B200" s="39" t="str">
        <f>HYPERLINK('citations-it1-studies'!$D200,'citations-it1-studies'!$B200)</f>
        <v>Internet of Things Driven Digital Twin for Intelligent Manufacturing in Shipbuilding Workshops</v>
      </c>
      <c r="C200">
        <f>'citations-it1-studies'!$C200</f>
        <v>2025</v>
      </c>
      <c r="D200">
        <f>'citations-it1-studies'!$H200</f>
        <v>0</v>
      </c>
    </row>
    <row r="201" spans="1:4">
      <c r="A201" t="s">
        <v>4274</v>
      </c>
      <c r="B201" s="39" t="str">
        <f>HYPERLINK('citations-it1-studies'!$D201,'citations-it1-studies'!$B201)</f>
        <v>Flexible Arbitrary Signal Generation and Acquisition System for Compact Underwater Measurement Systems and Data Fusion</v>
      </c>
      <c r="C201">
        <f>'citations-it1-studies'!$C201</f>
        <v>2021</v>
      </c>
      <c r="D201">
        <f>'citations-it1-studies'!$H201</f>
        <v>6</v>
      </c>
    </row>
    <row r="202" spans="1:4">
      <c r="A202" t="s">
        <v>4274</v>
      </c>
      <c r="B202" s="39" t="str">
        <f>HYPERLINK('citations-it1-studies'!$D202,'citations-it1-studies'!$B202)</f>
        <v>Towards electric digital twin grid: Technology and framework review</v>
      </c>
      <c r="C202">
        <f>'citations-it1-studies'!$C202</f>
        <v>2023</v>
      </c>
      <c r="D202">
        <f>'citations-it1-studies'!$H202</f>
        <v>1</v>
      </c>
    </row>
    <row r="203" spans="1:4">
      <c r="A203" t="s">
        <v>4274</v>
      </c>
      <c r="B203" s="39" t="str">
        <f>HYPERLINK('citations-it1-studies'!$D203,'citations-it1-studies'!$B203)</f>
        <v>Real-Time AI-Driven Milling Digital Twin Towards Extreme Low-Latency</v>
      </c>
      <c r="C203">
        <f>'citations-it1-studies'!$C203</f>
        <v>2026</v>
      </c>
      <c r="D203">
        <f>'citations-it1-studies'!$H203</f>
        <v>0</v>
      </c>
    </row>
    <row r="204" spans="1:4">
      <c r="A204" t="s">
        <v>4274</v>
      </c>
      <c r="B204" s="39" t="str">
        <f>HYPERLINK('citations-it1-studies'!$D204,'citations-it1-studies'!$B204)</f>
        <v>On computing and real-time communication performance of containerized virtual PLCs</v>
      </c>
      <c r="C204">
        <f>'citations-it1-studies'!$C204</f>
        <v>2024</v>
      </c>
      <c r="D204">
        <f>'citations-it1-studies'!$H204</f>
        <v>4</v>
      </c>
    </row>
    <row r="205" spans="1:4">
      <c r="A205" t="s">
        <v>4274</v>
      </c>
      <c r="B205" s="39" t="str">
        <f>HYPERLINK('citations-it1-studies'!$D205,'citations-it1-studies'!$B205)</f>
        <v>Multi-Scene Layered Container Pre-Migration Method for Satellite Task Continuity</v>
      </c>
      <c r="C205">
        <f>'citations-it1-studies'!$C205</f>
        <v>2025</v>
      </c>
      <c r="D205">
        <f>'citations-it1-studies'!$H205</f>
        <v>6</v>
      </c>
    </row>
    <row r="206" spans="1:4">
      <c r="A206" t="s">
        <v>4274</v>
      </c>
      <c r="B206" s="39" t="str">
        <f>HYPERLINK('citations-it1-studies'!$D206,'citations-it1-studies'!$B206)</f>
        <v>A flexible OT testbed for evaluating on-device implementations of IEC-61850 GOOSE</v>
      </c>
      <c r="C206">
        <f>'citations-it1-studies'!$C206</f>
        <v>2023</v>
      </c>
      <c r="D206">
        <f>'citations-it1-studies'!$H206</f>
        <v>1</v>
      </c>
    </row>
    <row r="207" spans="1:4">
      <c r="A207" t="s">
        <v>4274</v>
      </c>
      <c r="B207" s="39" t="str">
        <f>HYPERLINK('citations-it1-studies'!$D207,'citations-it1-studies'!$B207)</f>
        <v>A Conceptual Implementation Process for Smart Maintenance Technologies</v>
      </c>
      <c r="C207">
        <f>'citations-it1-studies'!$C207</f>
        <v>2024</v>
      </c>
      <c r="D207">
        <f>'citations-it1-studies'!$H207</f>
        <v>24</v>
      </c>
    </row>
    <row r="208" spans="1:4">
      <c r="A208" t="s">
        <v>4274</v>
      </c>
      <c r="B208" s="39" t="str">
        <f>HYPERLINK('citations-it1-studies'!$D208,'citations-it1-studies'!$B208)</f>
        <v>Industrial robot system state simulation and risk utilization test environment design</v>
      </c>
      <c r="C208">
        <f>'citations-it1-studies'!$C208</f>
        <v>2025</v>
      </c>
      <c r="D208">
        <f>'citations-it1-studies'!$H208</f>
        <v>1</v>
      </c>
    </row>
    <row r="209" spans="1:4">
      <c r="A209" t="s">
        <v>4274</v>
      </c>
      <c r="B209" s="39" t="str">
        <f>HYPERLINK('citations-it1-studies'!$D209,'citations-it1-studies'!$B209)</f>
        <v>Multimodal Cognitive Architecture with Local Generative AI for Industrial Control of Concrete Plants on Edge Devices.</v>
      </c>
      <c r="C209">
        <f>'citations-it1-studies'!$C209</f>
        <v>2025</v>
      </c>
      <c r="D209">
        <f>'citations-it1-studies'!$H209</f>
        <v>0</v>
      </c>
    </row>
    <row r="210" spans="1:4">
      <c r="A210" t="s">
        <v>4274</v>
      </c>
      <c r="B210" s="39" t="str">
        <f>HYPERLINK('citations-it1-studies'!$D210,'citations-it1-studies'!$B210)</f>
        <v>A Survey on OPC UA Protocol: Overview, Challenges and Opportunities</v>
      </c>
      <c r="C210">
        <f>'citations-it1-studies'!$C210</f>
        <v>2023</v>
      </c>
      <c r="D210">
        <f>'citations-it1-studies'!$H210</f>
        <v>8</v>
      </c>
    </row>
    <row r="211" spans="1:4">
      <c r="A211" t="s">
        <v>4274</v>
      </c>
      <c r="B211" s="39" t="str">
        <f>HYPERLINK('citations-it1-studies'!$D211,'citations-it1-studies'!$B211)</f>
        <v>The Significance of the Industrial Internet of Things (IIoT) for the Oil and Gas Space</v>
      </c>
      <c r="C211">
        <f>'citations-it1-studies'!$C211</f>
        <v>2023</v>
      </c>
      <c r="D211">
        <f>'citations-it1-studies'!$H211</f>
        <v>30</v>
      </c>
    </row>
    <row r="212" spans="1:4">
      <c r="A212" t="s">
        <v>4275</v>
      </c>
      <c r="B212" s="39" t="str">
        <f>HYPERLINK('references-it1-studies'!$D2,'references-it1-studies'!$B2)</f>
        <v>CCS - POIROT: Aligning Attack Behavior with Kernel Audit Records for Cyber Threat Hunting</v>
      </c>
      <c r="C212">
        <f>'references-it1-studies'!$C2</f>
        <v>2019</v>
      </c>
      <c r="D212">
        <f>'references-it1-studies'!$H2</f>
        <v>18</v>
      </c>
    </row>
    <row r="213" spans="1:4">
      <c r="A213" t="s">
        <v>4275</v>
      </c>
      <c r="B213" s="39" t="str">
        <f>HYPERLINK('references-it1-studies'!$D3,'references-it1-studies'!$B3)</f>
        <v>Man-in-the-middle-attack: Understanding in simple words</v>
      </c>
      <c r="C213">
        <f>'references-it1-studies'!$C3</f>
        <v>2019</v>
      </c>
      <c r="D213">
        <f>'references-it1-studies'!$H3</f>
        <v>16</v>
      </c>
    </row>
    <row r="214" spans="1:4">
      <c r="A214" t="s">
        <v>4275</v>
      </c>
      <c r="B214" s="39" t="str">
        <f>HYPERLINK('references-it1-studies'!$D4,'references-it1-studies'!$B4)</f>
        <v>ICICS - S7commTrace: A High Interactive Honeypot for Industrial Control System Based on S7 Protocol</v>
      </c>
      <c r="C214">
        <f>'references-it1-studies'!$C4</f>
        <v>2018</v>
      </c>
      <c r="D214">
        <f>'references-it1-studies'!$H4</f>
        <v>12</v>
      </c>
    </row>
    <row r="215" spans="1:4">
      <c r="A215" t="s">
        <v>4275</v>
      </c>
      <c r="B215" s="39" t="str">
        <f>HYPERLINK('references-it1-studies'!$D5,'references-it1-studies'!$B5)</f>
        <v>Integration of IoT Technologies into the Smart Grid.</v>
      </c>
      <c r="C215">
        <f>'references-it1-studies'!$C5</f>
        <v>2022</v>
      </c>
      <c r="D215">
        <f>'references-it1-studies'!$H5</f>
        <v>1</v>
      </c>
    </row>
    <row r="216" spans="1:4">
      <c r="A216" t="s">
        <v>4275</v>
      </c>
      <c r="B216" s="39" t="str">
        <f>HYPERLINK('references-it1-studies'!$D6,'references-it1-studies'!$B6)</f>
        <v>Performance evaluation of CoAP and MQTT with security support for IoT environments</v>
      </c>
      <c r="C216">
        <f>'references-it1-studies'!$C6</f>
        <v>2021</v>
      </c>
      <c r="D216">
        <f>'references-it1-studies'!$H6</f>
        <v>0</v>
      </c>
    </row>
    <row r="217" spans="1:4">
      <c r="A217" t="s">
        <v>4275</v>
      </c>
      <c r="B217" s="39" t="str">
        <f>HYPERLINK('references-it1-studies'!$D7,'references-it1-studies'!$B7)</f>
        <v>INFOCOM Workshops - Simulation of Industrial Wireless Sensor Network (IWSN) protocols</v>
      </c>
      <c r="C217">
        <f>'references-it1-studies'!$C7</f>
        <v>2016</v>
      </c>
      <c r="D217">
        <f>'references-it1-studies'!$H7</f>
        <v>7</v>
      </c>
    </row>
    <row r="218" spans="1:4">
      <c r="A218" t="s">
        <v>4275</v>
      </c>
      <c r="B218" s="39" t="str">
        <f>HYPERLINK('references-it1-studies'!$D8,'references-it1-studies'!$B8)</f>
        <v>Computer Communication Within Industrial Distributed Environment—a Survey</v>
      </c>
      <c r="C218">
        <f>'references-it1-studies'!$C8</f>
        <v>2013</v>
      </c>
      <c r="D218">
        <f>'references-it1-studies'!$H8</f>
        <v>8</v>
      </c>
    </row>
    <row r="219" spans="1:4">
      <c r="A219" t="s">
        <v>4275</v>
      </c>
      <c r="B219" s="39" t="str">
        <f>HYPERLINK('references-it1-studies'!$D9,'references-it1-studies'!$B9)</f>
        <v>Property Patterns for the Formal Verification of Automated Production Systemsstar</v>
      </c>
      <c r="C219">
        <f>'references-it1-studies'!$C9</f>
        <v>2008</v>
      </c>
      <c r="D219">
        <f>'references-it1-studies'!$H9</f>
        <v>6</v>
      </c>
    </row>
    <row r="220" spans="1:4">
      <c r="A220" t="s">
        <v>4275</v>
      </c>
      <c r="B220" s="39" t="str">
        <f>HYPERLINK('references-it1-studies'!$D10,'references-it1-studies'!$B10)</f>
        <v>Digital transformation of manufacturing through cloud services and resource virtualization</v>
      </c>
      <c r="C220">
        <f>'references-it1-studies'!$C10</f>
        <v>2019</v>
      </c>
      <c r="D220">
        <f>'references-it1-studies'!$H10</f>
        <v>13</v>
      </c>
    </row>
    <row r="221" spans="1:4">
      <c r="A221" t="s">
        <v>4275</v>
      </c>
      <c r="B221" s="39" t="str">
        <f>HYPERLINK('references-it1-studies'!$D11,'references-it1-studies'!$B11)</f>
        <v>WF-IoT - FIT IoT-LAB: A large scale open experimental IoT testbed</v>
      </c>
      <c r="C221">
        <f>'references-it1-studies'!$C11</f>
        <v>2015</v>
      </c>
      <c r="D221">
        <f>'references-it1-studies'!$H11</f>
        <v>6</v>
      </c>
    </row>
    <row r="222" spans="1:4">
      <c r="A222" t="s">
        <v>4275</v>
      </c>
      <c r="B222" s="39" t="str">
        <f>HYPERLINK('references-it1-studies'!$D12,'references-it1-studies'!$B12)</f>
        <v>Container-based architecture for flexible industrial control applications</v>
      </c>
      <c r="C222">
        <f>'references-it1-studies'!$C12</f>
        <v>2018</v>
      </c>
      <c r="D222">
        <f>'references-it1-studies'!$H12</f>
        <v>9</v>
      </c>
    </row>
    <row r="223" spans="1:4">
      <c r="A223" t="s">
        <v>4275</v>
      </c>
      <c r="B223" s="39" t="str">
        <f>HYPERLINK('references-it1-studies'!$D13,'references-it1-studies'!$B13)</f>
        <v>Interworking between Modbus and internet of things platform for industrial services</v>
      </c>
      <c r="C223">
        <f>'references-it1-studies'!$C13</f>
        <v>2024</v>
      </c>
      <c r="D223">
        <f>'references-it1-studies'!$H13</f>
        <v>11</v>
      </c>
    </row>
    <row r="224" spans="1:4">
      <c r="A224" t="s">
        <v>4275</v>
      </c>
      <c r="B224" s="39" t="str">
        <f>HYPERLINK('references-it1-studies'!$D14,'references-it1-studies'!$B14)</f>
        <v>GNS3 Communication Network Emulation for Substation GOOSE Based Protection Schemes</v>
      </c>
      <c r="C224">
        <f>'references-it1-studies'!$C14</f>
        <v>2022</v>
      </c>
      <c r="D224">
        <f>'references-it1-studies'!$H14</f>
        <v>0</v>
      </c>
    </row>
    <row r="225" spans="1:4">
      <c r="A225" t="s">
        <v>4275</v>
      </c>
      <c r="B225" s="39" t="str">
        <f>HYPERLINK('references-it1-studies'!$D15,'references-it1-studies'!$B15)</f>
        <v>ICC - Application protocols enabling internet of remote things via random access satellite channels</v>
      </c>
      <c r="C225">
        <f>'references-it1-studies'!$C15</f>
        <v>2017</v>
      </c>
      <c r="D225">
        <f>'references-it1-studies'!$H15</f>
        <v>6</v>
      </c>
    </row>
    <row r="226" spans="1:4">
      <c r="A226" t="s">
        <v>4275</v>
      </c>
      <c r="B226" s="39" t="str">
        <f>HYPERLINK('references-it1-studies'!$D16,'references-it1-studies'!$B16)</f>
        <v>Denial-of-Service Attack on IEC 61850-Based Substation Automation System: A Crucial Cyber Threat towards Smart Substation Pathways.</v>
      </c>
      <c r="C226">
        <f>'references-it1-studies'!$C16</f>
        <v>2021</v>
      </c>
      <c r="D226">
        <f>'references-it1-studies'!$H16</f>
        <v>0</v>
      </c>
    </row>
    <row r="227" spans="1:4">
      <c r="A227" t="s">
        <v>4275</v>
      </c>
      <c r="B227" s="39" t="str">
        <f>HYPERLINK('references-it1-studies'!$D17,'references-it1-studies'!$B17)</f>
        <v>Performance evaluation of the EtherCAT distributed clock algorithm</v>
      </c>
      <c r="C227">
        <f>'references-it1-studies'!$C17</f>
        <v>2010</v>
      </c>
      <c r="D227">
        <f>'references-it1-studies'!$H17</f>
        <v>6</v>
      </c>
    </row>
    <row r="228" spans="1:4">
      <c r="A228" t="s">
        <v>4275</v>
      </c>
      <c r="B228" s="39" t="str">
        <f>HYPERLINK('references-it1-studies'!$D18,'references-it1-studies'!$B18)</f>
        <v>A case study of data acquisition from field devices using OPC UA and MQTT</v>
      </c>
      <c r="C228">
        <f>'references-it1-studies'!$C18</f>
        <v>2017</v>
      </c>
      <c r="D228">
        <f>'references-it1-studies'!$H18</f>
        <v>4</v>
      </c>
    </row>
    <row r="229" spans="1:4">
      <c r="A229" t="s">
        <v>4275</v>
      </c>
      <c r="B229" s="39" t="str">
        <f>HYPERLINK('references-it1-studies'!$D19,'references-it1-studies'!$B19)</f>
        <v>Design of Industrial Edge Applications Based on IEC 61499 Microservices and Containers</v>
      </c>
      <c r="C229">
        <f>'references-it1-studies'!$C19</f>
        <v>2023</v>
      </c>
      <c r="D229">
        <f>'references-it1-studies'!$H19</f>
        <v>11</v>
      </c>
    </row>
    <row r="230" spans="1:4">
      <c r="A230" t="s">
        <v>4275</v>
      </c>
      <c r="B230" s="39" t="str">
        <f>HYPERLINK('references-it1-studies'!$D20,'references-it1-studies'!$B20)</f>
        <v>Safe controllers design for industrial automation systems</v>
      </c>
      <c r="C230">
        <f>'references-it1-studies'!$C20</f>
        <v>2011</v>
      </c>
      <c r="D230">
        <f>'references-it1-studies'!$H20</f>
        <v>19</v>
      </c>
    </row>
    <row r="231" spans="1:4">
      <c r="A231" t="s">
        <v>4275</v>
      </c>
      <c r="B231" s="39" t="str">
        <f>HYPERLINK('references-it1-studies'!$D21,'references-it1-studies'!$B21)</f>
        <v>Structured Defense Model Against DNP3-Based Critical Infrastructure Attacks</v>
      </c>
      <c r="C231">
        <f>'references-it1-studies'!$C21</f>
        <v>2024</v>
      </c>
      <c r="D231">
        <f>'references-it1-studies'!$H21</f>
        <v>19</v>
      </c>
    </row>
    <row r="232" spans="1:4">
      <c r="A232" t="s">
        <v>4275</v>
      </c>
      <c r="B232" s="39" t="str">
        <f>HYPERLINK('references-it1-studies'!$D22,'references-it1-studies'!$B22)</f>
        <v>Choice of effective messaging protocols for IoT systems: MQTT, CoAP, AMQP and HTTP</v>
      </c>
      <c r="C232">
        <f>'references-it1-studies'!$C22</f>
        <v>2017</v>
      </c>
      <c r="D232">
        <f>'references-it1-studies'!$H22</f>
        <v>7</v>
      </c>
    </row>
    <row r="233" spans="1:4">
      <c r="A233" t="s">
        <v>4275</v>
      </c>
      <c r="B233" s="39" t="str">
        <f>HYPERLINK('references-it1-studies'!$D23,'references-it1-studies'!$B23)</f>
        <v>Identification Overview of Industry 4.0 Essential Attributes and Resource-Limited Embedded Artificial-Intelligence-of-Things Devices for Small and Medium-Sized Enterprises</v>
      </c>
      <c r="C233">
        <f>'references-it1-studies'!$C23</f>
        <v>2022</v>
      </c>
      <c r="D233">
        <f>'references-it1-studies'!$H23</f>
        <v>1</v>
      </c>
    </row>
    <row r="234" spans="1:4">
      <c r="A234" t="s">
        <v>4275</v>
      </c>
      <c r="B234" s="39" t="str">
        <f>HYPERLINK('references-it1-studies'!$D24,'references-it1-studies'!$B24)</f>
        <v>Simulation and Analysis of Cyber-Attack on Modbus Protocol for Smart Grids in Virtual Environment</v>
      </c>
      <c r="C234">
        <f>'references-it1-studies'!$C24</f>
        <v>2023</v>
      </c>
      <c r="D234">
        <f>'references-it1-studies'!$H24</f>
        <v>0</v>
      </c>
    </row>
    <row r="235" spans="1:4">
      <c r="A235" t="s">
        <v>4275</v>
      </c>
      <c r="B235" s="39" t="str">
        <f>HYPERLINK('references-it1-studies'!$D25,'references-it1-studies'!$B25)</f>
        <v>A Novel Approach for Mitigation of Replay and Masquerade Attacks in Smartgrids Using IEC 61850 Standard</v>
      </c>
      <c r="C235">
        <f>'references-it1-studies'!$C25</f>
        <v>2019</v>
      </c>
      <c r="D235">
        <f>'references-it1-studies'!$H25</f>
        <v>10</v>
      </c>
    </row>
    <row r="236" spans="1:4">
      <c r="A236" t="s">
        <v>4275</v>
      </c>
      <c r="B236" s="39" t="str">
        <f>HYPERLINK('references-it1-studies'!$D26,'references-it1-studies'!$B26)</f>
        <v>A survey of intrusion detection techniques for cyber-physical systems</v>
      </c>
      <c r="C236">
        <f>'references-it1-studies'!$C26</f>
        <v>2014</v>
      </c>
      <c r="D236">
        <f>'references-it1-studies'!$H26</f>
        <v>0</v>
      </c>
    </row>
    <row r="237" spans="1:4">
      <c r="A237" t="s">
        <v>4275</v>
      </c>
      <c r="B237" s="39" t="str">
        <f>HYPERLINK('references-it1-studies'!$D27,'references-it1-studies'!$B27)</f>
        <v>MetroInd4.0&amp;amp;IoT - Performance Comparison Between OPC UA and MQTT for Data Exchange</v>
      </c>
      <c r="C237">
        <f>'references-it1-studies'!$C27</f>
        <v>2018</v>
      </c>
      <c r="D237">
        <f>'references-it1-studies'!$H27</f>
        <v>5</v>
      </c>
    </row>
    <row r="238" spans="1:4">
      <c r="A238" t="s">
        <v>4275</v>
      </c>
      <c r="B238" s="39" t="str">
        <f>HYPERLINK('references-it1-studies'!$D28,'references-it1-studies'!$B28)</f>
        <v>ETFA - TSN-Enabled OPC UA in Field Devices</v>
      </c>
      <c r="C238">
        <f>'references-it1-studies'!$C28</f>
        <v>2018</v>
      </c>
      <c r="D238">
        <f>'references-it1-studies'!$H28</f>
        <v>7</v>
      </c>
    </row>
    <row r="239" spans="1:4">
      <c r="A239" t="s">
        <v>4275</v>
      </c>
      <c r="B239" s="39" t="str">
        <f>HYPERLINK('references-it1-studies'!$D29,'references-it1-studies'!$B29)</f>
        <v>Practical Implementation of an OPC UA TSN Communication Architecture for a Manufacturing System</v>
      </c>
      <c r="C239">
        <f>'references-it1-studies'!$C29</f>
        <v>2020</v>
      </c>
      <c r="D239">
        <f>'references-it1-studies'!$H29</f>
        <v>12</v>
      </c>
    </row>
    <row r="240" spans="1:4">
      <c r="A240" t="s">
        <v>4275</v>
      </c>
      <c r="B240" s="39" t="str">
        <f>HYPERLINK('references-it1-studies'!$D30,'references-it1-studies'!$B30)</f>
        <v>LANMAN - Robustness of IoT Application Protocols to Network Impairments</v>
      </c>
      <c r="C240">
        <f>'references-it1-studies'!$C30</f>
        <v>2018</v>
      </c>
      <c r="D240">
        <f>'references-it1-studies'!$H30</f>
        <v>7</v>
      </c>
    </row>
    <row r="241" spans="1:4">
      <c r="A241" t="s">
        <v>4275</v>
      </c>
      <c r="B241" s="39" t="str">
        <f>HYPERLINK('references-it1-studies'!$D31,'references-it1-studies'!$B31)</f>
        <v>A survey of intrusion detection in Internet of Things</v>
      </c>
      <c r="C241">
        <f>'references-it1-studies'!$C31</f>
        <v>2017</v>
      </c>
      <c r="D241">
        <f>'references-it1-studies'!$H31</f>
        <v>13</v>
      </c>
    </row>
    <row r="242" spans="1:4">
      <c r="A242" t="s">
        <v>4275</v>
      </c>
      <c r="B242" s="39" t="str">
        <f>HYPERLINK('references-it1-studies'!$D32,'references-it1-studies'!$B32)</f>
        <v>Evaluating Docker for Lightweight Virtualization of Distributed and Time-Sensitive Applications in Industrial Automation</v>
      </c>
      <c r="C242">
        <f>'references-it1-studies'!$C32</f>
        <v>2021</v>
      </c>
      <c r="D242">
        <f>'references-it1-studies'!$H32</f>
        <v>11</v>
      </c>
    </row>
    <row r="243" spans="1:4">
      <c r="A243" t="s">
        <v>4275</v>
      </c>
      <c r="B243" s="39" t="str">
        <f>HYPERLINK('references-it1-studies'!$D33,'references-it1-studies'!$B33)</f>
        <v>Performance of the XMPP and the MQTT Protocols on IEC 61850-Based Micro Grid Communication Architecture</v>
      </c>
      <c r="C243">
        <f>'references-it1-studies'!$C33</f>
        <v>2021</v>
      </c>
      <c r="D243">
        <f>'references-it1-studies'!$H33</f>
        <v>0</v>
      </c>
    </row>
    <row r="244" spans="1:4">
      <c r="A244" t="s">
        <v>4275</v>
      </c>
      <c r="B244" s="39" t="str">
        <f>HYPERLINK('references-it1-studies'!$D34,'references-it1-studies'!$B34)</f>
        <v>A Performance Analysis of Internet of Things Networking Protocols: Evaluating MQTT, CoAP, OPC UA</v>
      </c>
      <c r="C244">
        <f>'references-it1-studies'!$C34</f>
        <v>2021</v>
      </c>
      <c r="D244">
        <f>'references-it1-studies'!$H34</f>
        <v>0</v>
      </c>
    </row>
    <row r="245" spans="1:4">
      <c r="A245" t="s">
        <v>4275</v>
      </c>
      <c r="B245" s="39" t="str">
        <f>HYPERLINK('references-it1-studies'!$D35,'references-it1-studies'!$B35)</f>
        <v>ETFA - A performance analysis of EtherCAT and PROFINET IRT</v>
      </c>
      <c r="C245">
        <f>'references-it1-studies'!$C35</f>
        <v>2008</v>
      </c>
      <c r="D245">
        <f>'references-it1-studies'!$H35</f>
        <v>8</v>
      </c>
    </row>
    <row r="246" spans="1:4">
      <c r="A246" t="s">
        <v>4275</v>
      </c>
      <c r="B246" s="39" t="str">
        <f>HYPERLINK('references-it1-studies'!$D36,'references-it1-studies'!$B36)</f>
        <v>Handbook of Big Data Technologies - SCADA Systems in the Cloud</v>
      </c>
      <c r="C246">
        <f>'references-it1-studies'!$C36</f>
        <v>2017</v>
      </c>
      <c r="D246">
        <f>'references-it1-studies'!$H36</f>
        <v>28</v>
      </c>
    </row>
    <row r="247" spans="1:4">
      <c r="A247" t="s">
        <v>4275</v>
      </c>
      <c r="B247" s="39" t="str">
        <f>HYPERLINK('references-it1-studies'!$D37,'references-it1-studies'!$B37)</f>
        <v>EnGINE: Developing a Flexible Research Infrastructure for Reliable and Scalable Intra-Vehicular TSN Networks</v>
      </c>
      <c r="C247">
        <f>'references-it1-studies'!$C37</f>
        <v>2021</v>
      </c>
      <c r="D247">
        <f>'references-it1-studies'!$H37</f>
        <v>0</v>
      </c>
    </row>
    <row r="248" spans="1:4">
      <c r="A248" t="s">
        <v>4275</v>
      </c>
      <c r="B248" s="39" t="str">
        <f>HYPERLINK('references-it1-studies'!$D38,'references-it1-studies'!$B38)</f>
        <v>An Effective Methodology for Measuring Software Resource Usage</v>
      </c>
      <c r="C248">
        <f>'references-it1-studies'!$C38</f>
        <v>2018</v>
      </c>
      <c r="D248">
        <f>'references-it1-studies'!$H38</f>
        <v>8</v>
      </c>
    </row>
    <row r="249" spans="1:4">
      <c r="A249" t="s">
        <v>4275</v>
      </c>
      <c r="B249" s="39" t="str">
        <f>HYPERLINK('references-it1-studies'!$D39,'references-it1-studies'!$B39)</f>
        <v>Manufacturing in the fourth industrial revolution: A positive prospect in Sustainable Manufacturing</v>
      </c>
      <c r="C249">
        <f>'references-it1-studies'!$C39</f>
        <v>2018</v>
      </c>
      <c r="D249">
        <f>'references-it1-studies'!$H39</f>
        <v>8</v>
      </c>
    </row>
    <row r="250" spans="1:4">
      <c r="A250" t="s">
        <v>4275</v>
      </c>
      <c r="B250" s="39" t="str">
        <f>HYPERLINK('references-it1-studies'!$D40,'references-it1-studies'!$B40)</f>
        <v>WF-IoT - OpenIoT: An open service framework for the Internet of Things</v>
      </c>
      <c r="C250">
        <f>'references-it1-studies'!$C40</f>
        <v>2014</v>
      </c>
      <c r="D250">
        <f>'references-it1-studies'!$H40</f>
        <v>5</v>
      </c>
    </row>
    <row r="251" spans="1:4">
      <c r="A251" t="s">
        <v>4275</v>
      </c>
      <c r="B251" s="39" t="str">
        <f>HYPERLINK('references-it1-studies'!$D41,'references-it1-studies'!$B41)</f>
        <v>On Cyber Attacks and Signature Based Intrusion Detection for Modbus Based Industrial Control Systems</v>
      </c>
      <c r="C251">
        <f>'references-it1-studies'!$C41</f>
        <v>2014</v>
      </c>
      <c r="D251">
        <f>'references-it1-studies'!$H41</f>
        <v>20</v>
      </c>
    </row>
    <row r="252" spans="1:4">
      <c r="A252" t="s">
        <v>4275</v>
      </c>
      <c r="B252" s="39" t="str">
        <f>HYPERLINK('references-it1-studies'!$D42,'references-it1-studies'!$B42)</f>
        <v>ETFA - Towards Transforming an Industrial Automation System from Monolithic to Microservices</v>
      </c>
      <c r="C252">
        <f>'references-it1-studies'!$C42</f>
        <v>2018</v>
      </c>
      <c r="D252">
        <f>'references-it1-studies'!$H42</f>
        <v>4</v>
      </c>
    </row>
    <row r="253" spans="1:4">
      <c r="A253" t="s">
        <v>4275</v>
      </c>
      <c r="B253" s="39" t="str">
        <f>HYPERLINK('references-it1-studies'!$D43,'references-it1-studies'!$B43)</f>
        <v>A Treatise on Electricity and Magnetism: Contents</v>
      </c>
      <c r="C253">
        <f>'references-it1-studies'!$C43</f>
        <v>2010</v>
      </c>
      <c r="D253">
        <f>'references-it1-studies'!$H43</f>
        <v>0</v>
      </c>
    </row>
    <row r="254" spans="1:4">
      <c r="A254" t="s">
        <v>4275</v>
      </c>
      <c r="B254" s="39" t="str">
        <f>HYPERLINK('references-it1-studies'!$D44,'references-it1-studies'!$B44)</f>
        <v>A Review of IEC 62351 Security Mechanisms for IEC 61850 Message Exchanges</v>
      </c>
      <c r="C254">
        <f>'references-it1-studies'!$C44</f>
        <v>2020</v>
      </c>
      <c r="D254">
        <f>'references-it1-studies'!$H44</f>
        <v>12</v>
      </c>
    </row>
    <row r="255" spans="1:4">
      <c r="A255" t="s">
        <v>4275</v>
      </c>
      <c r="B255" s="39" t="str">
        <f>HYPERLINK('references-it1-studies'!$D45,'references-it1-studies'!$B45)</f>
        <v>SmartGridComm - A Cost-efficient Software Testbed for Cyber-Physical Security in IEC 61850-based Substations</v>
      </c>
      <c r="C255">
        <f>'references-it1-studies'!$C45</f>
        <v>2018</v>
      </c>
      <c r="D255">
        <f>'references-it1-studies'!$H45</f>
        <v>0</v>
      </c>
    </row>
    <row r="256" spans="1:4">
      <c r="A256" t="s">
        <v>4275</v>
      </c>
      <c r="B256" s="39" t="str">
        <f>HYPERLINK('references-it1-studies'!$D46,'references-it1-studies'!$B46)</f>
        <v>Electron Spectroscopy Studies on Magneto-Optical Media and Plastic Substrate Interface</v>
      </c>
      <c r="C256">
        <f>'references-it1-studies'!$C46</f>
        <v>1987</v>
      </c>
      <c r="D256">
        <f>'references-it1-studies'!$H46</f>
        <v>2</v>
      </c>
    </row>
    <row r="257" spans="1:4">
      <c r="A257" t="s">
        <v>4275</v>
      </c>
      <c r="B257" s="39" t="str">
        <f>HYPERLINK('references-it1-studies'!$D47,'references-it1-studies'!$B47)</f>
        <v>QEST - How Fast Is MQTT</v>
      </c>
      <c r="C257">
        <f>'references-it1-studies'!$C47</f>
        <v>2018</v>
      </c>
      <c r="D257">
        <f>'references-it1-studies'!$H47</f>
        <v>17</v>
      </c>
    </row>
    <row r="258" spans="1:4">
      <c r="A258" t="s">
        <v>4275</v>
      </c>
      <c r="B258" s="39" t="str">
        <f>HYPERLINK('references-it1-studies'!$D48,'references-it1-studies'!$B48)</f>
        <v>ISGT Europe - Stealthy Injection Attacks Against IEC61850's GOOSE Messaging Service</v>
      </c>
      <c r="C258">
        <f>'references-it1-studies'!$C48</f>
        <v>2018</v>
      </c>
      <c r="D258">
        <f>'references-it1-studies'!$H48</f>
        <v>6</v>
      </c>
    </row>
    <row r="259" spans="1:4">
      <c r="A259" t="s">
        <v>4275</v>
      </c>
      <c r="B259" s="39" t="str">
        <f>HYPERLINK('references-it1-studies'!$D49,'references-it1-studies'!$B49)</f>
        <v>Internet of Things (IoT): Research, Simulators, and Testbeds</v>
      </c>
      <c r="C259">
        <f>'references-it1-studies'!$C49</f>
        <v>2018</v>
      </c>
      <c r="D259">
        <f>'references-it1-studies'!$H49</f>
        <v>11</v>
      </c>
    </row>
    <row r="260" spans="1:4">
      <c r="A260" t="s">
        <v>4275</v>
      </c>
      <c r="B260" s="39" t="str">
        <f>HYPERLINK('references-it1-studies'!$D50,'references-it1-studies'!$B50)</f>
        <v>SoK: A Reality Check for DNP3 Attacks 15 Years Later</v>
      </c>
      <c r="C260">
        <f>'references-it1-studies'!$C50</f>
        <v>2024</v>
      </c>
      <c r="D260">
        <f>'references-it1-studies'!$H50</f>
        <v>19</v>
      </c>
    </row>
    <row r="261" spans="1:4">
      <c r="A261" t="s">
        <v>4275</v>
      </c>
      <c r="B261" s="39" t="str">
        <f>HYPERLINK('references-it1-studies'!$D51,'references-it1-studies'!$B51)</f>
        <v>Avoiding the internet of insecure industrial things</v>
      </c>
      <c r="C261">
        <f>'references-it1-studies'!$C51</f>
        <v>2018</v>
      </c>
      <c r="D261">
        <f>'references-it1-studies'!$H51</f>
        <v>17</v>
      </c>
    </row>
    <row r="262" spans="1:4">
      <c r="A262" t="s">
        <v>4275</v>
      </c>
      <c r="B262" s="39" t="str">
        <f>HYPERLINK('references-it1-studies'!$D52,'references-it1-studies'!$B52)</f>
        <v>ES - Performance Evaluation of Application Layer Protocols for the Internet-of-Things</v>
      </c>
      <c r="C262">
        <f>'references-it1-studies'!$C52</f>
        <v>2018</v>
      </c>
      <c r="D262">
        <f>'references-it1-studies'!$H52</f>
        <v>8</v>
      </c>
    </row>
    <row r="263" spans="1:4">
      <c r="A263" t="s">
        <v>4275</v>
      </c>
      <c r="B263" s="39" t="str">
        <f>HYPERLINK('references-it1-studies'!$D53,'references-it1-studies'!$B53)</f>
        <v>Modeling network architecture and time behavior of Distributed Control Systems in industrial plant automation</v>
      </c>
      <c r="C263">
        <f>'references-it1-studies'!$C53</f>
        <v>2011</v>
      </c>
      <c r="D263">
        <f>'references-it1-studies'!$H53</f>
        <v>6</v>
      </c>
    </row>
    <row r="264" spans="1:4">
      <c r="A264" t="s">
        <v>4275</v>
      </c>
      <c r="B264" s="39" t="str">
        <f>HYPERLINK('references-it1-studies'!$D54,'references-it1-studies'!$B54)</f>
        <v>Verification of parallel operation of flywheel energy storage with high speed network operation</v>
      </c>
      <c r="C264">
        <f>'references-it1-studies'!$C54</f>
        <v>2013</v>
      </c>
      <c r="D264">
        <f>'references-it1-studies'!$H54</f>
        <v>6</v>
      </c>
    </row>
    <row r="265" spans="1:4">
      <c r="A265" t="s">
        <v>4275</v>
      </c>
      <c r="B265" s="39" t="str">
        <f>HYPERLINK('references-it1-studies'!$D55,'references-it1-studies'!$B55)</f>
        <v>ICPE - Bottleneck Identification and Performance Modeling of OPC UA Communication Models</v>
      </c>
      <c r="C265">
        <f>'references-it1-studies'!$C55</f>
        <v>2019</v>
      </c>
      <c r="D265">
        <f>'references-it1-studies'!$H55</f>
        <v>12</v>
      </c>
    </row>
    <row r="266" spans="1:4">
      <c r="A266" t="s">
        <v>4275</v>
      </c>
      <c r="B266" s="39" t="str">
        <f>HYPERLINK('references-it1-studies'!$D56,'references-it1-studies'!$B56)</f>
        <v>Information Centric Networking in the IoT: Experiments with NDN in the Wild</v>
      </c>
      <c r="C266">
        <f>'references-it1-studies'!$C56</f>
        <v>2014</v>
      </c>
      <c r="D266">
        <f>'references-it1-studies'!$H56</f>
        <v>10</v>
      </c>
    </row>
    <row r="267" spans="1:4">
      <c r="A267" t="s">
        <v>4275</v>
      </c>
      <c r="B267" s="39" t="str">
        <f>HYPERLINK('references-it1-studies'!$D57,'references-it1-studies'!$B57)</f>
        <v>ICIOT - IoTbed: A Generic Architecture for Testbed as a Service for Internet of Things-Based Systems</v>
      </c>
      <c r="C267">
        <f>'references-it1-studies'!$C57</f>
        <v>2017</v>
      </c>
      <c r="D267">
        <f>'references-it1-studies'!$H57</f>
        <v>8</v>
      </c>
    </row>
    <row r="268" spans="1:4">
      <c r="A268" t="s">
        <v>4275</v>
      </c>
      <c r="B268" s="39" t="str">
        <f>HYPERLINK('references-it1-studies'!$D58,'references-it1-studies'!$B58)</f>
        <v>Modeling and Analysis of Attacks and Counter Defense Mechanisms for Cyber Physical Systems</v>
      </c>
      <c r="C268">
        <f>'references-it1-studies'!$C58</f>
        <v>2016</v>
      </c>
      <c r="D268">
        <f>'references-it1-studies'!$H58</f>
        <v>9</v>
      </c>
    </row>
    <row r="269" spans="1:4">
      <c r="A269" t="s">
        <v>4275</v>
      </c>
      <c r="B269" s="39" t="str">
        <f>HYPERLINK('references-it1-studies'!$D59,'references-it1-studies'!$B59)</f>
        <v>HICSS - Design Principles for Industrie 4.0 Scenarios</v>
      </c>
      <c r="C269">
        <f>'references-it1-studies'!$C59</f>
        <v>2016</v>
      </c>
      <c r="D269">
        <f>'references-it1-studies'!$H59</f>
        <v>10</v>
      </c>
    </row>
    <row r="270" spans="1:4">
      <c r="A270" t="s">
        <v>4275</v>
      </c>
      <c r="B270" s="39" t="str">
        <f>HYPERLINK('references-it1-studies'!$D60,'references-it1-studies'!$B60)</f>
        <v>A Comparison of Lightweight Communication Protocols in Robotic Applications</v>
      </c>
      <c r="C270">
        <f>'references-it1-studies'!$C60</f>
        <v>2015</v>
      </c>
      <c r="D270">
        <f>'references-it1-studies'!$H60</f>
        <v>6</v>
      </c>
    </row>
    <row r="271" spans="1:4">
      <c r="A271" t="s">
        <v>4275</v>
      </c>
      <c r="B271" s="39" t="str">
        <f>HYPERLINK('references-it1-studies'!$D61,'references-it1-studies'!$B61)</f>
        <v>IoT-RFID Testbed for Supporting Traffic Light Control</v>
      </c>
      <c r="C271">
        <f>'references-it1-studies'!$C61</f>
        <v>2015</v>
      </c>
      <c r="D271">
        <f>'references-it1-studies'!$H61</f>
        <v>0</v>
      </c>
    </row>
    <row r="272" spans="1:4">
      <c r="A272" t="s">
        <v>4275</v>
      </c>
      <c r="B272" s="39" t="str">
        <f>HYPERLINK('references-it1-studies'!$D62,'references-it1-studies'!$B62)</f>
        <v>Vulnerability and Impact Analysis of the IEC 61850 GOOSE Protocol in the Smart Grid.</v>
      </c>
      <c r="C272">
        <f>'references-it1-studies'!$C62</f>
        <v>2021</v>
      </c>
      <c r="D272">
        <f>'references-it1-studies'!$H62</f>
        <v>0</v>
      </c>
    </row>
    <row r="273" spans="1:4">
      <c r="A273" t="s">
        <v>4275</v>
      </c>
      <c r="B273" s="39" t="str">
        <f>HYPERLINK('references-it1-studies'!$D63,'references-it1-studies'!$B63)</f>
        <v>Demonstration of 5G Solutions for Smart Energy Grids of the Future: A Perspective of the Smart5Grid Project</v>
      </c>
      <c r="C273">
        <f>'references-it1-studies'!$C63</f>
        <v>2022</v>
      </c>
      <c r="D273">
        <f>'references-it1-studies'!$H63</f>
        <v>1</v>
      </c>
    </row>
    <row r="274" spans="1:4">
      <c r="A274" t="s">
        <v>4275</v>
      </c>
      <c r="B274" s="39" t="str">
        <f>HYPERLINK('references-it1-studies'!$D64,'references-it1-studies'!$B64)</f>
        <v>INDIN - OPC UA integration for field devices</v>
      </c>
      <c r="C274">
        <f>'references-it1-studies'!$C64</f>
        <v>2017</v>
      </c>
      <c r="D274">
        <f>'references-it1-studies'!$H64</f>
        <v>6</v>
      </c>
    </row>
    <row r="275" spans="1:4">
      <c r="A275" t="s">
        <v>4275</v>
      </c>
      <c r="B275" s="39" t="str">
        <f>HYPERLINK('references-it1-studies'!$D65,'references-it1-studies'!$B65)</f>
        <v>Analysis of pneumatic parameters to identify leakages and faults on the demand side of a compressed air system</v>
      </c>
      <c r="C275">
        <f>'references-it1-studies'!$C65</f>
        <v>2022</v>
      </c>
      <c r="D275">
        <f>'references-it1-studies'!$H65</f>
        <v>1</v>
      </c>
    </row>
    <row r="276" spans="1:4">
      <c r="A276" t="s">
        <v>4275</v>
      </c>
      <c r="B276" s="39" t="str">
        <f>HYPERLINK('references-it1-studies'!$D66,'references-it1-studies'!$B66)</f>
        <v>Analysis of OPC UA performances</v>
      </c>
      <c r="C276">
        <f>'references-it1-studies'!$C66</f>
        <v>2013</v>
      </c>
      <c r="D276">
        <f>'references-it1-studies'!$H66</f>
        <v>13</v>
      </c>
    </row>
    <row r="277" spans="1:4">
      <c r="A277" t="s">
        <v>4275</v>
      </c>
      <c r="B277" s="39" t="str">
        <f>HYPERLINK('references-it1-studies'!$D67,'references-it1-studies'!$B67)</f>
        <v>The Constrained Application Protocol (CoAP)</v>
      </c>
      <c r="C277">
        <f>'references-it1-studies'!$C67</f>
        <v>2014</v>
      </c>
      <c r="D277">
        <f>'references-it1-studies'!$H67</f>
        <v>112</v>
      </c>
    </row>
    <row r="278" spans="1:4">
      <c r="A278" t="s">
        <v>4275</v>
      </c>
      <c r="B278" s="39" t="str">
        <f>HYPERLINK('references-it1-studies'!$D68,'references-it1-studies'!$B68)</f>
        <v>An integrated outlook of Cyber–Physical Systems for Industry 4.0: Topical practices, architecture, and applications</v>
      </c>
      <c r="C278">
        <f>'references-it1-studies'!$C68</f>
        <v>2023</v>
      </c>
      <c r="D278">
        <f>'references-it1-studies'!$H68</f>
        <v>1</v>
      </c>
    </row>
    <row r="279" spans="1:4">
      <c r="A279" t="s">
        <v>4275</v>
      </c>
      <c r="B279" s="39" t="str">
        <f>HYPERLINK('references-it1-studies'!$D69,'references-it1-studies'!$B69)</f>
        <v>Comparative analysis of the security of configuration protocols for industrial control devices</v>
      </c>
      <c r="C279">
        <f>'references-it1-studies'!$C69</f>
        <v>2017</v>
      </c>
      <c r="D279">
        <f>'references-it1-studies'!$H69</f>
        <v>12</v>
      </c>
    </row>
    <row r="280" spans="1:4">
      <c r="A280" t="s">
        <v>4275</v>
      </c>
      <c r="B280" s="39" t="str">
        <f>HYPERLINK('references-it1-studies'!$D70,'references-it1-studies'!$B70)</f>
        <v>Experimental Characterization of Asynchronous Notification Latency for Subscriptions in OPC UA</v>
      </c>
      <c r="C280">
        <f>'references-it1-studies'!$C70</f>
        <v>2021</v>
      </c>
      <c r="D280">
        <f>'references-it1-studies'!$H70</f>
        <v>8</v>
      </c>
    </row>
    <row r="281" spans="1:4">
      <c r="A281" t="s">
        <v>4275</v>
      </c>
      <c r="B281" s="39" t="str">
        <f>HYPERLINK('references-it1-studies'!$D71,'references-it1-studies'!$B71)</f>
        <v>Assessment of Different OPC UA Implementations for Industrial IoT-Based Measurement Applications</v>
      </c>
      <c r="C281">
        <f>'references-it1-studies'!$C71</f>
        <v>2021</v>
      </c>
      <c r="D281">
        <f>'references-it1-studies'!$H71</f>
        <v>11</v>
      </c>
    </row>
    <row r="282" spans="1:4">
      <c r="A282" t="s">
        <v>4275</v>
      </c>
      <c r="B282" s="39" t="str">
        <f>HYPERLINK('references-it1-studies'!$D72,'references-it1-studies'!$B72)</f>
        <v>ICIT - OPC UA versus ROS, DDS, and MQTT: Performance Evaluation of Industry 4.0 Protocols</v>
      </c>
      <c r="C282">
        <f>'references-it1-studies'!$C72</f>
        <v>2019</v>
      </c>
      <c r="D282">
        <f>'references-it1-studies'!$H72</f>
        <v>8</v>
      </c>
    </row>
    <row r="283" spans="1:4">
      <c r="A283" t="s">
        <v>4275</v>
      </c>
      <c r="B283" s="39" t="str">
        <f>HYPERLINK('references-it1-studies'!$D73,'references-it1-studies'!$B73)</f>
        <v>Cyber-physical systems architectures for industrial internet of things applications in Industry 4.0: A literature review</v>
      </c>
      <c r="C283">
        <f>'references-it1-studies'!$C73</f>
        <v>2021</v>
      </c>
      <c r="D283">
        <f>'references-it1-studies'!$H73</f>
        <v>17</v>
      </c>
    </row>
    <row r="284" spans="1:4">
      <c r="A284" t="s">
        <v>4275</v>
      </c>
      <c r="B284" s="39" t="str">
        <f>HYPERLINK('references-it1-studies'!$D74,'references-it1-studies'!$B74)</f>
        <v>NONLINEAR OPTIMAL EXCITATION CONTROL FOR MULTIMACHINE SYSTEMS</v>
      </c>
      <c r="C284">
        <f>'references-it1-studies'!$C74</f>
        <v>1989</v>
      </c>
      <c r="D284">
        <f>'references-it1-studies'!$H74</f>
        <v>6</v>
      </c>
    </row>
    <row r="285" spans="1:4">
      <c r="A285" t="s">
        <v>4275</v>
      </c>
      <c r="B285" s="39" t="str">
        <f>HYPERLINK('references-it1-studies'!$D75,'references-it1-studies'!$B75)</f>
        <v>The industrial internet of things (IIoT): An analysis framework</v>
      </c>
      <c r="C285">
        <f>'references-it1-studies'!$C75</f>
        <v>2018</v>
      </c>
      <c r="D285">
        <f>'references-it1-studies'!$H75</f>
        <v>12</v>
      </c>
    </row>
    <row r="286" spans="1:4">
      <c r="A286" t="s">
        <v>4275</v>
      </c>
      <c r="B286" s="39" t="str">
        <f>HYPERLINK('references-it1-studies'!$D76,'references-it1-studies'!$B76)</f>
        <v>Address resolution protocol spoofing attacks and security approaches: A survey</v>
      </c>
      <c r="C286">
        <f>'references-it1-studies'!$C76</f>
        <v>2018</v>
      </c>
      <c r="D286">
        <f>'references-it1-studies'!$H76</f>
        <v>0</v>
      </c>
    </row>
    <row r="287" spans="1:4">
      <c r="A287" t="s">
        <v>4275</v>
      </c>
      <c r="B287" s="39" t="str">
        <f>HYPERLINK('references-it1-studies'!$D77,'references-it1-studies'!$B77)</f>
        <v>A comparison of AMQP and MQTT protocols for Internet of Things</v>
      </c>
      <c r="C287">
        <f>'references-it1-studies'!$C77</f>
        <v>2019</v>
      </c>
      <c r="D287">
        <f>'references-it1-studies'!$H77</f>
        <v>6</v>
      </c>
    </row>
    <row r="288" spans="1:4">
      <c r="A288" t="s">
        <v>4275</v>
      </c>
      <c r="B288" s="39" t="str">
        <f>HYPERLINK('references-it1-studies'!$D78,'references-it1-studies'!$B78)</f>
        <v>End-to-End Framework for Identifying Vulnerabilities of Operational Technology Protocols and Their Implementations in Industrial IoT</v>
      </c>
      <c r="C288">
        <f>'references-it1-studies'!$C78</f>
        <v>2025</v>
      </c>
      <c r="D288">
        <f>'references-it1-studies'!$H78</f>
        <v>1</v>
      </c>
    </row>
    <row r="289" spans="1:4">
      <c r="A289" t="s">
        <v>4275</v>
      </c>
      <c r="B289" s="39" t="str">
        <f>HYPERLINK('references-it1-studies'!$D79,'references-it1-studies'!$B79)</f>
        <v>ASP-DAC - Security analysis on consumer and industrial IoT devices</v>
      </c>
      <c r="C289">
        <f>'references-it1-studies'!$C79</f>
        <v>2016</v>
      </c>
      <c r="D289">
        <f>'references-it1-studies'!$H79</f>
        <v>6</v>
      </c>
    </row>
    <row r="290" spans="1:4">
      <c r="A290" t="s">
        <v>4275</v>
      </c>
      <c r="B290" s="39" t="str">
        <f>HYPERLINK('references-it1-studies'!$D80,'references-it1-studies'!$B80)</f>
        <v>GLOBECOM Workshops - Exploiting the GOOSE protocol: A practical attack on cyber-infrastructure</v>
      </c>
      <c r="C290">
        <f>'references-it1-studies'!$C80</f>
        <v>2012</v>
      </c>
      <c r="D290">
        <f>'references-it1-studies'!$H80</f>
        <v>6</v>
      </c>
    </row>
    <row r="291" spans="1:4">
      <c r="A291" t="s">
        <v>4275</v>
      </c>
      <c r="B291" s="39" t="str">
        <f>HYPERLINK('references-it1-studies'!$D81,'references-it1-studies'!$B81)</f>
        <v>A Comprehensive Survey on Interoperability for IIoT: Taxonomy, Standards, and Future Directions</v>
      </c>
      <c r="C291">
        <f>'references-it1-studies'!$C81</f>
        <v>2021</v>
      </c>
      <c r="D291">
        <f>'references-it1-studies'!$H81</f>
        <v>35</v>
      </c>
    </row>
    <row r="292" spans="1:4">
      <c r="A292" t="s">
        <v>4275</v>
      </c>
      <c r="B292" s="39" t="str">
        <f>HYPERLINK('references-it1-studies'!$D82,'references-it1-studies'!$B82)</f>
        <v>Ubiquitous Sensing Intelligent Gateway for Power IoT based on IEC61850 Standard</v>
      </c>
      <c r="C292">
        <f>'references-it1-studies'!$C82</f>
        <v>2021</v>
      </c>
      <c r="D292">
        <f>'references-it1-studies'!$H82</f>
        <v>4</v>
      </c>
    </row>
    <row r="293" spans="1:4">
      <c r="A293" t="s">
        <v>4275</v>
      </c>
      <c r="B293" s="39" t="str">
        <f>HYPERLINK('references-it1-studies'!$D83,'references-it1-studies'!$B83)</f>
        <v>Real Time Ethernet networks evaluation using performance indicators</v>
      </c>
      <c r="C293">
        <f>'references-it1-studies'!$C83</f>
        <v>2009</v>
      </c>
      <c r="D293">
        <f>'references-it1-studies'!$H83</f>
        <v>8</v>
      </c>
    </row>
    <row r="294" spans="1:4">
      <c r="A294" t="s">
        <v>4275</v>
      </c>
      <c r="B294" s="39" t="str">
        <f>HYPERLINK('references-it1-studies'!$D84,'references-it1-studies'!$B84)</f>
        <v>Industrial Internet of Things: Challenges, Opportunities, and Directions</v>
      </c>
      <c r="C294">
        <f>'references-it1-studies'!$C84</f>
        <v>2018</v>
      </c>
      <c r="D294">
        <f>'references-it1-studies'!$H84</f>
        <v>11</v>
      </c>
    </row>
    <row r="295" spans="1:4">
      <c r="A295" t="s">
        <v>4275</v>
      </c>
      <c r="B295" s="39" t="str">
        <f>HYPERLINK('references-it1-studies'!$D85,'references-it1-studies'!$B85)</f>
        <v>URAI - An EtherCAT-based real-time motion control system in mobile robot application</v>
      </c>
      <c r="C295">
        <f>'references-it1-studies'!$C85</f>
        <v>2016</v>
      </c>
      <c r="D295">
        <f>'references-it1-studies'!$H85</f>
        <v>6</v>
      </c>
    </row>
    <row r="296" spans="1:4">
      <c r="A296" t="s">
        <v>4275</v>
      </c>
      <c r="B296" s="39" t="str">
        <f>HYPERLINK('references-it1-studies'!$D86,'references-it1-studies'!$B86)</f>
        <v>ETFA - Limits of increasing the performance of Industrial Ethernet protocols</v>
      </c>
      <c r="C296">
        <f>'references-it1-studies'!$C86</f>
        <v>2007</v>
      </c>
      <c r="D296">
        <f>'references-it1-studies'!$H86</f>
        <v>8</v>
      </c>
    </row>
    <row r="297" spans="1:4">
      <c r="A297" t="s">
        <v>4275</v>
      </c>
      <c r="B297" s="39" t="str">
        <f>HYPERLINK('references-it1-studies'!$D87,'references-it1-studies'!$B87)</f>
        <v>Assessment of Time Performance of Lightweight Virtualization for Edge Computing Applications</v>
      </c>
      <c r="C297">
        <f>'references-it1-studies'!$C87</f>
        <v>2023</v>
      </c>
      <c r="D297">
        <f>'references-it1-studies'!$H87</f>
        <v>4</v>
      </c>
    </row>
    <row r="298" spans="1:4">
      <c r="A298" t="s">
        <v>4275</v>
      </c>
      <c r="B298" s="39" t="str">
        <f>HYPERLINK('references-it1-studies'!$D88,'references-it1-studies'!$B88)</f>
        <v>Trustworthiness in Industrial IoT Systems Based on Artificial Intelligence</v>
      </c>
      <c r="C298">
        <f>'references-it1-studies'!$C88</f>
        <v>2021</v>
      </c>
      <c r="D298">
        <f>'references-it1-studies'!$H88</f>
        <v>9</v>
      </c>
    </row>
    <row r="299" spans="1:4">
      <c r="A299" t="s">
        <v>4275</v>
      </c>
      <c r="B299" s="39" t="str">
        <f>HYPERLINK('references-it1-studies'!$D89,'references-it1-studies'!$B89)</f>
        <v>Processes, Motivations, and Issues for Migrating to Microservices Architectures: An Empirical Investigation</v>
      </c>
      <c r="C299">
        <f>'references-it1-studies'!$C89</f>
        <v>2017</v>
      </c>
      <c r="D299">
        <f>'references-it1-studies'!$H89</f>
        <v>11</v>
      </c>
    </row>
    <row r="300" spans="1:4">
      <c r="A300" t="s">
        <v>4275</v>
      </c>
      <c r="B300" s="39" t="str">
        <f>HYPERLINK('references-it1-studies'!$D90,'references-it1-studies'!$B90)</f>
        <v>Interoperability in Smart Manufacturing: Research Challenges</v>
      </c>
      <c r="C300">
        <f>'references-it1-studies'!$C90</f>
        <v>2019</v>
      </c>
      <c r="D300">
        <f>'references-it1-studies'!$H90</f>
        <v>0</v>
      </c>
    </row>
    <row r="301" spans="1:4">
      <c r="A301" t="s">
        <v>4275</v>
      </c>
      <c r="B301" s="39" t="str">
        <f>HYPERLINK('references-it1-studies'!$D91,'references-it1-studies'!$B91)</f>
        <v>SIGCOMM - The QUIC Transport Protocol: Design and Internet-Scale Deployment</v>
      </c>
      <c r="C301">
        <f>'references-it1-studies'!$C91</f>
        <v>2017</v>
      </c>
      <c r="D301">
        <f>'references-it1-studies'!$H91</f>
        <v>14</v>
      </c>
    </row>
    <row r="302" spans="1:4">
      <c r="A302" t="s">
        <v>4275</v>
      </c>
      <c r="B302" s="39" t="str">
        <f>HYPERLINK('references-it1-studies'!$D92,'references-it1-studies'!$B92)</f>
        <v>INDIN - TSN Traffic Shaping for OPC UA Field Devices</v>
      </c>
      <c r="C302">
        <f>'references-it1-studies'!$C92</f>
        <v>2019</v>
      </c>
      <c r="D302">
        <f>'references-it1-studies'!$H92</f>
        <v>6</v>
      </c>
    </row>
    <row r="303" spans="1:4">
      <c r="A303" t="s">
        <v>4275</v>
      </c>
      <c r="B303" s="39" t="str">
        <f>HYPERLINK('references-it1-studies'!$D93,'references-it1-studies'!$B93)</f>
        <v>Synchronize Your Watches: Part II: Special-Purpose Solutions for Distributed Real-Time Control</v>
      </c>
      <c r="C303">
        <f>'references-it1-studies'!$C93</f>
        <v>2013</v>
      </c>
      <c r="D303">
        <f>'references-it1-studies'!$H93</f>
        <v>13</v>
      </c>
    </row>
    <row r="304" spans="1:4">
      <c r="A304" t="s">
        <v>4275</v>
      </c>
      <c r="B304" s="39" t="str">
        <f>HYPERLINK('references-it1-studies'!$D94,'references-it1-studies'!$B94)</f>
        <v>Information-Centric Networking, A natural design for IoT applications?</v>
      </c>
      <c r="C304">
        <f>'references-it1-studies'!$C94</f>
        <v>2017</v>
      </c>
      <c r="D304">
        <f>'references-it1-studies'!$H94</f>
        <v>0</v>
      </c>
    </row>
    <row r="305" spans="1:4">
      <c r="A305" t="s">
        <v>4275</v>
      </c>
      <c r="B305" s="39" t="str">
        <f>HYPERLINK('references-it1-studies'!$D95,'references-it1-studies'!$B95)</f>
        <v>Trends in Smart Grid Cyber-Physical Security: Components, Threats, and Solutions</v>
      </c>
      <c r="C305">
        <f>'references-it1-studies'!$C95</f>
        <v>2024</v>
      </c>
      <c r="D305">
        <f>'references-it1-studies'!$H95</f>
        <v>28</v>
      </c>
    </row>
    <row r="306" spans="1:4">
      <c r="A306" t="s">
        <v>4275</v>
      </c>
      <c r="B306" s="39" t="str">
        <f>HYPERLINK('references-it1-studies'!$D96,'references-it1-studies'!$B96)</f>
        <v>Virtualizing Programmable Logic Controllers: Toward a Convergent Approach</v>
      </c>
      <c r="C306">
        <f>'references-it1-studies'!$C96</f>
        <v>2016</v>
      </c>
      <c r="D306">
        <f>'references-it1-studies'!$H96</f>
        <v>4</v>
      </c>
    </row>
    <row r="307" spans="1:4">
      <c r="A307" t="s">
        <v>4275</v>
      </c>
      <c r="B307" s="39" t="str">
        <f>HYPERLINK('references-it1-studies'!$D97,'references-it1-studies'!$B97)</f>
        <v>INDIN - Scalability of OPC-UA down to the chip level enables “Internet of Things”</v>
      </c>
      <c r="C307">
        <f>'references-it1-studies'!$C97</f>
        <v>2013</v>
      </c>
      <c r="D307">
        <f>'references-it1-studies'!$H97</f>
        <v>6</v>
      </c>
    </row>
    <row r="308" spans="1:4">
      <c r="A308" t="s">
        <v>4275</v>
      </c>
      <c r="B308" s="39" t="str">
        <f>HYPERLINK('references-it1-studies'!$D98,'references-it1-studies'!$B98)</f>
        <v>ICNC - Analysis of the multi-finger dynamics for robot hand system based on EtherCAT</v>
      </c>
      <c r="C308">
        <f>'references-it1-studies'!$C98</f>
        <v>2014</v>
      </c>
      <c r="D308">
        <f>'references-it1-studies'!$H98</f>
        <v>5</v>
      </c>
    </row>
    <row r="309" spans="1:4">
      <c r="A309" t="s">
        <v>4275</v>
      </c>
      <c r="B309" s="39" t="str">
        <f>HYPERLINK('references-it1-studies'!$D99,'references-it1-studies'!$B99)</f>
        <v>SmartCity - Moving SCADA Systems to IaaS Clouds</v>
      </c>
      <c r="C309">
        <f>'references-it1-studies'!$C99</f>
        <v>2015</v>
      </c>
      <c r="D309">
        <f>'references-it1-studies'!$H99</f>
        <v>7</v>
      </c>
    </row>
    <row r="310" spans="1:4">
      <c r="A310" t="s">
        <v>4275</v>
      </c>
      <c r="B310" s="39" t="str">
        <f>HYPERLINK('references-it1-studies'!$D100,'references-it1-studies'!$B100)</f>
        <v>WFCS - Design of communication systems for networked control system running on PROFINET</v>
      </c>
      <c r="C310">
        <f>'references-it1-studies'!$C100</f>
        <v>2014</v>
      </c>
      <c r="D310">
        <f>'references-it1-studies'!$H100</f>
        <v>8</v>
      </c>
    </row>
    <row r="311" spans="1:4">
      <c r="A311" t="s">
        <v>4275</v>
      </c>
      <c r="B311" s="39" t="str">
        <f>HYPERLINK('references-it1-studies'!$D101,'references-it1-studies'!$B101)</f>
        <v>CCS - Principled Unearthing of TCP Side Channel Vulnerabilities</v>
      </c>
      <c r="C311">
        <f>'references-it1-studies'!$C101</f>
        <v>2019</v>
      </c>
      <c r="D311">
        <f>'references-it1-studies'!$H101</f>
        <v>14</v>
      </c>
    </row>
    <row r="312" spans="1:4">
      <c r="A312" t="s">
        <v>4275</v>
      </c>
      <c r="B312" s="39" t="str">
        <f>HYPERLINK('references-it1-studies'!$D102,'references-it1-studies'!$B102)</f>
        <v>Communication Systems for Industry 4.0 and the IIoT</v>
      </c>
      <c r="C312">
        <f>'references-it1-studies'!$C102</f>
        <v>2018</v>
      </c>
      <c r="D312">
        <f>'references-it1-studies'!$H102</f>
        <v>6</v>
      </c>
    </row>
    <row r="313" spans="1:4">
      <c r="A313" t="s">
        <v>4275</v>
      </c>
      <c r="B313" s="39" t="str">
        <f>HYPERLINK('references-it1-studies'!$D103,'references-it1-studies'!$B103)</f>
        <v>Performance Analysis of OPC UA for Industrial Interoperability towards Industry 4.0</v>
      </c>
      <c r="C313">
        <f>'references-it1-studies'!$C103</f>
        <v>2022</v>
      </c>
      <c r="D313">
        <f>'references-it1-studies'!$H103</f>
        <v>19</v>
      </c>
    </row>
    <row r="314" spans="1:4">
      <c r="A314" t="s">
        <v>4275</v>
      </c>
      <c r="B314" s="39" t="str">
        <f>HYPERLINK('references-it1-studies'!$D104,'references-it1-studies'!$B104)</f>
        <v>ICN - NDN, CoAP, and MQTT: a comparative measurement study in the IoT</v>
      </c>
      <c r="C314">
        <f>'references-it1-studies'!$C104</f>
        <v>2018</v>
      </c>
      <c r="D314">
        <f>'references-it1-studies'!$H104</f>
        <v>13</v>
      </c>
    </row>
    <row r="315" spans="1:4">
      <c r="A315" t="s">
        <v>4275</v>
      </c>
      <c r="B315" s="39" t="str">
        <f>HYPERLINK('references-it1-studies'!$D105,'references-it1-studies'!$B105)</f>
        <v>Energy Management Systems</v>
      </c>
      <c r="C315">
        <f>'references-it1-studies'!$C105</f>
        <v>1991</v>
      </c>
      <c r="D315">
        <f>'references-it1-studies'!$H105</f>
        <v>0</v>
      </c>
    </row>
    <row r="316" spans="1:4">
      <c r="A316" t="s">
        <v>4275</v>
      </c>
      <c r="B316" s="39" t="str">
        <f>HYPERLINK('references-it1-studies'!$D106,'references-it1-studies'!$B106)</f>
        <v>Integration of WirelessHART and ISA100.11a field devices into condition monitoring system for starting IIoT implementation</v>
      </c>
      <c r="C316">
        <f>'references-it1-studies'!$C106</f>
        <v>2017</v>
      </c>
      <c r="D316">
        <f>'references-it1-studies'!$H106</f>
        <v>6</v>
      </c>
    </row>
    <row r="317" spans="1:4">
      <c r="A317" t="s">
        <v>4275</v>
      </c>
      <c r="B317" s="39" t="str">
        <f>HYPERLINK('references-it1-studies'!$D107,'references-it1-studies'!$B107)</f>
        <v>JOSE: An Open Testbed for Field Trials of Large-scale IoT Services</v>
      </c>
      <c r="C317">
        <f>'references-it1-studies'!$C107</f>
        <v>2016</v>
      </c>
      <c r="D317">
        <f>'references-it1-studies'!$H107</f>
        <v>9</v>
      </c>
    </row>
    <row r="318" spans="1:4">
      <c r="A318" t="s">
        <v>4275</v>
      </c>
      <c r="B318" s="39" t="str">
        <f>HYPERLINK('references-it1-studies'!$D108,'references-it1-studies'!$B108)</f>
        <v>Open-Source Implementierung von OPC UA PubSub für echtzeitfähige Kommunikation mit Time-Sensitive Networking</v>
      </c>
      <c r="C318">
        <f>'references-it1-studies'!$C108</f>
        <v>2020</v>
      </c>
      <c r="D318">
        <f>'references-it1-studies'!$H108</f>
        <v>10</v>
      </c>
    </row>
    <row r="319" spans="1:4">
      <c r="A319" t="s">
        <v>4275</v>
      </c>
      <c r="B319" s="39" t="str">
        <f>HYPERLINK('references-it1-studies'!$D109,'references-it1-studies'!$B109)</f>
        <v>Communication Architecture of the IEC 61850-based Micro Grid System</v>
      </c>
      <c r="C319">
        <f>'references-it1-studies'!$C109</f>
        <v>2011</v>
      </c>
      <c r="D319">
        <f>'references-it1-studies'!$H109</f>
        <v>8</v>
      </c>
    </row>
    <row r="320" spans="1:4">
      <c r="A320" t="s">
        <v>4275</v>
      </c>
      <c r="B320" s="39" t="str">
        <f>HYPERLINK('references-it1-studies'!$D110,'references-it1-studies'!$B110)</f>
        <v>A performance analysis of three potential control network for monitoring and control in Power Electronics converter</v>
      </c>
      <c r="C320">
        <f>'references-it1-studies'!$C110</f>
        <v>2012</v>
      </c>
      <c r="D320">
        <f>'references-it1-studies'!$H110</f>
        <v>6</v>
      </c>
    </row>
    <row r="321" spans="1:4">
      <c r="A321" t="s">
        <v>4275</v>
      </c>
      <c r="B321" s="39" t="str">
        <f>HYPERLINK('references-it1-studies'!$D111,'references-it1-studies'!$B111)</f>
        <v>IECON - Network delay analysis of EtherCAT and PROFINET IRT protocols</v>
      </c>
      <c r="C321">
        <f>'references-it1-studies'!$C111</f>
        <v>2014</v>
      </c>
      <c r="D321">
        <f>'references-it1-studies'!$H111</f>
        <v>7</v>
      </c>
    </row>
    <row r="322" spans="1:4">
      <c r="A322" t="s">
        <v>4275</v>
      </c>
      <c r="B322" s="39" t="str">
        <f>HYPERLINK('references-it1-studies'!$D112,'references-it1-studies'!$B112)</f>
        <v>Concept and engineering development of cyber physical production systems: a systematic literature review</v>
      </c>
      <c r="C322">
        <f>'references-it1-studies'!$C112</f>
        <v>2020</v>
      </c>
      <c r="D322">
        <f>'references-it1-studies'!$H112</f>
        <v>19</v>
      </c>
    </row>
    <row r="323" spans="1:4">
      <c r="A323" t="s">
        <v>4275</v>
      </c>
      <c r="B323" s="39" t="str">
        <f>HYPERLINK('references-it1-studies'!$D113,'references-it1-studies'!$B113)</f>
        <v>Real-Time Hardware-in-the-Loop Testing of IEC 61850 GOOSE-Based Logically Selective Adaptive Protection of AC Microgrid</v>
      </c>
      <c r="C323">
        <f>'references-it1-studies'!$C113</f>
        <v>2021</v>
      </c>
      <c r="D323">
        <f>'references-it1-studies'!$H113</f>
        <v>28</v>
      </c>
    </row>
    <row r="324" spans="1:4">
      <c r="A324" t="s">
        <v>4275</v>
      </c>
      <c r="B324" s="39" t="str">
        <f>HYPERLINK('references-it1-studies'!$D114,'references-it1-studies'!$B114)</f>
        <v>Container-based Virtualization for Real-time Industrial Systems—A Systematic Review</v>
      </c>
      <c r="C324">
        <f>'references-it1-studies'!$C114</f>
        <v>2023</v>
      </c>
      <c r="D324">
        <f>'references-it1-studies'!$H114</f>
        <v>38</v>
      </c>
    </row>
    <row r="325" spans="1:4">
      <c r="A325" t="s">
        <v>4275</v>
      </c>
      <c r="B325" s="39" t="str">
        <f>HYPERLINK('references-it1-studies'!$D115,'references-it1-studies'!$B115)</f>
        <v>Industry 4.0 for SMEs</v>
      </c>
      <c r="C325">
        <f>'references-it1-studies'!$C115</f>
        <v>2020</v>
      </c>
      <c r="D325">
        <f>'references-it1-studies'!$H115</f>
        <v>0</v>
      </c>
    </row>
    <row r="326" spans="1:4">
      <c r="A326" t="s">
        <v>4275</v>
      </c>
      <c r="B326" s="39" t="str">
        <f>HYPERLINK('references-it1-studies'!$D116,'references-it1-studies'!$B116)</f>
        <v>ICIT - Real-time control of a force feedback haptic interface via EtherCAT fieldbus</v>
      </c>
      <c r="C326">
        <f>'references-it1-studies'!$C116</f>
        <v>2015</v>
      </c>
      <c r="D326">
        <f>'references-it1-studies'!$H116</f>
        <v>6</v>
      </c>
    </row>
    <row r="327" spans="1:4">
      <c r="A327" t="s">
        <v>4275</v>
      </c>
      <c r="B327" s="39" t="str">
        <f>HYPERLINK('references-it1-studies'!$D117,'references-it1-studies'!$B117)</f>
        <v>An anomaly-based approach for DDoS attack detection in cloud environment</v>
      </c>
      <c r="C327">
        <f>'references-it1-studies'!$C117</f>
        <v>2018</v>
      </c>
      <c r="D327">
        <f>'references-it1-studies'!$H117</f>
        <v>13</v>
      </c>
    </row>
    <row r="328" spans="1:4">
      <c r="A328" t="s">
        <v>4275</v>
      </c>
      <c r="B328" s="39" t="str">
        <f>HYPERLINK('references-it1-studies'!$D118,'references-it1-studies'!$B118)</f>
        <v>ICETE (2) - Side Channel Attacks over Encrypted TCP/IP Modbus Reveal Functionality Leaks.</v>
      </c>
      <c r="C328">
        <f>'references-it1-studies'!$C118</f>
        <v>2018</v>
      </c>
      <c r="D328">
        <f>'references-it1-studies'!$H118</f>
        <v>11</v>
      </c>
    </row>
    <row r="329" spans="1:4">
      <c r="A329" t="s">
        <v>4275</v>
      </c>
      <c r="B329" s="39" t="str">
        <f>HYPERLINK('references-it1-studies'!$D119,'references-it1-studies'!$B119)</f>
        <v>Communication and Control of an Assembly, Disassembly and Repair Flexible Manufacturing Technology on a Mechatronics Line Assisted by an Autonomous Robotic System</v>
      </c>
      <c r="C329">
        <f>'references-it1-studies'!$C119</f>
        <v>2022</v>
      </c>
      <c r="D329">
        <f>'references-it1-studies'!$H119</f>
        <v>1</v>
      </c>
    </row>
    <row r="330" spans="1:4">
      <c r="A330" t="s">
        <v>4275</v>
      </c>
      <c r="B330" s="39" t="str">
        <f>HYPERLINK('references-it1-studies'!$D120,'references-it1-studies'!$B120)</f>
        <v>ICC - QoS-FS: A new forwarding strategy with QoS for routing in Named Data Networking</v>
      </c>
      <c r="C330">
        <f>'references-it1-studies'!$C120</f>
        <v>2016</v>
      </c>
      <c r="D330">
        <f>'references-it1-studies'!$H120</f>
        <v>7</v>
      </c>
    </row>
    <row r="331" spans="1:4">
      <c r="A331" t="s">
        <v>4275</v>
      </c>
      <c r="B331" s="39" t="str">
        <f>HYPERLINK('references-it1-studies'!$D121,'references-it1-studies'!$B121)</f>
        <v>Critical Infrastructure Protection VIII - Critical Infrastructure Protection VIII</v>
      </c>
      <c r="C331">
        <f>'references-it1-studies'!$C121</f>
        <v>2014</v>
      </c>
      <c r="D331">
        <f>'references-it1-studies'!$H121</f>
        <v>0</v>
      </c>
    </row>
    <row r="332" spans="1:4">
      <c r="A332" t="s">
        <v>4275</v>
      </c>
      <c r="B332" s="39" t="str">
        <f>HYPERLINK('references-it1-studies'!$D122,'references-it1-studies'!$B122)</f>
        <v>ETFA - Open Source OPC UA PubSub Over TSN for Realtime Industrial Communication</v>
      </c>
      <c r="C332">
        <f>'references-it1-studies'!$C122</f>
        <v>2018</v>
      </c>
      <c r="D332">
        <f>'references-it1-studies'!$H122</f>
        <v>4</v>
      </c>
    </row>
    <row r="333" spans="1:4">
      <c r="A333" t="s">
        <v>4275</v>
      </c>
      <c r="B333" s="39" t="str">
        <f>HYPERLINK('references-it1-studies'!$D123,'references-it1-studies'!$B123)</f>
        <v>ICIA - Experimental investigation of the packet loss rate of wireless industrial networks in real industrial environments</v>
      </c>
      <c r="C333">
        <f>'references-it1-studies'!$C123</f>
        <v>2015</v>
      </c>
      <c r="D333">
        <f>'references-it1-studies'!$H123</f>
        <v>6</v>
      </c>
    </row>
    <row r="334" spans="1:4">
      <c r="A334" t="s">
        <v>4275</v>
      </c>
      <c r="B334" s="39" t="str">
        <f>HYPERLINK('references-it1-studies'!$D124,'references-it1-studies'!$B124)</f>
        <v>I2MTC - Assessment of Different OPC UA Industrial IoT solutions for Distributed Measurement Applications</v>
      </c>
      <c r="C334">
        <f>'references-it1-studies'!$C124</f>
        <v>2020</v>
      </c>
      <c r="D334">
        <f>'references-it1-studies'!$H124</f>
        <v>6</v>
      </c>
    </row>
    <row r="335" spans="1:4">
      <c r="A335" t="s">
        <v>4275</v>
      </c>
      <c r="B335" s="39" t="str">
        <f>HYPERLINK('references-it1-studies'!$D125,'references-it1-studies'!$B125)</f>
        <v>Toward a Holistic Delay Analysis of EtherCAT Synchronized Control Processes</v>
      </c>
      <c r="C335">
        <f>'references-it1-studies'!$C125</f>
        <v>2013</v>
      </c>
      <c r="D335">
        <f>'references-it1-studies'!$H125</f>
        <v>14</v>
      </c>
    </row>
    <row r="336" spans="1:4">
      <c r="A336" t="s">
        <v>4275</v>
      </c>
      <c r="B336" s="39" t="str">
        <f>HYPERLINK('references-it1-studies'!$D126,'references-it1-studies'!$B126)</f>
        <v>ICIA - EtherCAT based robot modular joint controller</v>
      </c>
      <c r="C336">
        <f>'references-it1-studies'!$C126</f>
        <v>2015</v>
      </c>
      <c r="D336">
        <f>'references-it1-studies'!$H126</f>
        <v>6</v>
      </c>
    </row>
    <row r="337" spans="1:4">
      <c r="A337" t="s">
        <v>4275</v>
      </c>
      <c r="B337" s="39" t="str">
        <f>HYPERLINK('references-it1-studies'!$D127,'references-it1-studies'!$B127)</f>
        <v>Advanced Message Queuing Protocol</v>
      </c>
      <c r="C337">
        <f>'references-it1-studies'!$C127</f>
        <v>2006</v>
      </c>
      <c r="D337">
        <f>'references-it1-studies'!$H127</f>
        <v>3</v>
      </c>
    </row>
    <row r="338" spans="1:4">
      <c r="A338" t="s">
        <v>4275</v>
      </c>
      <c r="B338" s="39" t="str">
        <f>HYPERLINK('references-it1-studies'!$D128,'references-it1-studies'!$B128)</f>
        <v>Analysis and application of Wireshark in TCP/IP protocol teaching</v>
      </c>
      <c r="C338">
        <f>'references-it1-studies'!$C128</f>
        <v>2010</v>
      </c>
      <c r="D338">
        <f>'references-it1-studies'!$H128</f>
        <v>4</v>
      </c>
    </row>
    <row r="339" spans="1:4">
      <c r="A339" t="s">
        <v>4275</v>
      </c>
      <c r="B339" s="39" t="str">
        <f>HYPERLINK('references-it1-studies'!$D129,'references-it1-studies'!$B129)</f>
        <v>Industrial Automation using IoT with Raspberry Pi</v>
      </c>
      <c r="C339">
        <f>'references-it1-studies'!$C129</f>
        <v>2017</v>
      </c>
      <c r="D339">
        <f>'references-it1-studies'!$H129</f>
        <v>5</v>
      </c>
    </row>
    <row r="340" spans="1:4">
      <c r="A340" t="s">
        <v>4275</v>
      </c>
      <c r="B340" s="39" t="str">
        <f>HYPERLINK('references-it1-studies'!$D130,'references-it1-studies'!$B130)</f>
        <v>ISIE - Identifying vulnerabilities in smart gric communication networks of electrical substations using GEESE 2.0</v>
      </c>
      <c r="C340">
        <f>'references-it1-studies'!$C130</f>
        <v>2017</v>
      </c>
      <c r="D340">
        <f>'references-it1-studies'!$H130</f>
        <v>6</v>
      </c>
    </row>
    <row r="341" spans="1:4">
      <c r="A341" t="s">
        <v>4275</v>
      </c>
      <c r="B341" s="39" t="str">
        <f>HYPERLINK('references-it1-studies'!$D131,'references-it1-studies'!$B131)</f>
        <v>A Comparative Evaluation of AMQP, MQTT and HTTP Protocols Using Real-Time Public Smart City Data</v>
      </c>
      <c r="C341">
        <f>'references-it1-studies'!$C131</f>
        <v>2021</v>
      </c>
      <c r="D341">
        <f>'references-it1-studies'!$H131</f>
        <v>6</v>
      </c>
    </row>
    <row r="342" spans="1:4">
      <c r="A342" t="s">
        <v>4275</v>
      </c>
      <c r="B342" s="39" t="str">
        <f>HYPERLINK('references-it1-studies'!$D132,'references-it1-studies'!$B132)</f>
        <v>An Overview on Push-Based Communication Models for Information-Centric Networking</v>
      </c>
      <c r="C342">
        <f>'references-it1-studies'!$C132</f>
        <v>2019</v>
      </c>
      <c r="D342">
        <f>'references-it1-studies'!$H132</f>
        <v>0</v>
      </c>
    </row>
    <row r="343" spans="1:4">
      <c r="A343" t="s">
        <v>4275</v>
      </c>
      <c r="B343" s="39" t="str">
        <f>HYPERLINK('references-it1-studies'!$D133,'references-it1-studies'!$B133)</f>
        <v>Vulnerability Identification of Operational Technology Protocol Specifications Through Formal Modeling</v>
      </c>
      <c r="C343">
        <f>'references-it1-studies'!$C133</f>
        <v>2023</v>
      </c>
      <c r="D343">
        <f>'references-it1-studies'!$H133</f>
        <v>6</v>
      </c>
    </row>
    <row r="344" spans="1:4">
      <c r="A344" t="s">
        <v>4275</v>
      </c>
      <c r="B344" s="39" t="str">
        <f>HYPERLINK('references-it1-studies'!$D134,'references-it1-studies'!$B134)</f>
        <v>Network Architecture for IEC61850-90-5 Communication: Case Study of Evaluating R-GOOSE over 5G for Communication-Based Protection</v>
      </c>
      <c r="C344">
        <f>'references-it1-studies'!$C134</f>
        <v>2022</v>
      </c>
      <c r="D344">
        <f>'references-it1-studies'!$H134</f>
        <v>1</v>
      </c>
    </row>
    <row r="345" spans="1:4">
      <c r="A345" t="s">
        <v>4275</v>
      </c>
      <c r="B345" s="39" t="str">
        <f>HYPERLINK('references-it1-studies'!$D135,'references-it1-studies'!$B135)</f>
        <v>ETFA - EtherCAT-enabled next generation Baggage Handling Systems</v>
      </c>
      <c r="C345">
        <f>'references-it1-studies'!$C135</f>
        <v>2013</v>
      </c>
      <c r="D345">
        <f>'references-it1-studies'!$H135</f>
        <v>6</v>
      </c>
    </row>
    <row r="346" spans="1:4">
      <c r="A346" t="s">
        <v>4275</v>
      </c>
      <c r="B346" s="39" t="str">
        <f>HYPERLINK('references-it1-studies'!$D136,'references-it1-studies'!$B136)</f>
        <v>The development of a novel servo motor controller based on EtherCAT and FPGA</v>
      </c>
      <c r="C346">
        <f>'references-it1-studies'!$C136</f>
        <v>2016</v>
      </c>
      <c r="D346">
        <f>'references-it1-studies'!$H136</f>
        <v>6</v>
      </c>
    </row>
    <row r="347" spans="1:4">
      <c r="A347" t="s">
        <v>4275</v>
      </c>
      <c r="B347" s="39" t="str">
        <f>HYPERLINK('references-it1-studies'!$D137,'references-it1-studies'!$B137)</f>
        <v>On the Use of LoRaWAN and Cloud Platforms for Diversification of Mobility-as-a-Service Infrastructure in Smart City Scenarios</v>
      </c>
      <c r="C347">
        <f>'references-it1-studies'!$C137</f>
        <v>2022</v>
      </c>
      <c r="D347">
        <f>'references-it1-studies'!$H137</f>
        <v>9</v>
      </c>
    </row>
    <row r="348" spans="1:4">
      <c r="A348" t="s">
        <v>4275</v>
      </c>
      <c r="B348" s="39" t="str">
        <f>HYPERLINK('references-it1-studies'!$D138,'references-it1-studies'!$B138)</f>
        <v>Integration of IEC 61850 SCL and OPC UA to improve interoperability in Smart Grid environment</v>
      </c>
      <c r="C348">
        <f>'references-it1-studies'!$C138</f>
        <v>2016</v>
      </c>
      <c r="D348">
        <f>'references-it1-studies'!$H138</f>
        <v>23</v>
      </c>
    </row>
    <row r="349" spans="1:4">
      <c r="A349" t="s">
        <v>4275</v>
      </c>
      <c r="B349" s="39" t="str">
        <f>HYPERLINK('references-it1-studies'!$D139,'references-it1-studies'!$B139)</f>
        <v>When Operation Technology Meets Information Technology: Challenges and Opportunities</v>
      </c>
      <c r="C349">
        <f>'references-it1-studies'!$C139</f>
        <v>2023</v>
      </c>
      <c r="D349">
        <f>'references-it1-studies'!$H139</f>
        <v>1</v>
      </c>
    </row>
    <row r="350" spans="1:4">
      <c r="A350" t="s">
        <v>4275</v>
      </c>
      <c r="B350" s="39" t="str">
        <f>HYPERLINK('references-it1-studies'!$D140,'references-it1-studies'!$B140)</f>
        <v>End System TSN Enablement Using OPC UA</v>
      </c>
      <c r="C350">
        <f>'references-it1-studies'!$C140</f>
        <v>2021</v>
      </c>
      <c r="D350">
        <f>'references-it1-studies'!$H140</f>
        <v>7</v>
      </c>
    </row>
    <row r="351" spans="1:4">
      <c r="A351" t="s">
        <v>4275</v>
      </c>
      <c r="B351" s="39" t="str">
        <f>HYPERLINK('references-it1-studies'!$D141,'references-it1-studies'!$B141)</f>
        <v>An integrated testbed IEC61850-IIoT for Gas Insulated SF6 Monitoring in SCADA systems</v>
      </c>
      <c r="C351">
        <f>'references-it1-studies'!$C141</f>
        <v>2022</v>
      </c>
      <c r="D351">
        <f>'references-it1-studies'!$H141</f>
        <v>6</v>
      </c>
    </row>
    <row r="352" spans="1:4">
      <c r="A352" t="s">
        <v>4275</v>
      </c>
      <c r="B352" s="39" t="str">
        <f>HYPERLINK('references-it1-studies'!$D142,'references-it1-studies'!$B142)</f>
        <v>Industrial Control System-Anomaly Detection Dataset (ICS-ADD) for Cyber-Physical Security Monitoring in Smart Industry Environments</v>
      </c>
      <c r="C352">
        <f>'references-it1-studies'!$C142</f>
        <v>2024</v>
      </c>
      <c r="D352">
        <f>'references-it1-studies'!$H142</f>
        <v>10</v>
      </c>
    </row>
    <row r="353" spans="1:4">
      <c r="A353" t="s">
        <v>4275</v>
      </c>
      <c r="B353" s="39" t="str">
        <f>HYPERLINK('references-it1-studies'!$D143,'references-it1-studies'!$B143)</f>
        <v>Survey of Cybersecurity Governance, Threats, and Countermeasures for the Power Grid</v>
      </c>
      <c r="C353">
        <f>'references-it1-studies'!$C143</f>
        <v>2022</v>
      </c>
      <c r="D353">
        <f>'references-it1-studies'!$H143</f>
        <v>1</v>
      </c>
    </row>
    <row r="354" spans="1:4">
      <c r="A354" t="s">
        <v>4275</v>
      </c>
      <c r="B354" s="39" t="str">
        <f>HYPERLINK('references-it1-studies'!$D144,'references-it1-studies'!$B144)</f>
        <v>RTSI - Comparing application layer protocols for the Internet of Things via experimentation</v>
      </c>
      <c r="C354">
        <f>'references-it1-studies'!$C144</f>
        <v>2016</v>
      </c>
      <c r="D354">
        <f>'references-it1-studies'!$H144</f>
        <v>5</v>
      </c>
    </row>
    <row r="355" spans="1:4">
      <c r="A355" t="s">
        <v>4275</v>
      </c>
      <c r="B355" s="39" t="str">
        <f>HYPERLINK('references-it1-studies'!$D145,'references-it1-studies'!$B145)</f>
        <v>Evaluation of EtherCAT Distributed Clock Performance</v>
      </c>
      <c r="C355">
        <f>'references-it1-studies'!$C145</f>
        <v>2012</v>
      </c>
      <c r="D355">
        <f>'references-it1-studies'!$H145</f>
        <v>10</v>
      </c>
    </row>
    <row r="356" spans="1:4">
      <c r="A356" t="s">
        <v>4275</v>
      </c>
      <c r="B356" s="39" t="str">
        <f>HYPERLINK('references-it1-studies'!$D146,'references-it1-studies'!$B146)</f>
        <v>Networking - Performance Comparison of Messaging Protocols and Serialization Formats for Digital Twins in IoV</v>
      </c>
      <c r="C356">
        <f>'references-it1-studies'!$C146</f>
        <v>2020</v>
      </c>
      <c r="D356">
        <f>'references-it1-studies'!$H146</f>
        <v>9</v>
      </c>
    </row>
    <row r="357" spans="1:4">
      <c r="A357" t="s">
        <v>4275</v>
      </c>
      <c r="B357" s="39" t="str">
        <f>HYPERLINK('references-it1-studies'!$D147,'references-it1-studies'!$B147)</f>
        <v>Performance analysis of substation automation systems architecture based on IEC 61850</v>
      </c>
      <c r="C357">
        <f>'references-it1-studies'!$C147</f>
        <v>2014</v>
      </c>
      <c r="D357">
        <f>'references-it1-studies'!$H147</f>
        <v>6</v>
      </c>
    </row>
    <row r="358" spans="1:4">
      <c r="A358" t="s">
        <v>4275</v>
      </c>
      <c r="B358" s="39" t="str">
        <f>HYPERLINK('references-it1-studies'!$D148,'references-it1-studies'!$B148)</f>
        <v>Analysis of relevant standards for industrial systems to support zero defects manufacturing process</v>
      </c>
      <c r="C358">
        <f>'references-it1-studies'!$C148</f>
        <v>2021</v>
      </c>
      <c r="D358">
        <f>'references-it1-studies'!$H148</f>
        <v>0</v>
      </c>
    </row>
    <row r="359" spans="1:4">
      <c r="A359" t="s">
        <v>4275</v>
      </c>
      <c r="B359" s="39" t="str">
        <f>HYPERLINK('references-it1-studies'!$D149,'references-it1-studies'!$B149)</f>
        <v>Cybersecurity Analysis for the Communication Protocol in Smart Grids</v>
      </c>
      <c r="C359">
        <f>'references-it1-studies'!$C149</f>
        <v>2020</v>
      </c>
      <c r="D359">
        <f>'references-it1-studies'!$H149</f>
        <v>6</v>
      </c>
    </row>
    <row r="360" spans="1:4">
      <c r="A360" t="s">
        <v>4275</v>
      </c>
      <c r="B360" s="39" t="str">
        <f>HYPERLINK('references-it1-studies'!$D150,'references-it1-studies'!$B150)</f>
        <v>A Survey on SCADA Systems: Secure Protocols, Incidents, Threats and Tactics</v>
      </c>
      <c r="C360">
        <f>'references-it1-studies'!$C150</f>
        <v>2020</v>
      </c>
      <c r="D360">
        <f>'references-it1-studies'!$H150</f>
        <v>35</v>
      </c>
    </row>
    <row r="361" spans="1:4">
      <c r="A361" t="s">
        <v>4275</v>
      </c>
      <c r="B361" s="39" t="str">
        <f>HYPERLINK('references-it1-studies'!$D151,'references-it1-studies'!$B151)</f>
        <v>EDGE - Edge Powered Industrial Control: Concept for Combining Cloud and Automation Technologies</v>
      </c>
      <c r="C361">
        <f>'references-it1-studies'!$C151</f>
        <v>2018</v>
      </c>
      <c r="D361">
        <f>'references-it1-studies'!$H151</f>
        <v>5</v>
      </c>
    </row>
    <row r="362" spans="1:4">
      <c r="A362" t="s">
        <v>4275</v>
      </c>
      <c r="B362" s="39" t="str">
        <f>HYPERLINK('references-it1-studies'!$D152,'references-it1-studies'!$B152)</f>
        <v>SITA - Analysis and evaluation of communication Protocols for IoT Applications</v>
      </c>
      <c r="C362">
        <f>'references-it1-studies'!$C152</f>
        <v>2020</v>
      </c>
      <c r="D362">
        <f>'references-it1-studies'!$H152</f>
        <v>6</v>
      </c>
    </row>
    <row r="363" spans="1:4">
      <c r="A363" t="s">
        <v>4275</v>
      </c>
      <c r="B363" s="39" t="str">
        <f>HYPERLINK('references-it1-studies'!$D153,'references-it1-studies'!$B153)</f>
        <v>An effective intrusion detection scheme for Distributed Network Protocol 3 (DNP3) applied in SCADA-enabled IoT applications</v>
      </c>
      <c r="C363">
        <f>'references-it1-studies'!$C153</f>
        <v>2024</v>
      </c>
      <c r="D363">
        <f>'references-it1-studies'!$H153</f>
        <v>1</v>
      </c>
    </row>
    <row r="364" spans="1:4">
      <c r="A364" t="s">
        <v>4275</v>
      </c>
      <c r="B364" s="39" t="str">
        <f>HYPERLINK('references-it1-studies'!$D154,'references-it1-studies'!$B154)</f>
        <v>Integrating Electrical Substations Within the IoT Using IEC 61850, CoAP, and CBOR</v>
      </c>
      <c r="C364">
        <f>'references-it1-studies'!$C154</f>
        <v>2019</v>
      </c>
      <c r="D364">
        <f>'references-it1-studies'!$H154</f>
        <v>13</v>
      </c>
    </row>
    <row r="365" spans="1:4">
      <c r="A365" t="s">
        <v>4275</v>
      </c>
      <c r="B365" s="39" t="str">
        <f>HYPERLINK('references-it1-studies'!$D155,'references-it1-studies'!$B155)</f>
        <v>Utilisation of a compressed air test bed to assess the effects of pneumatic parameters on energy consumption</v>
      </c>
      <c r="C365">
        <f>'references-it1-studies'!$C155</f>
        <v>2020</v>
      </c>
      <c r="D365">
        <f>'references-it1-studies'!$H155</f>
        <v>6</v>
      </c>
    </row>
    <row r="366" spans="1:4">
      <c r="A366" t="s">
        <v>4275</v>
      </c>
      <c r="B366" s="39" t="str">
        <f>HYPERLINK('references-it1-studies'!$D156,'references-it1-studies'!$B156)</f>
        <v>Requirement bottlenecks in a cloud based SCADA system</v>
      </c>
      <c r="C366">
        <f>'references-it1-studies'!$C156</f>
        <v>2013</v>
      </c>
      <c r="D366">
        <f>'references-it1-studies'!$H156</f>
        <v>6</v>
      </c>
    </row>
    <row r="367" spans="1:4">
      <c r="A367" t="s">
        <v>4275</v>
      </c>
      <c r="B367" s="39" t="str">
        <f>HYPERLINK('references-it1-studies'!$D157,'references-it1-studies'!$B157)</f>
        <v>SCVT - Comparison of two lightweight protocols for smartphone-based sensing</v>
      </c>
      <c r="C367">
        <f>'references-it1-studies'!$C157</f>
        <v>2013</v>
      </c>
      <c r="D367">
        <f>'references-it1-studies'!$H157</f>
        <v>6</v>
      </c>
    </row>
    <row r="368" spans="1:4">
      <c r="A368" t="s">
        <v>4275</v>
      </c>
      <c r="B368" s="39" t="str">
        <f>HYPERLINK('references-it1-studies'!$D158,'references-it1-studies'!$B158)</f>
        <v>Security Testbed for Internet-of-Things Devices</v>
      </c>
      <c r="C368">
        <f>'references-it1-studies'!$C158</f>
        <v>2019</v>
      </c>
      <c r="D368">
        <f>'references-it1-studies'!$H158</f>
        <v>22</v>
      </c>
    </row>
    <row r="369" spans="1:4">
      <c r="A369" t="s">
        <v>4275</v>
      </c>
      <c r="B369" s="39" t="str">
        <f>HYPERLINK('references-it1-studies'!$D159,'references-it1-studies'!$B159)</f>
        <v>ASPI@UbiComp - A testbed for adaptive security for IoT in eHealth</v>
      </c>
      <c r="C369">
        <f>'references-it1-studies'!$C159</f>
        <v>2013</v>
      </c>
      <c r="D369">
        <f>'references-it1-studies'!$H159</f>
        <v>4</v>
      </c>
    </row>
    <row r="370" spans="1:4">
      <c r="A370" t="s">
        <v>4275</v>
      </c>
      <c r="B370" s="39" t="str">
        <f>HYPERLINK('references-it1-studies'!$D160,'references-it1-studies'!$B160)</f>
        <v>Converging IoT protocols for the data integration of automation systems in the electrical industry</v>
      </c>
      <c r="C370">
        <f>'references-it1-studies'!$C160</f>
        <v>2022</v>
      </c>
      <c r="D370">
        <f>'references-it1-studies'!$H160</f>
        <v>0</v>
      </c>
    </row>
    <row r="371" spans="1:4">
      <c r="A371" t="s">
        <v>4275</v>
      </c>
      <c r="B371" s="39" t="str">
        <f>HYPERLINK('references-it1-studies'!$D161,'references-it1-studies'!$B161)</f>
        <v>Design of an IoT-PLC: A containerized programmable logical controller for the industry 4.0</v>
      </c>
      <c r="C371">
        <f>'references-it1-studies'!$C161</f>
        <v>2022</v>
      </c>
      <c r="D371">
        <f>'references-it1-studies'!$H161</f>
        <v>0</v>
      </c>
    </row>
    <row r="372" spans="1:4">
      <c r="A372" t="s">
        <v>4275</v>
      </c>
      <c r="B372" s="39" t="str">
        <f>HYPERLINK('references-it1-studies'!$D162,'references-it1-studies'!$B162)</f>
        <v>ICIN - Performance evaluation of M2M protocols over cellular networks in a lab environment</v>
      </c>
      <c r="C372">
        <f>'references-it1-studies'!$C162</f>
        <v>2015</v>
      </c>
      <c r="D372">
        <f>'references-it1-studies'!$H162</f>
        <v>6</v>
      </c>
    </row>
    <row r="373" spans="1:4">
      <c r="A373" t="s">
        <v>4275</v>
      </c>
      <c r="B373" s="39" t="str">
        <f>HYPERLINK('references-it1-studies'!$D163,'references-it1-studies'!$B163)</f>
        <v>Scalability Evaluation of a Modbus TCP Control and Monitoring System for Distributed Energy Resources</v>
      </c>
      <c r="C373">
        <f>'references-it1-studies'!$C163</f>
        <v>2022</v>
      </c>
      <c r="D373">
        <f>'references-it1-studies'!$H163</f>
        <v>6</v>
      </c>
    </row>
    <row r="374" spans="1:4">
      <c r="A374" t="s">
        <v>4275</v>
      </c>
      <c r="B374" s="39" t="str">
        <f>HYPERLINK('references-it1-studies'!$D164,'references-it1-studies'!$B164)</f>
        <v>Minimum Cycle Time Analysis of Ethernet-Based Real-Time Protocols</v>
      </c>
      <c r="C374">
        <f>'references-it1-studies'!$C164</f>
        <v>2014</v>
      </c>
      <c r="D374">
        <f>'references-it1-studies'!$H164</f>
        <v>15</v>
      </c>
    </row>
    <row r="375" spans="1:4">
      <c r="A375" t="s">
        <v>4275</v>
      </c>
      <c r="B375" s="39" t="str">
        <f>HYPERLINK('references-it1-studies'!$D165,'references-it1-studies'!$B165)</f>
        <v>ETFA - Comparative assessment of different OPC UA open–source stacks for embedded systems</v>
      </c>
      <c r="C375">
        <f>'references-it1-studies'!$C165</f>
        <v>2019</v>
      </c>
      <c r="D375">
        <f>'references-it1-studies'!$H165</f>
        <v>8</v>
      </c>
    </row>
    <row r="376" spans="1:4">
      <c r="A376" t="s">
        <v>4275</v>
      </c>
      <c r="B376" s="39" t="str">
        <f>HYPERLINK('references-it1-studies'!$D166,'references-it1-studies'!$B166)</f>
        <v>On the performance of OPC UA and MQTT for data exchange between industrial plants and cloud servers</v>
      </c>
      <c r="C376">
        <f>'references-it1-studies'!$C166</f>
        <v>2019</v>
      </c>
      <c r="D376">
        <f>'references-it1-studies'!$H166</f>
        <v>0</v>
      </c>
    </row>
    <row r="377" spans="1:4">
      <c r="A377" t="s">
        <v>4275</v>
      </c>
      <c r="B377" s="39" t="str">
        <f>HYPERLINK('references-it1-studies'!$D167,'references-it1-studies'!$B167)</f>
        <v>AN EQUIPMENT-ORIENTED VULNERABILITY THREAT ASSESSMENT METHOD FOR ELECTRIC POWER SUPERVISION AND CONTROL SYSTEMS</v>
      </c>
      <c r="C377">
        <f>'references-it1-studies'!$C167</f>
        <v>2021</v>
      </c>
      <c r="D377">
        <f>'references-it1-studies'!$H167</f>
        <v>6</v>
      </c>
    </row>
    <row r="378" spans="1:4">
      <c r="A378" t="s">
        <v>4275</v>
      </c>
      <c r="B378" s="39" t="str">
        <f>HYPERLINK('references-it1-studies'!$D168,'references-it1-studies'!$B168)</f>
        <v>Real-time Power System Simulation with Hardware Devices through DNP3 in Cyber-Physical Testbed</v>
      </c>
      <c r="C378">
        <f>'references-it1-studies'!$C168</f>
        <v>2021</v>
      </c>
      <c r="D378">
        <f>'references-it1-studies'!$H168</f>
        <v>6</v>
      </c>
    </row>
    <row r="379" spans="1:4">
      <c r="A379" t="s">
        <v>4275</v>
      </c>
      <c r="B379" s="39" t="str">
        <f>HYPERLINK('references-it1-studies'!$D169,'references-it1-studies'!$B169)</f>
        <v>Delay Estimation of Industrial IoT Applications Based on Messaging Protocols</v>
      </c>
      <c r="C379">
        <f>'references-it1-studies'!$C169</f>
        <v>2018</v>
      </c>
      <c r="D379">
        <f>'references-it1-studies'!$H169</f>
        <v>12</v>
      </c>
    </row>
    <row r="380" spans="1:4">
      <c r="A380" t="s">
        <v>4275</v>
      </c>
      <c r="B380" s="39" t="str">
        <f>HYPERLINK('references-it1-studies'!$D170,'references-it1-studies'!$B170)</f>
        <v>Protecting Modbus/TCP-Based Industrial Automation and Control Systems Using Message Authentication Codes</v>
      </c>
      <c r="C380">
        <f>'references-it1-studies'!$C170</f>
        <v>2023</v>
      </c>
      <c r="D380">
        <f>'references-it1-studies'!$H170</f>
        <v>17</v>
      </c>
    </row>
    <row r="381" spans="1:4">
      <c r="A381" t="s">
        <v>4275</v>
      </c>
      <c r="B381" s="39" t="str">
        <f>HYPERLINK('references-it1-studies'!$D171,'references-it1-studies'!$B171)</f>
        <v>ETFA - Analysis of the Round Trip Time of OPC UA and TSN based Peer-to-Peer Communication</v>
      </c>
      <c r="C381">
        <f>'references-it1-studies'!$C171</f>
        <v>2019</v>
      </c>
      <c r="D381">
        <f>'references-it1-studies'!$H171</f>
        <v>7</v>
      </c>
    </row>
    <row r="382" spans="1:4">
      <c r="A382" t="s">
        <v>4275</v>
      </c>
      <c r="B382" s="39" t="str">
        <f>HYPERLINK('references-it1-studies'!$D172,'references-it1-studies'!$B172)</f>
        <v>Performance evaluation of modbus and DNP3 protocols in the communication network of a university campus microgrid</v>
      </c>
      <c r="C382">
        <f>'references-it1-studies'!$C172</f>
        <v>2024</v>
      </c>
      <c r="D382">
        <f>'references-it1-studies'!$H172</f>
        <v>1</v>
      </c>
    </row>
    <row r="383" spans="1:4">
      <c r="A383" t="s">
        <v>4275</v>
      </c>
      <c r="B383" s="39" t="str">
        <f>HYPERLINK('references-it1-studies'!$D173,'references-it1-studies'!$B173)</f>
        <v>RESTful Industrial Communication With OPC UA</v>
      </c>
      <c r="C383">
        <f>'references-it1-studies'!$C173</f>
        <v>2016</v>
      </c>
      <c r="D383">
        <f>'references-it1-studies'!$H173</f>
        <v>10</v>
      </c>
    </row>
    <row r="384" spans="1:4">
      <c r="A384" t="s">
        <v>4275</v>
      </c>
      <c r="B384" s="39" t="str">
        <f>HYPERLINK('references-it1-studies'!$D174,'references-it1-studies'!$B174)</f>
        <v>EtherCAT enabled advanced control architecture</v>
      </c>
      <c r="C384">
        <f>'references-it1-studies'!$C174</f>
        <v>2010</v>
      </c>
      <c r="D384">
        <f>'references-it1-studies'!$H174</f>
        <v>6</v>
      </c>
    </row>
    <row r="385" spans="1:4">
      <c r="A385" t="s">
        <v>4275</v>
      </c>
      <c r="B385" s="39" t="str">
        <f>HYPERLINK('references-it1-studies'!$D175,'references-it1-studies'!$B175)</f>
        <v>Development of an Open-Source Testbed Based on the Modbus Protocol for Cybersecurity Analysis of Nuclear Power Plants</v>
      </c>
      <c r="C385">
        <f>'references-it1-studies'!$C175</f>
        <v>2022</v>
      </c>
      <c r="D385">
        <f>'references-it1-studies'!$H175</f>
        <v>1</v>
      </c>
    </row>
    <row r="386" spans="1:4">
      <c r="A386" t="s">
        <v>4275</v>
      </c>
      <c r="B386" s="39" t="str">
        <f>HYPERLINK('references-it1-studies'!$D176,'references-it1-studies'!$B176)</f>
        <v>How Real (Time) Are Virtual PLCs?</v>
      </c>
      <c r="C386">
        <f>'references-it1-studies'!$C176</f>
        <v>2022</v>
      </c>
      <c r="D386">
        <f>'references-it1-studies'!$H176</f>
        <v>0</v>
      </c>
    </row>
    <row r="387" spans="1:4">
      <c r="A387" t="s">
        <v>4275</v>
      </c>
      <c r="B387" s="39" t="str">
        <f>HYPERLINK('references-it1-studies'!$D177,'references-it1-studies'!$B177)</f>
        <v>Off-Path TCP Hijacking Attacks via the Side Channel of Downgraded IPID</v>
      </c>
      <c r="C387">
        <f>'references-it1-studies'!$C177</f>
        <v>2022</v>
      </c>
      <c r="D387">
        <f>'references-it1-studies'!$H177</f>
        <v>14</v>
      </c>
    </row>
    <row r="388" spans="1:4">
      <c r="A388" t="s">
        <v>4275</v>
      </c>
      <c r="B388" s="39" t="str">
        <f>HYPERLINK('references-it1-studies'!$D178,'references-it1-studies'!$B178)</f>
        <v>BDIOT - An Efficient Intrusion Detection Model for Edge System in Brownfield Industrial Internet of Things</v>
      </c>
      <c r="C388">
        <f>'references-it1-studies'!$C178</f>
        <v>2019</v>
      </c>
      <c r="D388">
        <f>'references-it1-studies'!$H178</f>
        <v>5</v>
      </c>
    </row>
    <row r="389" spans="1:4">
      <c r="A389" t="s">
        <v>4275</v>
      </c>
      <c r="B389" s="39" t="str">
        <f>HYPERLINK('references-it1-studies'!$D179,'references-it1-studies'!$B179)</f>
        <v>Edge Computing: Vision and Challenges</v>
      </c>
      <c r="C389">
        <f>'references-it1-studies'!$C179</f>
        <v>2016</v>
      </c>
      <c r="D389">
        <f>'references-it1-studies'!$H179</f>
        <v>10</v>
      </c>
    </row>
    <row r="390" spans="1:4">
      <c r="A390" t="s">
        <v>4275</v>
      </c>
      <c r="B390" s="39" t="str">
        <f>HYPERLINK('references-it1-studies'!$D180,'references-it1-studies'!$B180)</f>
        <v>GOOSE Protocol: IED's Smart Solution for Victoria University Zone Substation (VUZS) Simulator Based on IEC61850 Standard</v>
      </c>
      <c r="C390">
        <f>'references-it1-studies'!$C180</f>
        <v>2018</v>
      </c>
      <c r="D390">
        <f>'references-it1-studies'!$H180</f>
        <v>6</v>
      </c>
    </row>
    <row r="391" spans="1:4">
      <c r="A391" t="s">
        <v>4275</v>
      </c>
      <c r="B391" s="39" t="str">
        <f>HYPERLINK('references-it1-studies'!$D181,'references-it1-studies'!$B181)</f>
        <v>Communication Requirements for a Hybrid VSC Based HVDC/AC Transmission Networks State Estimation</v>
      </c>
      <c r="C391">
        <f>'references-it1-studies'!$C181</f>
        <v>2021</v>
      </c>
      <c r="D391">
        <f>'references-it1-studies'!$H181</f>
        <v>0</v>
      </c>
    </row>
    <row r="392" spans="1:4">
      <c r="A392" t="s">
        <v>4275</v>
      </c>
      <c r="B392" s="39" t="str">
        <f>HYPERLINK('references-it1-studies'!$D182,'references-it1-studies'!$B182)</f>
        <v>DNP3 Implementation in a High DER Penetration Distribution System</v>
      </c>
      <c r="C392">
        <f>'references-it1-studies'!$C182</f>
        <v>2024</v>
      </c>
      <c r="D392">
        <f>'references-it1-studies'!$H182</f>
        <v>5</v>
      </c>
    </row>
    <row r="393" spans="1:4">
      <c r="A393" t="s">
        <v>4275</v>
      </c>
      <c r="B393" s="39" t="str">
        <f>HYPERLINK('references-it1-studies'!$D183,'references-it1-studies'!$B183)</f>
        <v>ETFA - Data Distribution Service for industrial automation</v>
      </c>
      <c r="C393">
        <f>'references-it1-studies'!$C183</f>
        <v>2012</v>
      </c>
      <c r="D393">
        <f>'references-it1-studies'!$H183</f>
        <v>8</v>
      </c>
    </row>
    <row r="394" spans="1:4">
      <c r="A394" t="s">
        <v>4275</v>
      </c>
      <c r="B394" s="39" t="str">
        <f>HYPERLINK('references-it1-studies'!$D184,'references-it1-studies'!$B184)</f>
        <v>Docker container based analytics at IoT edge Video analytics usecase</v>
      </c>
      <c r="C394">
        <f>'references-it1-studies'!$C184</f>
        <v>2018</v>
      </c>
      <c r="D394">
        <f>'references-it1-studies'!$H184</f>
        <v>0</v>
      </c>
    </row>
    <row r="395" spans="1:4">
      <c r="A395" t="s">
        <v>4275</v>
      </c>
      <c r="B395" s="39" t="str">
        <f>HYPERLINK('references-it1-studies'!$D185,'references-it1-studies'!$B185)</f>
        <v>A Testbed for Experimenting Internet of Things Applications.</v>
      </c>
      <c r="C395">
        <f>'references-it1-studies'!$C185</f>
        <v>2017</v>
      </c>
      <c r="D395">
        <f>'references-it1-studies'!$H185</f>
        <v>0</v>
      </c>
    </row>
    <row r="396" spans="1:4">
      <c r="A396" t="s">
        <v>4275</v>
      </c>
      <c r="B396" s="39" t="str">
        <f>HYPERLINK('references-it1-studies'!$D186,'references-it1-studies'!$B186)</f>
        <v>Targeted Ransomware: A New Cyber Threat to Edge System of Brownfield Industrial Internet of Things</v>
      </c>
      <c r="C396">
        <f>'references-it1-studies'!$C186</f>
        <v>2019</v>
      </c>
      <c r="D396">
        <f>'references-it1-studies'!$H186</f>
        <v>15</v>
      </c>
    </row>
    <row r="397" spans="1:4">
      <c r="A397" t="s">
        <v>4275</v>
      </c>
      <c r="B397" s="39" t="str">
        <f>HYPERLINK('references-it1-studies'!$D187,'references-it1-studies'!$B187)</f>
        <v>Implementation of an intelligence-based framework for anomaly detection on the demand-side of sustainable compressed air systems</v>
      </c>
      <c r="C397">
        <f>'references-it1-studies'!$C187</f>
        <v>2024</v>
      </c>
      <c r="D397">
        <f>'references-it1-studies'!$H187</f>
        <v>10</v>
      </c>
    </row>
    <row r="398" spans="1:4">
      <c r="A398" t="s">
        <v>4275</v>
      </c>
      <c r="B398" s="39" t="str">
        <f>HYPERLINK('references-it1-studies'!$D188,'references-it1-studies'!$B188)</f>
        <v>ETFA - Performance evaluation of OPC UA</v>
      </c>
      <c r="C398">
        <f>'references-it1-studies'!$C188</f>
        <v>2010</v>
      </c>
      <c r="D398">
        <f>'references-it1-studies'!$H188</f>
        <v>8</v>
      </c>
    </row>
    <row r="399" spans="1:4">
      <c r="A399" t="s">
        <v>4275</v>
      </c>
      <c r="B399" s="39" t="str">
        <f>HYPERLINK('references-it1-studies'!$D189,'references-it1-studies'!$B189)</f>
        <v>Attacking and Defending DNP3 ICS/SCADA Systems</v>
      </c>
      <c r="C399">
        <f>'references-it1-studies'!$C189</f>
        <v>2022</v>
      </c>
      <c r="D399">
        <f>'references-it1-studies'!$H189</f>
        <v>8</v>
      </c>
    </row>
    <row r="400" spans="1:4">
      <c r="A400" t="s">
        <v>4275</v>
      </c>
      <c r="B400" s="39" t="str">
        <f>HYPERLINK('references-it1-studies'!$D190,'references-it1-studies'!$B190)</f>
        <v>CPS Testbed Architectures for WAMPAC using Industrial Substation and Control Center Platforms and Attack-Defense Evaluation</v>
      </c>
      <c r="C400">
        <f>'references-it1-studies'!$C190</f>
        <v>2021</v>
      </c>
      <c r="D400">
        <f>'references-it1-studies'!$H190</f>
        <v>5</v>
      </c>
    </row>
    <row r="401" spans="1:4">
      <c r="A401" t="s">
        <v>4275</v>
      </c>
      <c r="B401" s="39" t="str">
        <f>HYPERLINK('references-it1-studies'!$D191,'references-it1-studies'!$B191)</f>
        <v>Supporting vPLC Networking over TSN with Kubernetes in Industry 4.0</v>
      </c>
      <c r="C401">
        <f>'references-it1-studies'!$C191</f>
        <v>2023</v>
      </c>
      <c r="D401">
        <f>'references-it1-studies'!$H191</f>
        <v>7</v>
      </c>
    </row>
    <row r="402" spans="1:4">
      <c r="A402" t="s">
        <v>4275</v>
      </c>
      <c r="B402" s="39" t="str">
        <f>HYPERLINK('references-it1-studies'!$D192,'references-it1-studies'!$B192)</f>
        <v>ETFA - Real Time Ethernet networks evaluation using performance indicators</v>
      </c>
      <c r="C402">
        <f>'references-it1-studies'!$C192</f>
        <v>2009</v>
      </c>
      <c r="D402">
        <f>'references-it1-studies'!$H192</f>
        <v>8</v>
      </c>
    </row>
    <row r="403" spans="1:4">
      <c r="A403" t="s">
        <v>4275</v>
      </c>
      <c r="B403" s="39" t="str">
        <f>HYPERLINK('references-it1-studies'!$D193,'references-it1-studies'!$B193)</f>
        <v>Attack scenarios and security analysis of MQTT communication protocol in IoT system</v>
      </c>
      <c r="C403">
        <f>'references-it1-studies'!$C193</f>
        <v>2017</v>
      </c>
      <c r="D403">
        <f>'references-it1-studies'!$H193</f>
        <v>5</v>
      </c>
    </row>
    <row r="404" spans="1:4">
      <c r="A404" t="s">
        <v>4275</v>
      </c>
      <c r="B404" s="39" t="str">
        <f>HYPERLINK('references-it1-studies'!$D194,'references-it1-studies'!$B194)</f>
        <v>Wireless Technologies for Industry 4.0 Applications</v>
      </c>
      <c r="C404">
        <f>'references-it1-studies'!$C194</f>
        <v>2023</v>
      </c>
      <c r="D404">
        <f>'references-it1-studies'!$H194</f>
        <v>1</v>
      </c>
    </row>
    <row r="405" spans="1:4">
      <c r="A405" t="s">
        <v>4275</v>
      </c>
      <c r="B405" s="39" t="str">
        <f>HYPERLINK('references-it1-studies'!$D195,'references-it1-studies'!$B195)</f>
        <v>Anomaly Detection and its Adaptation: Studies on Cyber-Physical Systems</v>
      </c>
      <c r="C405">
        <f>'references-it1-studies'!$C195</f>
        <v>2013</v>
      </c>
      <c r="D405">
        <f>'references-it1-studies'!$H195</f>
        <v>0</v>
      </c>
    </row>
    <row r="406" spans="1:4">
      <c r="A406" t="s">
        <v>4275</v>
      </c>
      <c r="B406" s="39" t="str">
        <f>HYPERLINK('references-it1-studies'!$D196,'references-it1-studies'!$B196)</f>
        <v>RESTful information-centric networking</v>
      </c>
      <c r="C406">
        <f>'references-it1-studies'!$C196</f>
        <v>2022</v>
      </c>
      <c r="D406">
        <f>'references-it1-studies'!$H196</f>
        <v>3</v>
      </c>
    </row>
    <row r="407" spans="1:4">
      <c r="A407" t="s">
        <v>4275</v>
      </c>
      <c r="B407" s="39" t="str">
        <f>HYPERLINK('references-it1-studies'!$D197,'references-it1-studies'!$B197)</f>
        <v>Key Challenges and Emerging Technologies in Industrial IoT Architectures: A Review.</v>
      </c>
      <c r="C407">
        <f>'references-it1-studies'!$C197</f>
        <v>2022</v>
      </c>
      <c r="D407">
        <f>'references-it1-studies'!$H197</f>
        <v>1</v>
      </c>
    </row>
    <row r="408" spans="1:4">
      <c r="A408" t="s">
        <v>4275</v>
      </c>
      <c r="B408" s="39" t="str">
        <f>HYPERLINK('references-it1-studies'!$D198,'references-it1-studies'!$B198)</f>
        <v>A survey on communication protocols and performance evaluations for Internet of Things</v>
      </c>
      <c r="C408">
        <f>'references-it1-studies'!$C198</f>
        <v>2022</v>
      </c>
      <c r="D408">
        <f>'references-it1-studies'!$H198</f>
        <v>11</v>
      </c>
    </row>
    <row r="409" spans="1:4">
      <c r="A409" t="s">
        <v>4275</v>
      </c>
      <c r="B409" s="39" t="str">
        <f>HYPERLINK('references-it1-studies'!$D199,'references-it1-studies'!$B199)</f>
        <v>Performance Tuning Towards a KVM-based Embedded Real-time Virtualization System</v>
      </c>
      <c r="C409">
        <f>'references-it1-studies'!$C199</f>
        <v>2013</v>
      </c>
      <c r="D409">
        <f>'references-it1-studies'!$H199</f>
        <v>15</v>
      </c>
    </row>
    <row r="410" spans="1:4">
      <c r="A410" t="s">
        <v>4275</v>
      </c>
      <c r="B410" s="39" t="str">
        <f>HYPERLINK('references-it1-studies'!$D200,'references-it1-studies'!$B200)</f>
        <v>IoT Fundamentals: Networking Technologies, Protocols, and Use Cases for the Internet of Things</v>
      </c>
      <c r="C410">
        <f>'references-it1-studies'!$C200</f>
        <v>2017</v>
      </c>
      <c r="D410">
        <f>'references-it1-studies'!$H200</f>
        <v>0</v>
      </c>
    </row>
    <row r="411" spans="1:4">
      <c r="A411" s="39"/>
    </row>
    <row r="412" spans="1:4">
      <c r="A412" s="39"/>
    </row>
    <row r="413" spans="1:4">
      <c r="A413" s="39"/>
    </row>
    <row r="414" spans="1:4">
      <c r="A414" s="39"/>
    </row>
    <row r="415" spans="1:4">
      <c r="A415" s="39"/>
    </row>
    <row r="416" spans="1:4">
      <c r="A416" s="39"/>
    </row>
    <row r="417" spans="1:1">
      <c r="A417" s="39"/>
    </row>
    <row r="418" spans="1:1">
      <c r="A418" s="39"/>
    </row>
    <row r="419" spans="1:1">
      <c r="A419" s="39"/>
    </row>
    <row r="420" spans="1:1">
      <c r="A420" s="39"/>
    </row>
    <row r="421" spans="1:1">
      <c r="A421" s="39"/>
    </row>
    <row r="422" spans="1:1">
      <c r="A422" s="39"/>
    </row>
    <row r="423" spans="1:1">
      <c r="A423" s="39"/>
    </row>
    <row r="424" spans="1:1">
      <c r="A424" s="39"/>
    </row>
    <row r="425" spans="1:1">
      <c r="A425" s="39"/>
    </row>
    <row r="426" spans="1:1">
      <c r="A426" s="39"/>
    </row>
    <row r="427" spans="1:1">
      <c r="A427" s="39"/>
    </row>
    <row r="428" spans="1:1">
      <c r="A428" s="39"/>
    </row>
    <row r="429" spans="1:1">
      <c r="A429" s="39"/>
    </row>
    <row r="430" spans="1:1">
      <c r="A430" s="39"/>
    </row>
    <row r="431" spans="1:1">
      <c r="A431" s="39"/>
    </row>
    <row r="432" spans="1:1">
      <c r="A432" s="39"/>
    </row>
    <row r="433" spans="1:1">
      <c r="A433" s="39"/>
    </row>
    <row r="434" spans="1:1">
      <c r="A434" s="39"/>
    </row>
    <row r="435" spans="1:1">
      <c r="A435" s="39"/>
    </row>
    <row r="436" spans="1:1">
      <c r="A436" s="39"/>
    </row>
    <row r="437" spans="1:1">
      <c r="A437" s="39"/>
    </row>
    <row r="438" spans="1:1">
      <c r="A438" s="39"/>
    </row>
    <row r="439" spans="1:1">
      <c r="A439" s="39"/>
    </row>
    <row r="440" spans="1:1">
      <c r="A440" s="39"/>
    </row>
    <row r="441" spans="1:1">
      <c r="A441" s="39"/>
    </row>
    <row r="442" spans="1:1">
      <c r="A442" s="39"/>
    </row>
    <row r="443" spans="1:1">
      <c r="A443" s="39"/>
    </row>
    <row r="444" spans="1:1">
      <c r="A444" s="39"/>
    </row>
    <row r="445" spans="1:1">
      <c r="A445" s="39"/>
    </row>
    <row r="446" spans="1:1">
      <c r="A446" s="39"/>
    </row>
    <row r="447" spans="1:1">
      <c r="A447" s="39"/>
    </row>
    <row r="448" spans="1:1">
      <c r="A448" s="39"/>
    </row>
    <row r="449" spans="1:1">
      <c r="A449" s="39"/>
    </row>
    <row r="450" spans="1:1">
      <c r="A450" s="39"/>
    </row>
    <row r="451" spans="1:1">
      <c r="A451" s="39"/>
    </row>
    <row r="452" spans="1:1">
      <c r="A452" s="39"/>
    </row>
    <row r="453" spans="1:1">
      <c r="A453" s="39"/>
    </row>
    <row r="454" spans="1:1">
      <c r="A454" s="39"/>
    </row>
    <row r="455" spans="1:1">
      <c r="A455" s="39"/>
    </row>
    <row r="456" spans="1:1">
      <c r="A456" s="39"/>
    </row>
    <row r="457" spans="1:1">
      <c r="A457" s="39"/>
    </row>
    <row r="458" spans="1:1">
      <c r="A458" s="39"/>
    </row>
    <row r="459" spans="1:1">
      <c r="A459" s="39"/>
    </row>
    <row r="460" spans="1:1">
      <c r="A460" s="39"/>
    </row>
    <row r="461" spans="1:1">
      <c r="A461" s="39"/>
    </row>
    <row r="462" spans="1:1">
      <c r="A462" s="39"/>
    </row>
    <row r="463" spans="1:1">
      <c r="A463" s="39"/>
    </row>
    <row r="464" spans="1:1">
      <c r="A464" s="39"/>
    </row>
    <row r="465" spans="1:1">
      <c r="A465" s="39"/>
    </row>
    <row r="466" spans="1:1">
      <c r="A466" s="39"/>
    </row>
    <row r="467" spans="1:1">
      <c r="A467" s="39"/>
    </row>
    <row r="468" spans="1:1">
      <c r="A468" s="39"/>
    </row>
    <row r="469" spans="1:1">
      <c r="A469" s="39"/>
    </row>
    <row r="470" spans="1:1">
      <c r="A470" s="39"/>
    </row>
    <row r="471" spans="1:1">
      <c r="A471" s="39"/>
    </row>
    <row r="472" spans="1:1">
      <c r="A472" s="39"/>
    </row>
    <row r="473" spans="1:1">
      <c r="A473" s="39"/>
    </row>
    <row r="474" spans="1:1">
      <c r="A474" s="39"/>
    </row>
  </sheetData>
  <conditionalFormatting sqref="B1:B1048576">
    <cfRule type="duplicateValues" dxfId="66"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21CAE-D250-48B9-ADBB-08021A899CF3}">
  <dimension ref="A1:D475"/>
  <sheetViews>
    <sheetView topLeftCell="A37" workbookViewId="0">
      <selection activeCell="I3" sqref="I3:I4"/>
    </sheetView>
  </sheetViews>
  <sheetFormatPr defaultRowHeight="12.75"/>
  <sheetData>
    <row r="1" spans="1:4">
      <c r="A1" t="s">
        <v>47</v>
      </c>
      <c r="B1" t="s">
        <v>2</v>
      </c>
      <c r="C1" t="s">
        <v>32</v>
      </c>
      <c r="D1" t="s">
        <v>327</v>
      </c>
    </row>
    <row r="2" spans="1:4">
      <c r="A2" t="s">
        <v>4274</v>
      </c>
      <c r="B2" s="39" t="str">
        <f>HYPERLINK('citations-it1-studies'!$D2,'citations-it1-studies'!$B2)</f>
        <v>Practical approaches towards IoT dataset generation for security experiments</v>
      </c>
      <c r="C2">
        <f>'citations-it1-studies'!$C2</f>
        <v>2025</v>
      </c>
      <c r="D2">
        <f>'citations-it1-studies'!$H2</f>
        <v>65</v>
      </c>
    </row>
    <row r="3" spans="1:4">
      <c r="A3" t="s">
        <v>4274</v>
      </c>
      <c r="B3" s="39" t="str">
        <f>HYPERLINK('citations-it1-studies'!$D3,'citations-it1-studies'!$B3)</f>
        <v>Performance Evaluation of IoT-Enabled Edge Computing Infrastructure for mHealth Services</v>
      </c>
      <c r="C3">
        <f>'citations-it1-studies'!$C3</f>
        <v>2025</v>
      </c>
      <c r="D3">
        <f>'citations-it1-studies'!$H3</f>
        <v>12</v>
      </c>
    </row>
    <row r="4" spans="1:4">
      <c r="A4" t="s">
        <v>4274</v>
      </c>
      <c r="B4" s="39" t="str">
        <f>HYPERLINK('citations-it1-studies'!$D4,'citations-it1-studies'!$B4)</f>
        <v>Learning Temporal and Spatial Features Jointly: A Unified Framework for Space-Time Data Prediction in Industrial IoT Networks</v>
      </c>
      <c r="C4">
        <f>'citations-it1-studies'!$C4</f>
        <v>2023</v>
      </c>
      <c r="D4">
        <f>'citations-it1-studies'!$H4</f>
        <v>13</v>
      </c>
    </row>
    <row r="5" spans="1:4">
      <c r="A5" t="s">
        <v>4274</v>
      </c>
      <c r="B5" s="39" t="str">
        <f>HYPERLINK('citations-it1-studies'!$D5,'citations-it1-studies'!$B5)</f>
        <v>Design of 5G private network quality monitoring System based on edge computing</v>
      </c>
      <c r="C5">
        <f>'citations-it1-studies'!$C5</f>
        <v>2023</v>
      </c>
      <c r="D5">
        <f>'citations-it1-studies'!$H5</f>
        <v>5</v>
      </c>
    </row>
    <row r="6" spans="1:4">
      <c r="A6" t="s">
        <v>4274</v>
      </c>
      <c r="B6" s="39" t="str">
        <f>HYPERLINK('citations-it1-studies'!$D6,'citations-it1-studies'!$B6)</f>
        <v>Evaluating the Latency Impact for Time-Critical Operational Technology Applications of Transitioning IEC-61850 GOOSE Operations to 5G</v>
      </c>
      <c r="C6">
        <f>'citations-it1-studies'!$C6</f>
        <v>2024</v>
      </c>
      <c r="D6">
        <f>'citations-it1-studies'!$H6</f>
        <v>2</v>
      </c>
    </row>
    <row r="7" spans="1:4">
      <c r="A7" t="s">
        <v>4274</v>
      </c>
      <c r="B7" s="39" t="str">
        <f>HYPERLINK('citations-it1-studies'!$D7,'citations-it1-studies'!$B7)</f>
        <v>Challenges in Resource-Constrained IoT Devices: Energy and Communication as Critical Success Factors for Future IoT Deployment.</v>
      </c>
      <c r="C7">
        <f>'citations-it1-studies'!$C7</f>
        <v>2020</v>
      </c>
      <c r="D7">
        <f>'citations-it1-studies'!$H7</f>
        <v>0</v>
      </c>
    </row>
    <row r="8" spans="1:4">
      <c r="A8" t="s">
        <v>4274</v>
      </c>
      <c r="B8" s="39" t="str">
        <f>HYPERLINK('citations-it1-studies'!$D8,'citations-it1-studies'!$B8)</f>
        <v>A forensic tool for the identification, acquisition and analysis of sources of evidence in IoT investigations</v>
      </c>
      <c r="C8">
        <f>'citations-it1-studies'!$C8</f>
        <v>2024</v>
      </c>
      <c r="D8">
        <f>'citations-it1-studies'!$H8</f>
        <v>1</v>
      </c>
    </row>
    <row r="9" spans="1:4">
      <c r="A9" t="s">
        <v>4274</v>
      </c>
      <c r="B9" s="39" t="str">
        <f>HYPERLINK('citations-it1-studies'!$D9,'citations-it1-studies'!$B9)</f>
        <v>Construction of intelligent integrated model framework for the workshop manufacturing system via digital twin</v>
      </c>
      <c r="C9">
        <f>'citations-it1-studies'!$C9</f>
        <v>2021</v>
      </c>
      <c r="D9">
        <f>'citations-it1-studies'!$H9</f>
        <v>14</v>
      </c>
    </row>
    <row r="10" spans="1:4">
      <c r="A10" t="s">
        <v>4274</v>
      </c>
      <c r="B10" s="39" t="str">
        <f>HYPERLINK('citations-it1-studies'!$D10,'citations-it1-studies'!$B10)</f>
        <v>Communication and Coordination for Multi AGVs Based on MQTT Protocol</v>
      </c>
      <c r="C10">
        <f>'citations-it1-studies'!$C10</f>
        <v>2023</v>
      </c>
      <c r="D10">
        <f>'citations-it1-studies'!$H10</f>
        <v>6</v>
      </c>
    </row>
    <row r="11" spans="1:4">
      <c r="A11" t="s">
        <v>4274</v>
      </c>
      <c r="B11" s="39" t="str">
        <f>HYPERLINK('citations-it1-studies'!$D11,'citations-it1-studies'!$B11)</f>
        <v>QoSmart-IoT: Secure QoS-Based Reconfiguration and Protocol Adaptation for Hybrid Clustered IoT Systems in Constrained Environments</v>
      </c>
      <c r="C11">
        <f>'citations-it1-studies'!$C11</f>
        <v>2025</v>
      </c>
      <c r="D11">
        <f>'citations-it1-studies'!$H11</f>
        <v>13</v>
      </c>
    </row>
    <row r="12" spans="1:4">
      <c r="A12" t="s">
        <v>4274</v>
      </c>
      <c r="B12" s="39" t="str">
        <f>HYPERLINK('citations-it1-studies'!$D12,'citations-it1-studies'!$B12)</f>
        <v>APT Adversarial Defence Mechanism for Industrial IoT Enabled Cyber-Physical System</v>
      </c>
      <c r="C12">
        <f>'citations-it1-studies'!$C12</f>
        <v>2023</v>
      </c>
      <c r="D12">
        <f>'citations-it1-studies'!$H12</f>
        <v>21</v>
      </c>
    </row>
    <row r="13" spans="1:4">
      <c r="A13" t="s">
        <v>4274</v>
      </c>
      <c r="B13" s="39" t="str">
        <f>HYPERLINK('citations-it1-studies'!$D13,'citations-it1-studies'!$B13)</f>
        <v>Secure Communication Protocols: Safeguarding Information in The Digital Age</v>
      </c>
      <c r="C13">
        <f>'citations-it1-studies'!$C13</f>
        <v>2025</v>
      </c>
      <c r="D13">
        <f>'citations-it1-studies'!$H13</f>
        <v>65</v>
      </c>
    </row>
    <row r="14" spans="1:4">
      <c r="A14" t="s">
        <v>4274</v>
      </c>
      <c r="B14" s="39" t="str">
        <f>HYPERLINK('citations-it1-studies'!$D14,'citations-it1-studies'!$B14)</f>
        <v>IBAM: IPFS and Blockchain based Authentication for MQTT protocol in IoT</v>
      </c>
      <c r="C14">
        <f>'citations-it1-studies'!$C14</f>
        <v>2023</v>
      </c>
      <c r="D14">
        <f>'citations-it1-studies'!$H14</f>
        <v>6</v>
      </c>
    </row>
    <row r="15" spans="1:4">
      <c r="A15" t="s">
        <v>4274</v>
      </c>
      <c r="B15" s="39" t="str">
        <f>HYPERLINK('citations-it1-studies'!$D15,'citations-it1-studies'!$B15)</f>
        <v>Integration of MQTT and CoAP Protocols in OneM2M for IoT Applications</v>
      </c>
      <c r="C15">
        <f>'citations-it1-studies'!$C15</f>
        <v>2025</v>
      </c>
      <c r="D15">
        <f>'citations-it1-studies'!$H15</f>
        <v>11</v>
      </c>
    </row>
    <row r="16" spans="1:4">
      <c r="A16" t="s">
        <v>4274</v>
      </c>
      <c r="B16" s="39" t="str">
        <f>HYPERLINK('citations-it1-studies'!$D16,'citations-it1-studies'!$B16)</f>
        <v>MECInOT: a multi-access edge computing and industrial internet of things emulator for the modelling and study of cybersecurity threats</v>
      </c>
      <c r="C16">
        <f>'citations-it1-studies'!$C16</f>
        <v>2023</v>
      </c>
      <c r="D16">
        <f>'citations-it1-studies'!$H16</f>
        <v>39</v>
      </c>
    </row>
    <row r="17" spans="1:4">
      <c r="A17" t="s">
        <v>4274</v>
      </c>
      <c r="B17" s="39" t="str">
        <f>HYPERLINK('citations-it1-studies'!$D17,'citations-it1-studies'!$B17)</f>
        <v>Implementing Dead Letter Exchanges in MQTT and Proposing a Broker Failure Algorithm Utilizing Blockchain DNS</v>
      </c>
      <c r="C17">
        <f>'citations-it1-studies'!$C17</f>
        <v>2023</v>
      </c>
      <c r="D17">
        <f>'citations-it1-studies'!$H17</f>
        <v>6</v>
      </c>
    </row>
    <row r="18" spans="1:4">
      <c r="A18" t="s">
        <v>4274</v>
      </c>
      <c r="B18" s="39" t="str">
        <f>HYPERLINK('citations-it1-studies'!$D18,'citations-it1-studies'!$B18)</f>
        <v>X-IIoTID: A Connectivity-Agnostic and Device-Agnostic Intrusion Data Set for Industrial Internet of Things</v>
      </c>
      <c r="C18">
        <f>'citations-it1-studies'!$C18</f>
        <v>2022</v>
      </c>
      <c r="D18">
        <f>'citations-it1-studies'!$H18</f>
        <v>16</v>
      </c>
    </row>
    <row r="19" spans="1:4">
      <c r="A19" t="s">
        <v>4274</v>
      </c>
      <c r="B19" s="39" t="str">
        <f>HYPERLINK('citations-it1-studies'!$D19,'citations-it1-studies'!$B19)</f>
        <v>Intelligent Monitoring and Control Systems for Smart Water Management</v>
      </c>
      <c r="C19">
        <f>'citations-it1-studies'!$C19</f>
        <v>2025</v>
      </c>
      <c r="D19">
        <f>'citations-it1-studies'!$H19</f>
        <v>22</v>
      </c>
    </row>
    <row r="20" spans="1:4">
      <c r="A20" t="s">
        <v>4274</v>
      </c>
      <c r="B20" s="39" t="str">
        <f>HYPERLINK('citations-it1-studies'!$D20,'citations-it1-studies'!$B20)</f>
        <v>Multisensory Fusion, Haptic, and Visual Feedback Teleoperation System Under IoT Framework</v>
      </c>
      <c r="C20">
        <f>'citations-it1-studies'!$C20</f>
        <v>2022</v>
      </c>
      <c r="D20">
        <f>'citations-it1-studies'!$H20</f>
        <v>11</v>
      </c>
    </row>
    <row r="21" spans="1:4">
      <c r="A21" t="s">
        <v>4274</v>
      </c>
      <c r="B21" s="39" t="str">
        <f>HYPERLINK('citations-it1-studies'!$D21,'citations-it1-studies'!$B21)</f>
        <v>Transfer Fuzzy Learning enabled Streebog Cryptographic Substitution Permutation based zero trust security in IIOT</v>
      </c>
      <c r="C21">
        <f>'citations-it1-studies'!$C21</f>
        <v>2023</v>
      </c>
      <c r="D21">
        <f>'citations-it1-studies'!$H21</f>
        <v>11</v>
      </c>
    </row>
    <row r="22" spans="1:4">
      <c r="A22" t="s">
        <v>4274</v>
      </c>
      <c r="B22" s="39" t="str">
        <f>HYPERLINK('citations-it1-studies'!$D22,'citations-it1-studies'!$B22)</f>
        <v>High Precision Open Laboratory 3D Positioning System for Automated Underwater Measurements</v>
      </c>
      <c r="C22">
        <f>'citations-it1-studies'!$C22</f>
        <v>2021</v>
      </c>
      <c r="D22">
        <f>'citations-it1-studies'!$H22</f>
        <v>5</v>
      </c>
    </row>
    <row r="23" spans="1:4">
      <c r="A23" t="s">
        <v>4274</v>
      </c>
      <c r="B23" s="39" t="str">
        <f>HYPERLINK('citations-it1-studies'!$D23,'citations-it1-studies'!$B23)</f>
        <v>Architecture for data-centric and semantic-enhanced industrial metaverse: Bridging physical factories and virtual landscape</v>
      </c>
      <c r="C23">
        <f>'citations-it1-studies'!$C23</f>
        <v>2024</v>
      </c>
      <c r="D23">
        <f>'citations-it1-studies'!$H23</f>
        <v>15</v>
      </c>
    </row>
    <row r="24" spans="1:4">
      <c r="A24" t="s">
        <v>4274</v>
      </c>
      <c r="B24" s="39" t="str">
        <f>HYPERLINK('citations-it1-studies'!$D24,'citations-it1-studies'!$B24)</f>
        <v>Developing a Low-cost SCADA System for Industrial Application</v>
      </c>
      <c r="C24">
        <f>'citations-it1-studies'!$C24</f>
        <v>2022</v>
      </c>
      <c r="D24">
        <f>'citations-it1-studies'!$H24</f>
        <v>6</v>
      </c>
    </row>
    <row r="25" spans="1:4">
      <c r="A25" t="s">
        <v>4274</v>
      </c>
      <c r="B25" s="39" t="str">
        <f>HYPERLINK('citations-it1-studies'!$D25,'citations-it1-studies'!$B25)</f>
        <v>Evaluating Real-Time Ethernet performance indicators for SERCOS III networks</v>
      </c>
      <c r="C25">
        <f>'citations-it1-studies'!$C25</f>
        <v>2021</v>
      </c>
      <c r="D25">
        <f>'citations-it1-studies'!$H25</f>
        <v>7</v>
      </c>
    </row>
    <row r="26" spans="1:4">
      <c r="A26" t="s">
        <v>4274</v>
      </c>
      <c r="B26" s="39" t="str">
        <f>HYPERLINK('citations-it1-studies'!$D26,'citations-it1-studies'!$B26)</f>
        <v>Research on Hardware-in-the-Loop Test Platform Based on Simulated IED and Man-in-the-Middle Attack</v>
      </c>
      <c r="C26">
        <f>'citations-it1-studies'!$C26</f>
        <v>2025</v>
      </c>
      <c r="D26">
        <f>'citations-it1-studies'!$H26</f>
        <v>1</v>
      </c>
    </row>
    <row r="27" spans="1:4">
      <c r="A27" t="s">
        <v>4274</v>
      </c>
      <c r="B27" s="39" t="str">
        <f>HYPERLINK('citations-it1-studies'!$D27,'citations-it1-studies'!$B27)</f>
        <v>Cloud-Fog Automation: The New Paradigm Toward Autonomous Industrial Cyber-Physical Systems</v>
      </c>
      <c r="C27">
        <f>'citations-it1-studies'!$C27</f>
        <v>2025</v>
      </c>
      <c r="D27">
        <f>'citations-it1-studies'!$H27</f>
        <v>21</v>
      </c>
    </row>
    <row r="28" spans="1:4">
      <c r="A28" t="s">
        <v>4274</v>
      </c>
      <c r="B28" s="39" t="str">
        <f>HYPERLINK('citations-it1-studies'!$D28,'citations-it1-studies'!$B28)</f>
        <v>Integrating Fieldbus and Data-Centric Middleware: An STM32 Modbus Master Gateway for DDS-Based IIoT Systems</v>
      </c>
      <c r="C28">
        <f>'citations-it1-studies'!$C28</f>
        <v>2025</v>
      </c>
      <c r="D28">
        <f>'citations-it1-studies'!$H28</f>
        <v>0</v>
      </c>
    </row>
    <row r="29" spans="1:4">
      <c r="A29" t="s">
        <v>4274</v>
      </c>
      <c r="B29" s="39" t="str">
        <f>HYPERLINK('citations-it1-studies'!$D29,'citations-it1-studies'!$B29)</f>
        <v>Online Compensation Method for Contour Error in the Parallel Module of a Hybrid Gantry Machining Center</v>
      </c>
      <c r="C29">
        <f>'citations-it1-studies'!$C29</f>
        <v>2025</v>
      </c>
      <c r="D29">
        <f>'citations-it1-studies'!$H29</f>
        <v>0</v>
      </c>
    </row>
    <row r="30" spans="1:4">
      <c r="A30" t="s">
        <v>4274</v>
      </c>
      <c r="B30" s="39" t="str">
        <f>HYPERLINK('citations-it1-studies'!$D30,'citations-it1-studies'!$B30)</f>
        <v>RAPTOR: Advanced Persistent Threat Detection in Industrial IoT via Attack Stage Correlation</v>
      </c>
      <c r="C30">
        <f>'citations-it1-studies'!$C30</f>
        <v>2023</v>
      </c>
      <c r="D30">
        <f>'citations-it1-studies'!$H30</f>
        <v>12</v>
      </c>
    </row>
    <row r="31" spans="1:4">
      <c r="A31" t="s">
        <v>4274</v>
      </c>
      <c r="B31" s="39" t="str">
        <f>HYPERLINK('citations-it1-studies'!$D31,'citations-it1-studies'!$B31)</f>
        <v>Improving Security and Preventing Cyber Attacks in Smart Device Networks</v>
      </c>
      <c r="C31">
        <f>'citations-it1-studies'!$C31</f>
        <v>2025</v>
      </c>
      <c r="D31">
        <f>'citations-it1-studies'!$H31</f>
        <v>6</v>
      </c>
    </row>
    <row r="32" spans="1:4">
      <c r="A32" t="s">
        <v>4274</v>
      </c>
      <c r="B32" s="39" t="str">
        <f>HYPERLINK('citations-it1-studies'!$D32,'citations-it1-studies'!$B32)</f>
        <v>KOTO: A Kubernetes-Based Platform for Secure and Scalable OT Orchestration in Industry 5.0</v>
      </c>
      <c r="C32">
        <f>'citations-it1-studies'!$C32</f>
        <v>2025</v>
      </c>
      <c r="D32">
        <f>'citations-it1-studies'!$H32</f>
        <v>6</v>
      </c>
    </row>
    <row r="33" spans="1:4">
      <c r="A33" t="s">
        <v>4274</v>
      </c>
      <c r="B33" s="39" t="str">
        <f>HYPERLINK('citations-it1-studies'!$D33,'citations-it1-studies'!$B33)</f>
        <v>A Survey of Public IoT Datasets for Network Security Research</v>
      </c>
      <c r="C33">
        <f>'citations-it1-studies'!$C33</f>
        <v>2023</v>
      </c>
      <c r="D33">
        <f>'citations-it1-studies'!$H33</f>
        <v>33</v>
      </c>
    </row>
    <row r="34" spans="1:4">
      <c r="A34" t="s">
        <v>4274</v>
      </c>
      <c r="B34" s="39" t="str">
        <f>HYPERLINK('citations-it1-studies'!$D34,'citations-it1-studies'!$B34)</f>
        <v>Petri nets-based digital twin drives dual-arm cooperative manipulation</v>
      </c>
      <c r="C34">
        <f>'citations-it1-studies'!$C34</f>
        <v>2023</v>
      </c>
      <c r="D34">
        <f>'citations-it1-studies'!$H34</f>
        <v>1</v>
      </c>
    </row>
    <row r="35" spans="1:4">
      <c r="A35" t="s">
        <v>4274</v>
      </c>
      <c r="B35" s="39" t="str">
        <f>HYPERLINK('citations-it1-studies'!$D35,'citations-it1-studies'!$B35)</f>
        <v>IoTForge Pro: A Security Testbed for Generating Intrusion Dataset for Industrial IoT</v>
      </c>
      <c r="C35">
        <f>'citations-it1-studies'!$C35</f>
        <v>2025</v>
      </c>
      <c r="D35">
        <f>'citations-it1-studies'!$H35</f>
        <v>8</v>
      </c>
    </row>
    <row r="36" spans="1:4">
      <c r="A36" t="s">
        <v>4274</v>
      </c>
      <c r="B36" s="39" t="str">
        <f>HYPERLINK('citations-it1-studies'!$D36,'citations-it1-studies'!$B36)</f>
        <v>Design Model for the Digital Shadow of a Value Stream</v>
      </c>
      <c r="C36">
        <f>'citations-it1-studies'!$C36</f>
        <v>2024</v>
      </c>
      <c r="D36">
        <f>'citations-it1-studies'!$H36</f>
        <v>1</v>
      </c>
    </row>
    <row r="37" spans="1:4">
      <c r="A37" t="s">
        <v>4274</v>
      </c>
      <c r="B37" s="39" t="str">
        <f>HYPERLINK('citations-it1-studies'!$D37,'citations-it1-studies'!$B37)</f>
        <v>ExaMon-X: A Predictive Maintenance Framework for Automatic Monitoring in Industrial IoT Systems</v>
      </c>
      <c r="C37">
        <f>'citations-it1-studies'!$C37</f>
        <v>2023</v>
      </c>
      <c r="D37">
        <f>'citations-it1-studies'!$H37</f>
        <v>11</v>
      </c>
    </row>
    <row r="38" spans="1:4">
      <c r="A38" t="s">
        <v>4274</v>
      </c>
      <c r="B38" s="39" t="str">
        <f>HYPERLINK('citations-it1-studies'!$D38,'citations-it1-studies'!$B38)</f>
        <v>Equipment Failure Prediction using Artificial Intelligence on Vibration Data</v>
      </c>
      <c r="C38">
        <f>'citations-it1-studies'!$C38</f>
        <v>2024</v>
      </c>
      <c r="D38">
        <f>'citations-it1-studies'!$H38</f>
        <v>4</v>
      </c>
    </row>
    <row r="39" spans="1:4">
      <c r="A39" t="s">
        <v>4274</v>
      </c>
      <c r="B39" s="39" t="str">
        <f>HYPERLINK('citations-it1-studies'!$D39,'citations-it1-studies'!$B39)</f>
        <v>Interaction of Artificial Intelligence and Machining Processes Regarding Industry 4.0 Production Systems</v>
      </c>
      <c r="C39">
        <f>'citations-it1-studies'!$C39</f>
        <v>2023</v>
      </c>
      <c r="D39">
        <f>'citations-it1-studies'!$H39</f>
        <v>10</v>
      </c>
    </row>
    <row r="40" spans="1:4">
      <c r="A40" t="s">
        <v>4274</v>
      </c>
      <c r="B40" s="39" t="str">
        <f>HYPERLINK('citations-it1-studies'!$D40,'citations-it1-studies'!$B40)</f>
        <v>The Influence of Choosing Sensor Locations Inside Closed Facilities on the Reliability, Adaptability, and Energy Efficiency of IoT Systems</v>
      </c>
      <c r="C40">
        <f>'citations-it1-studies'!$C40</f>
        <v>2024</v>
      </c>
      <c r="D40">
        <f>'citations-it1-studies'!$H40</f>
        <v>6</v>
      </c>
    </row>
    <row r="41" spans="1:4">
      <c r="A41" t="s">
        <v>4274</v>
      </c>
      <c r="B41" s="39" t="str">
        <f>HYPERLINK('citations-it1-studies'!$D41,'citations-it1-studies'!$B41)</f>
        <v>Messaging Protocols for IoT Systems-A Pragmatic Comparison.</v>
      </c>
      <c r="C41">
        <f>'citations-it1-studies'!$C41</f>
        <v>2021</v>
      </c>
      <c r="D41">
        <f>'citations-it1-studies'!$H41</f>
        <v>0</v>
      </c>
    </row>
    <row r="42" spans="1:4">
      <c r="A42" t="s">
        <v>4274</v>
      </c>
      <c r="B42" s="39" t="str">
        <f>HYPERLINK('citations-it1-studies'!$D42,'citations-it1-studies'!$B42)</f>
        <v>Deep Learning-Based Intrusion Detection for Distributed Denial of Service Attack in Agriculture 4.0</v>
      </c>
      <c r="C42">
        <f>'citations-it1-studies'!$C42</f>
        <v>2021</v>
      </c>
      <c r="D42">
        <f>'citations-it1-studies'!$H42</f>
        <v>0</v>
      </c>
    </row>
    <row r="43" spans="1:4">
      <c r="A43" t="s">
        <v>4274</v>
      </c>
      <c r="B43" s="39" t="str">
        <f>HYPERLINK('citations-it1-studies'!$D43,'citations-it1-studies'!$B43)</f>
        <v>Smart IoT SCADA System for Hybrid Power Monitoring in Remote Natural Gas Pipeline Control Stations</v>
      </c>
      <c r="C43">
        <f>'citations-it1-studies'!$C43</f>
        <v>2024</v>
      </c>
      <c r="D43">
        <f>'citations-it1-studies'!$H43</f>
        <v>1</v>
      </c>
    </row>
    <row r="44" spans="1:4">
      <c r="A44" t="s">
        <v>4274</v>
      </c>
      <c r="B44" s="39" t="str">
        <f>HYPERLINK('citations-it1-studies'!$D44,'citations-it1-studies'!$B44)</f>
        <v>Enhancing Cybersecurity in Industrial Internet of Things: Machine Learning-Based Approaches for Cyber-Attack Detection in a Realworld Testbed Environment</v>
      </c>
      <c r="C44">
        <f>'citations-it1-studies'!$C44</f>
        <v>2025</v>
      </c>
      <c r="D44">
        <f>'citations-it1-studies'!$H44</f>
        <v>14</v>
      </c>
    </row>
    <row r="45" spans="1:4">
      <c r="A45" t="s">
        <v>4274</v>
      </c>
      <c r="B45" s="39" t="str">
        <f>HYPERLINK('citations-it1-studies'!$D45,'citations-it1-studies'!$B45)</f>
        <v>Wireless Cyber-Physical Systems Performance Evaluation through a Graph Database Approach.</v>
      </c>
      <c r="C45">
        <f>'citations-it1-studies'!$C45</f>
        <v>2020</v>
      </c>
      <c r="D45">
        <f>'citations-it1-studies'!$H45</f>
        <v>19</v>
      </c>
    </row>
    <row r="46" spans="1:4">
      <c r="A46" t="s">
        <v>4274</v>
      </c>
      <c r="B46" s="39" t="str">
        <f>HYPERLINK('citations-it1-studies'!$D46,'citations-it1-studies'!$B46)</f>
        <v>Orchestrating Embodied Systems through the Embodied Context Protocol: Motivation, Progress, and Directions.</v>
      </c>
      <c r="C46">
        <f>'citations-it1-studies'!$C46</f>
        <v>2025</v>
      </c>
      <c r="D46">
        <f>'citations-it1-studies'!$H46</f>
        <v>0</v>
      </c>
    </row>
    <row r="47" spans="1:4">
      <c r="A47" t="s">
        <v>4274</v>
      </c>
      <c r="B47" s="39" t="str">
        <f>HYPERLINK('citations-it1-studies'!$D47,'citations-it1-studies'!$B47)</f>
        <v>Functioning and Development of a Real-Time Information System for the Oil Treatment Technological Process Control</v>
      </c>
      <c r="C47">
        <f>'citations-it1-studies'!$C47</f>
        <v>2020</v>
      </c>
      <c r="D47">
        <f>'citations-it1-studies'!$H47</f>
        <v>6</v>
      </c>
    </row>
    <row r="48" spans="1:4">
      <c r="A48" t="s">
        <v>4274</v>
      </c>
      <c r="B48" s="39" t="str">
        <f>HYPERLINK('citations-it1-studies'!$D48,'citations-it1-studies'!$B48)</f>
        <v>OPC UA PubSub and Industrial Controller Redundancy</v>
      </c>
      <c r="C48">
        <f>'citations-it1-studies'!$C48</f>
        <v>2024</v>
      </c>
      <c r="D48">
        <f>'citations-it1-studies'!$H48</f>
        <v>8</v>
      </c>
    </row>
    <row r="49" spans="1:4">
      <c r="A49" t="s">
        <v>4274</v>
      </c>
      <c r="B49" s="39" t="str">
        <f>HYPERLINK('citations-it1-studies'!$D49,'citations-it1-studies'!$B49)</f>
        <v>Evaluation of quality of service parameters for MQTT communication in IoT application by using deep neural network</v>
      </c>
      <c r="C49">
        <f>'citations-it1-studies'!$C49</f>
        <v>2023</v>
      </c>
      <c r="D49">
        <f>'citations-it1-studies'!$H49</f>
        <v>14</v>
      </c>
    </row>
    <row r="50" spans="1:4">
      <c r="A50" t="s">
        <v>4274</v>
      </c>
      <c r="B50" s="39" t="str">
        <f>HYPERLINK('citations-it1-studies'!$D50,'citations-it1-studies'!$B50)</f>
        <v>Game Theoretic Feedback Control for Reliability Enhancement of EtherCAT-Based Networked Systems</v>
      </c>
      <c r="C50">
        <f>'citations-it1-studies'!$C50</f>
        <v>2019</v>
      </c>
      <c r="D50">
        <f>'citations-it1-studies'!$H50</f>
        <v>12</v>
      </c>
    </row>
    <row r="51" spans="1:4">
      <c r="A51" t="s">
        <v>4274</v>
      </c>
      <c r="B51" s="39" t="str">
        <f>HYPERLINK('citations-it1-studies'!$D51,'citations-it1-studies'!$B51)</f>
        <v>Centralized controlling of distributed PV systems using cloud and IoT technologies</v>
      </c>
      <c r="C51">
        <f>'citations-it1-studies'!$C51</f>
        <v>2023</v>
      </c>
      <c r="D51">
        <f>'citations-it1-studies'!$H51</f>
        <v>6</v>
      </c>
    </row>
    <row r="52" spans="1:4">
      <c r="A52" t="s">
        <v>4274</v>
      </c>
      <c r="B52" s="39" t="str">
        <f>HYPERLINK('citations-it1-studies'!$D52,'citations-it1-studies'!$B52)</f>
        <v>A Thorough Analysis and Comparison of Data Communication Protocols Used in Industry 4.0: the Case of Smart-CNC</v>
      </c>
      <c r="C52">
        <f>'citations-it1-studies'!$C52</f>
        <v>2022</v>
      </c>
      <c r="D52">
        <f>'citations-it1-studies'!$H52</f>
        <v>8</v>
      </c>
    </row>
    <row r="53" spans="1:4">
      <c r="A53" t="s">
        <v>4274</v>
      </c>
      <c r="B53" s="39" t="str">
        <f>HYPERLINK('citations-it1-studies'!$D53,'citations-it1-studies'!$B53)</f>
        <v>Redundancy for an all-in-one ISA100.11a Gateway: Protocol Design and Hardware Integration</v>
      </c>
      <c r="C53">
        <f>'citations-it1-studies'!$C53</f>
        <v>2019</v>
      </c>
      <c r="D53">
        <f>'citations-it1-studies'!$H53</f>
        <v>6</v>
      </c>
    </row>
    <row r="54" spans="1:4">
      <c r="A54" t="s">
        <v>4274</v>
      </c>
      <c r="B54" s="39" t="str">
        <f>HYPERLINK('citations-it1-studies'!$D54,'citations-it1-studies'!$B54)</f>
        <v>Driving Factors Behind Adopting Virtual Testbeds for ICS Cybersecurity Education.</v>
      </c>
      <c r="C54">
        <f>'citations-it1-studies'!$C54</f>
        <v>2025</v>
      </c>
      <c r="D54">
        <f>'citations-it1-studies'!$H54</f>
        <v>7</v>
      </c>
    </row>
    <row r="55" spans="1:4">
      <c r="A55" t="s">
        <v>4274</v>
      </c>
      <c r="B55" s="39" t="str">
        <f>HYPERLINK('citations-it1-studies'!$D55,'citations-it1-studies'!$B55)</f>
        <v>A platform-enabled CNC within edge-cloud environments: perspectives, challenges, and potential solutions</v>
      </c>
      <c r="C55">
        <f>'citations-it1-studies'!$C55</f>
        <v>2025</v>
      </c>
      <c r="D55">
        <f>'citations-it1-studies'!$H55</f>
        <v>17</v>
      </c>
    </row>
    <row r="56" spans="1:4">
      <c r="A56" t="s">
        <v>4274</v>
      </c>
      <c r="B56" s="39" t="str">
        <f>HYPERLINK('citations-it1-studies'!$D56,'citations-it1-studies'!$B56)</f>
        <v>Voltage Regulation in Microgrids via Modulation Communication: A Distributed Output Consensus Approach</v>
      </c>
      <c r="C56">
        <f>'citations-it1-studies'!$C56</f>
        <v>2025</v>
      </c>
      <c r="D56">
        <f>'citations-it1-studies'!$H56</f>
        <v>10</v>
      </c>
    </row>
    <row r="57" spans="1:4">
      <c r="A57" t="s">
        <v>4274</v>
      </c>
      <c r="B57" s="39" t="str">
        <f>HYPERLINK('citations-it1-studies'!$D57,'citations-it1-studies'!$B57)</f>
        <v>Trustworthy and Reliable Deep Learning-based Cyberattack Detection in Industrial IoT.</v>
      </c>
      <c r="C57">
        <f>'citations-it1-studies'!$C57</f>
        <v>2022</v>
      </c>
      <c r="D57">
        <f>'citations-it1-studies'!$H57</f>
        <v>9</v>
      </c>
    </row>
    <row r="58" spans="1:4">
      <c r="A58" t="s">
        <v>4274</v>
      </c>
      <c r="B58" s="39" t="str">
        <f>HYPERLINK('citations-it1-studies'!$D58,'citations-it1-studies'!$B58)</f>
        <v>Characterizing the Real-Time Communication Performance of Virtual PLC in Industrial Edge Platform</v>
      </c>
      <c r="C58">
        <f>'citations-it1-studies'!$C58</f>
        <v>2025</v>
      </c>
      <c r="D58">
        <f>'citations-it1-studies'!$H58</f>
        <v>11</v>
      </c>
    </row>
    <row r="59" spans="1:4">
      <c r="A59" t="s">
        <v>4274</v>
      </c>
      <c r="B59" s="39" t="str">
        <f>HYPERLINK('citations-it1-studies'!$D59,'citations-it1-studies'!$B59)</f>
        <v>A Comparative Study to Evaluate the Performance of Communication Protocols for Process Industry</v>
      </c>
      <c r="C59">
        <f>'citations-it1-studies'!$C59</f>
        <v>2022</v>
      </c>
      <c r="D59">
        <f>'citations-it1-studies'!$H59</f>
        <v>8</v>
      </c>
    </row>
    <row r="60" spans="1:4">
      <c r="A60" t="s">
        <v>4274</v>
      </c>
      <c r="B60" s="39" t="str">
        <f>HYPERLINK('citations-it1-studies'!$D60,'citations-it1-studies'!$B60)</f>
        <v>A Hybrid VLC/RF Parking Automation System</v>
      </c>
      <c r="C60">
        <f>'citations-it1-studies'!$C60</f>
        <v>2023</v>
      </c>
      <c r="D60">
        <f>'citations-it1-studies'!$H60</f>
        <v>19</v>
      </c>
    </row>
    <row r="61" spans="1:4">
      <c r="A61" t="s">
        <v>4274</v>
      </c>
      <c r="B61" s="39" t="str">
        <f>HYPERLINK('citations-it1-studies'!$D61,'citations-it1-studies'!$B61)</f>
        <v>INFORMATION PROTECTION IN AUTOMATED SYSTEMS BASED ON A CONCEPTUAL MODEL WITH FORMALIZED EFFICIENCY EVALUATION</v>
      </c>
      <c r="C61">
        <f>'citations-it1-studies'!$C61</f>
        <v>2025</v>
      </c>
      <c r="D61">
        <f>'citations-it1-studies'!$H61</f>
        <v>1</v>
      </c>
    </row>
    <row r="62" spans="1:4">
      <c r="A62" t="s">
        <v>4274</v>
      </c>
      <c r="B62" s="39" t="str">
        <f>HYPERLINK('citations-it1-studies'!$D62,'citations-it1-studies'!$B62)</f>
        <v>A Novel Industrial Software Model for Social Manufacturing</v>
      </c>
      <c r="C62">
        <f>'citations-it1-studies'!$C62</f>
        <v>2024</v>
      </c>
      <c r="D62">
        <f>'citations-it1-studies'!$H62</f>
        <v>0</v>
      </c>
    </row>
    <row r="63" spans="1:4">
      <c r="A63" t="s">
        <v>4274</v>
      </c>
      <c r="B63" s="39" t="str">
        <f>HYPERLINK('citations-it1-studies'!$D63,'citations-it1-studies'!$B63)</f>
        <v>A Systematic Review of Recent Advances in IoT-Based Sensor Networks for Warehouse Management</v>
      </c>
      <c r="C63">
        <f>'citations-it1-studies'!$C63</f>
        <v>2025</v>
      </c>
      <c r="D63">
        <f>'citations-it1-studies'!$H63</f>
        <v>0</v>
      </c>
    </row>
    <row r="64" spans="1:4">
      <c r="A64" t="s">
        <v>4274</v>
      </c>
      <c r="B64" s="39" t="str">
        <f>HYPERLINK('citations-it1-studies'!$D64,'citations-it1-studies'!$B64)</f>
        <v>An Aggregated Data Integration Approach to the Web and Cloud Platforms through a Modular REST-Based OPC UA Middleware.</v>
      </c>
      <c r="C64">
        <f>'citations-it1-studies'!$C64</f>
        <v>2022</v>
      </c>
      <c r="D64">
        <f>'citations-it1-studies'!$H64</f>
        <v>1</v>
      </c>
    </row>
    <row r="65" spans="1:4">
      <c r="A65" t="s">
        <v>4274</v>
      </c>
      <c r="B65" s="39" t="str">
        <f>HYPERLINK('citations-it1-studies'!$D65,'citations-it1-studies'!$B65)</f>
        <v>Blake-2s based Improved Authentication Scheme for IEC 61850 GOOSE Messages</v>
      </c>
      <c r="C65">
        <f>'citations-it1-studies'!$C65</f>
        <v>2025</v>
      </c>
      <c r="D65">
        <f>'citations-it1-studies'!$H65</f>
        <v>6</v>
      </c>
    </row>
    <row r="66" spans="1:4">
      <c r="A66" t="s">
        <v>4274</v>
      </c>
      <c r="B66" s="39" t="str">
        <f>HYPERLINK('citations-it1-studies'!$D66,'citations-it1-studies'!$B66)</f>
        <v>Predictive Energy-Aware Routing Solution for Industrial IoT Evaluated on a WSN Hardware Platform.</v>
      </c>
      <c r="C66">
        <f>'citations-it1-studies'!$C66</f>
        <v>2022</v>
      </c>
      <c r="D66">
        <f>'citations-it1-studies'!$H66</f>
        <v>1</v>
      </c>
    </row>
    <row r="67" spans="1:4">
      <c r="A67" t="s">
        <v>4274</v>
      </c>
      <c r="B67" s="39" t="str">
        <f>HYPERLINK('citations-it1-studies'!$D67,'citations-it1-studies'!$B67)</f>
        <v>Communication in collaborating construction equipment</v>
      </c>
      <c r="C67">
        <f>'citations-it1-studies'!$C67</f>
        <v>2023</v>
      </c>
      <c r="D67">
        <f>'citations-it1-studies'!$H67</f>
        <v>10</v>
      </c>
    </row>
    <row r="68" spans="1:4">
      <c r="A68" t="s">
        <v>4274</v>
      </c>
      <c r="B68" s="39" t="str">
        <f>HYPERLINK('citations-it1-studies'!$D68,'citations-it1-studies'!$B68)</f>
        <v>A Blockchain-Reinforced Federated Intrusion Detection Architecture for IIoT</v>
      </c>
      <c r="C68">
        <f>'citations-it1-studies'!$C68</f>
        <v>2024</v>
      </c>
      <c r="D68">
        <f>'citations-it1-studies'!$H68</f>
        <v>13</v>
      </c>
    </row>
    <row r="69" spans="1:4">
      <c r="A69" t="s">
        <v>4274</v>
      </c>
      <c r="B69" s="39" t="str">
        <f>HYPERLINK('citations-it1-studies'!$D69,'citations-it1-studies'!$B69)</f>
        <v>OPC UA client-server connection over an ISO 11783 vehicle network</v>
      </c>
      <c r="C69">
        <f>'citations-it1-studies'!$C69</f>
        <v>2023</v>
      </c>
      <c r="D69">
        <f>'citations-it1-studies'!$H69</f>
        <v>12</v>
      </c>
    </row>
    <row r="70" spans="1:4">
      <c r="A70" t="s">
        <v>4274</v>
      </c>
      <c r="B70" s="39" t="str">
        <f>HYPERLINK('citations-it1-studies'!$D70,'citations-it1-studies'!$B70)</f>
        <v>Towards a Software-Defined Industrial IoT-Edge Network for Next-Generation Offshore Wind Farms: State of the Art, Resilience, and Self-X Network and Service Management</v>
      </c>
      <c r="C70">
        <f>'citations-it1-studies'!$C70</f>
        <v>2024</v>
      </c>
      <c r="D70">
        <f>'citations-it1-studies'!$H70</f>
        <v>1</v>
      </c>
    </row>
    <row r="71" spans="1:4">
      <c r="A71" t="s">
        <v>4274</v>
      </c>
      <c r="B71" s="39" t="str">
        <f>HYPERLINK('citations-it1-studies'!$D71,'citations-it1-studies'!$B71)</f>
        <v>WiSEE - Wireless Transmission of Sensor Data over UWB in Spacecraft Payload Networks</v>
      </c>
      <c r="C71">
        <f>'citations-it1-studies'!$C71</f>
        <v>2018</v>
      </c>
      <c r="D71">
        <f>'citations-it1-studies'!$H71</f>
        <v>6</v>
      </c>
    </row>
    <row r="72" spans="1:4">
      <c r="A72" t="s">
        <v>4274</v>
      </c>
      <c r="B72" s="39" t="str">
        <f>HYPERLINK('citations-it1-studies'!$D72,'citations-it1-studies'!$B72)</f>
        <v>The Digital Backbone of Manufacturing: A Framework for Network Protocol Selection</v>
      </c>
      <c r="C72">
        <f>'citations-it1-studies'!$C72</f>
        <v>2025</v>
      </c>
      <c r="D72">
        <f>'citations-it1-studies'!$H72</f>
        <v>0</v>
      </c>
    </row>
    <row r="73" spans="1:4">
      <c r="A73" t="s">
        <v>4274</v>
      </c>
      <c r="B73" s="39" t="str">
        <f>HYPERLINK('citations-it1-studies'!$D73,'citations-it1-studies'!$B73)</f>
        <v>ETFA - Clock Synchronization in Integrated TSN-EtherCAT Networks</v>
      </c>
      <c r="C73">
        <f>'citations-it1-studies'!$C73</f>
        <v>2020</v>
      </c>
      <c r="D73">
        <f>'citations-it1-studies'!$H73</f>
        <v>8</v>
      </c>
    </row>
    <row r="74" spans="1:4">
      <c r="A74" t="s">
        <v>4274</v>
      </c>
      <c r="B74" s="39" t="str">
        <f>HYPERLINK('citations-it1-studies'!$D74,'citations-it1-studies'!$B74)</f>
        <v>End-to-End Visual Control Framework in Wireless TSN Networks for Industrial IoT</v>
      </c>
      <c r="C74">
        <f>'citations-it1-studies'!$C74</f>
        <v>2025</v>
      </c>
      <c r="D74">
        <f>'citations-it1-studies'!$H74</f>
        <v>14</v>
      </c>
    </row>
    <row r="75" spans="1:4">
      <c r="A75" t="s">
        <v>4274</v>
      </c>
      <c r="B75" s="39" t="str">
        <f>HYPERLINK('citations-it1-studies'!$D75,'citations-it1-studies'!$B75)</f>
        <v>Beyond the Virtual PLC Networking Constraints: MACvLAN Approach in Industrial Environments</v>
      </c>
      <c r="C75">
        <f>'citations-it1-studies'!$C75</f>
        <v>2025</v>
      </c>
      <c r="D75">
        <f>'citations-it1-studies'!$H75</f>
        <v>6</v>
      </c>
    </row>
    <row r="76" spans="1:4">
      <c r="A76" t="s">
        <v>4274</v>
      </c>
      <c r="B76" s="39" t="str">
        <f>HYPERLINK('citations-it1-studies'!$D76,'citations-it1-studies'!$B76)</f>
        <v>A Study on 28 GHz Power Amplifiers for Industrial Revolution 4.0 Compatible 5G NR FR2 IoT Transceivers</v>
      </c>
      <c r="C76">
        <f>'citations-it1-studies'!$C76</f>
        <v>2023</v>
      </c>
      <c r="D76">
        <f>'citations-it1-studies'!$H76</f>
        <v>6</v>
      </c>
    </row>
    <row r="77" spans="1:4">
      <c r="A77" t="s">
        <v>4274</v>
      </c>
      <c r="B77" s="39" t="str">
        <f>HYPERLINK('citations-it1-studies'!$D77,'citations-it1-studies'!$B77)</f>
        <v>Methodological Study of Cross-Domain Co-Simulation for Port Equipment Operation Monitoring and Collaborative Early Warning</v>
      </c>
      <c r="C77">
        <f>'citations-it1-studies'!$C77</f>
        <v>2025</v>
      </c>
      <c r="D77">
        <f>'citations-it1-studies'!$H77</f>
        <v>4</v>
      </c>
    </row>
    <row r="78" spans="1:4">
      <c r="A78" t="s">
        <v>4274</v>
      </c>
      <c r="B78" s="39" t="str">
        <f>HYPERLINK('citations-it1-studies'!$D78,'citations-it1-studies'!$B78)</f>
        <v>Asset Management Method of Industrial IoT Systems for Cyber-Security Countermeasures</v>
      </c>
      <c r="C78">
        <f>'citations-it1-studies'!$C78</f>
        <v>2021</v>
      </c>
      <c r="D78">
        <f>'citations-it1-studies'!$H78</f>
        <v>0</v>
      </c>
    </row>
    <row r="79" spans="1:4">
      <c r="A79" t="s">
        <v>4274</v>
      </c>
      <c r="B79" s="39" t="str">
        <f>HYPERLINK('citations-it1-studies'!$D79,'citations-it1-studies'!$B79)</f>
        <v>A threat intelligence framework for protecting smart satellite-based healthcare networks</v>
      </c>
      <c r="C79">
        <f>'citations-it1-studies'!$C79</f>
        <v>2021</v>
      </c>
      <c r="D79">
        <f>'citations-it1-studies'!$H79</f>
        <v>21</v>
      </c>
    </row>
    <row r="80" spans="1:4">
      <c r="A80" t="s">
        <v>4274</v>
      </c>
      <c r="B80" s="39" t="str">
        <f>HYPERLINK('citations-it1-studies'!$D80,'citations-it1-studies'!$B80)</f>
        <v>Performance Analysis of OPC UA for Industrial Interoperability towards Industry 4.0</v>
      </c>
      <c r="C80">
        <f>'citations-it1-studies'!$C80</f>
        <v>2022</v>
      </c>
      <c r="D80">
        <f>'citations-it1-studies'!$H80</f>
        <v>19</v>
      </c>
    </row>
    <row r="81" spans="1:4">
      <c r="A81" t="s">
        <v>4274</v>
      </c>
      <c r="B81" s="39" t="str">
        <f>HYPERLINK('citations-it1-studies'!$D81,'citations-it1-studies'!$B81)</f>
        <v>Benchmark and Design Support for Demand-Oriented Cloud-Communication Architectures of Cyber-Physical Production Systems</v>
      </c>
      <c r="C81">
        <f>'citations-it1-studies'!$C81</f>
        <v>2023</v>
      </c>
      <c r="D81">
        <f>'citations-it1-studies'!$H81</f>
        <v>8</v>
      </c>
    </row>
    <row r="82" spans="1:4">
      <c r="A82" t="s">
        <v>4274</v>
      </c>
      <c r="B82" s="39" t="str">
        <f>HYPERLINK('citations-it1-studies'!$D82,'citations-it1-studies'!$B82)</f>
        <v>A Real Network Performance Analysis Testbed for Encrypted MQTT in DMS</v>
      </c>
      <c r="C82">
        <f>'citations-it1-studies'!$C82</f>
        <v>2024</v>
      </c>
      <c r="D82">
        <f>'citations-it1-studies'!$H82</f>
        <v>6</v>
      </c>
    </row>
    <row r="83" spans="1:4">
      <c r="A83" t="s">
        <v>4274</v>
      </c>
      <c r="B83" s="39" t="str">
        <f>HYPERLINK('citations-it1-studies'!$D83,'citations-it1-studies'!$B83)</f>
        <v>ДОСЛІДЖЕННЯ ЕФЕКТИВНОСТІ ВИКОРИСТАННЯ РОЗПОДІЛЕНИХ БАЗ ДАНИХ В СИСТЕМАХ IIOT</v>
      </c>
      <c r="C83">
        <f>'citations-it1-studies'!$C83</f>
        <v>2022</v>
      </c>
      <c r="D83">
        <f>'citations-it1-studies'!$H83</f>
        <v>7</v>
      </c>
    </row>
    <row r="84" spans="1:4">
      <c r="A84" t="s">
        <v>4274</v>
      </c>
      <c r="B84" s="39" t="str">
        <f>HYPERLINK('citations-it1-studies'!$D84,'citations-it1-studies'!$B84)</f>
        <v>Performance Evaluation of an IEEE 802.11g Network in an Industrial Environment</v>
      </c>
      <c r="C84">
        <f>'citations-it1-studies'!$C84</f>
        <v>2020</v>
      </c>
      <c r="D84">
        <f>'citations-it1-studies'!$H84</f>
        <v>7</v>
      </c>
    </row>
    <row r="85" spans="1:4">
      <c r="A85" t="s">
        <v>4274</v>
      </c>
      <c r="B85" s="39" t="str">
        <f>HYPERLINK('citations-it1-studies'!$D85,'citations-it1-studies'!$B85)</f>
        <v>Improving Fault Tolerance and Tackling Broker Failure in MQTT through Blockchain</v>
      </c>
      <c r="C85">
        <f>'citations-it1-studies'!$C85</f>
        <v>2023</v>
      </c>
      <c r="D85">
        <f>'citations-it1-studies'!$H85</f>
        <v>6</v>
      </c>
    </row>
    <row r="86" spans="1:4">
      <c r="A86" t="s">
        <v>4274</v>
      </c>
      <c r="B86" s="39" t="str">
        <f>HYPERLINK('citations-it1-studies'!$D86,'citations-it1-studies'!$B86)</f>
        <v>Delay and Energy Consumption of MQTT over QUIC: An Empirical Characterization Using Commercial-Off-The-Shelf Devices.</v>
      </c>
      <c r="C86">
        <f>'citations-it1-studies'!$C86</f>
        <v>2022</v>
      </c>
      <c r="D86">
        <f>'citations-it1-studies'!$H86</f>
        <v>1</v>
      </c>
    </row>
    <row r="87" spans="1:4">
      <c r="A87" t="s">
        <v>4274</v>
      </c>
      <c r="B87" s="39" t="str">
        <f>HYPERLINK('citations-it1-studies'!$D87,'citations-it1-studies'!$B87)</f>
        <v>Time Sensitive Networking for Future Enabling Technologies: Overview and Measurement Issues for Metrological Characterization</v>
      </c>
      <c r="C87">
        <f>'citations-it1-studies'!$C87</f>
        <v>2024</v>
      </c>
      <c r="D87">
        <f>'citations-it1-studies'!$H87</f>
        <v>6</v>
      </c>
    </row>
    <row r="88" spans="1:4">
      <c r="A88" t="s">
        <v>4274</v>
      </c>
      <c r="B88" s="39" t="str">
        <f>HYPERLINK('citations-it1-studies'!$D88,'citations-it1-studies'!$B88)</f>
        <v>On the integration of OPC UA over Wired – Wireless Time Sensitive Networking</v>
      </c>
      <c r="C88">
        <f>'citations-it1-studies'!$C88</f>
        <v>2023</v>
      </c>
      <c r="D88">
        <f>'citations-it1-studies'!$H88</f>
        <v>6</v>
      </c>
    </row>
    <row r="89" spans="1:4">
      <c r="A89" t="s">
        <v>4274</v>
      </c>
      <c r="B89" s="39" t="str">
        <f>HYPERLINK('citations-it1-studies'!$D89,'citations-it1-studies'!$B89)</f>
        <v>Empirical Evaluation of TLS-Enhanced MQTT on IoT Devices for V2X Use Cases</v>
      </c>
      <c r="C89">
        <f>'citations-it1-studies'!$C89</f>
        <v>2025</v>
      </c>
      <c r="D89">
        <f>'citations-it1-studies'!$H89</f>
        <v>1</v>
      </c>
    </row>
    <row r="90" spans="1:4">
      <c r="A90" t="s">
        <v>4274</v>
      </c>
      <c r="B90" s="39" t="str">
        <f>HYPERLINK('citations-it1-studies'!$D90,'citations-it1-studies'!$B90)</f>
        <v>An Innovative Digital Twin of Integrated Transportation and Power Networks for Efficient Scheduling of Autonomous Electric Vehicles</v>
      </c>
      <c r="C90">
        <f>'citations-it1-studies'!$C90</f>
        <v>2024</v>
      </c>
      <c r="D90">
        <f>'citations-it1-studies'!$H90</f>
        <v>5</v>
      </c>
    </row>
    <row r="91" spans="1:4">
      <c r="A91" t="s">
        <v>4274</v>
      </c>
      <c r="B91" s="39" t="str">
        <f>HYPERLINK('citations-it1-studies'!$D91,'citations-it1-studies'!$B91)</f>
        <v>A Comprehensive Review on 5G IIoT Test-Beds</v>
      </c>
      <c r="C91">
        <f>'citations-it1-studies'!$C91</f>
        <v>2025</v>
      </c>
      <c r="D91">
        <f>'citations-it1-studies'!$H91</f>
        <v>25</v>
      </c>
    </row>
    <row r="92" spans="1:4">
      <c r="A92" t="s">
        <v>4274</v>
      </c>
      <c r="B92" s="39" t="str">
        <f>HYPERLINK('citations-it1-studies'!$D92,'citations-it1-studies'!$B92)</f>
        <v>Securing Industry 5.0: An explainable deep learning model for intrusion detection in cyber-physical systems</v>
      </c>
      <c r="C92">
        <f>'citations-it1-studies'!$C92</f>
        <v>2025</v>
      </c>
      <c r="D92">
        <f>'citations-it1-studies'!$H92</f>
        <v>1</v>
      </c>
    </row>
    <row r="93" spans="1:4">
      <c r="A93" t="s">
        <v>4274</v>
      </c>
      <c r="B93" s="39" t="str">
        <f>HYPERLINK('citations-it1-studies'!$D93,'citations-it1-studies'!$B93)</f>
        <v>Implementing and using smart maintenance technologies: Introducing challenges and enablers related to human, organizational and technological perspectives</v>
      </c>
      <c r="C93">
        <f>'citations-it1-studies'!$C93</f>
        <v>2025</v>
      </c>
      <c r="D93">
        <f>'citations-it1-studies'!$H93</f>
        <v>10</v>
      </c>
    </row>
    <row r="94" spans="1:4">
      <c r="A94" t="s">
        <v>4274</v>
      </c>
      <c r="B94" s="39" t="str">
        <f>HYPERLINK('citations-it1-studies'!$D94,'citations-it1-studies'!$B94)</f>
        <v>Performance evaluation of industrial Ethernet protocols for networked control application</v>
      </c>
      <c r="C94">
        <f>'citations-it1-studies'!$C94</f>
        <v>2019</v>
      </c>
      <c r="D94">
        <f>'citations-it1-studies'!$H94</f>
        <v>10</v>
      </c>
    </row>
    <row r="95" spans="1:4">
      <c r="A95" t="s">
        <v>4274</v>
      </c>
      <c r="B95" s="39" t="str">
        <f>HYPERLINK('citations-it1-studies'!$D95,'citations-it1-studies'!$B95)</f>
        <v>Comprehensive Exploration of IoT Communication Protocol: CoAP, MQTT, HTTP, LoRaWAN and AMQP</v>
      </c>
      <c r="C95">
        <f>'citations-it1-studies'!$C95</f>
        <v>2024</v>
      </c>
      <c r="D95">
        <f>'citations-it1-studies'!$H95</f>
        <v>14</v>
      </c>
    </row>
    <row r="96" spans="1:4">
      <c r="A96" t="s">
        <v>4274</v>
      </c>
      <c r="B96" s="39" t="str">
        <f>HYPERLINK('citations-it1-studies'!$D96,'citations-it1-studies'!$B96)</f>
        <v>System architecture for small‐scale personalized production lines based on industrial Internet</v>
      </c>
      <c r="C96">
        <f>'citations-it1-studies'!$C96</f>
        <v>2024</v>
      </c>
      <c r="D96">
        <f>'citations-it1-studies'!$H96</f>
        <v>0</v>
      </c>
    </row>
    <row r="97" spans="1:4">
      <c r="A97" t="s">
        <v>4274</v>
      </c>
      <c r="B97" s="39" t="str">
        <f>HYPERLINK('citations-it1-studies'!$D97,'citations-it1-studies'!$B97)</f>
        <v>Enhancing Industrial Digitalisation through an Adaptable Component for Bridging Semantic Interoperability Gaps</v>
      </c>
      <c r="C97">
        <f>'citations-it1-studies'!$C97</f>
        <v>2024</v>
      </c>
      <c r="D97">
        <f>'citations-it1-studies'!$H97</f>
        <v>1</v>
      </c>
    </row>
    <row r="98" spans="1:4">
      <c r="A98" t="s">
        <v>4274</v>
      </c>
      <c r="B98" s="39" t="str">
        <f>HYPERLINK('citations-it1-studies'!$D98,'citations-it1-studies'!$B98)</f>
        <v>Encryption for Industrial Control Systems: A Survey of Application-Level and Network-Level Approaches in Smart Grids</v>
      </c>
      <c r="C98">
        <f>'citations-it1-studies'!$C98</f>
        <v>2026</v>
      </c>
      <c r="D98">
        <f>'citations-it1-studies'!$H98</f>
        <v>0</v>
      </c>
    </row>
    <row r="99" spans="1:4">
      <c r="A99" t="s">
        <v>4274</v>
      </c>
      <c r="B99" s="39" t="str">
        <f>HYPERLINK('citations-it1-studies'!$D99,'citations-it1-studies'!$B99)</f>
        <v>Distributed Process Control and Interoperability Using IEC 61499 and MQTT</v>
      </c>
      <c r="C99">
        <f>'citations-it1-studies'!$C99</f>
        <v>2025</v>
      </c>
      <c r="D99">
        <f>'citations-it1-studies'!$H99</f>
        <v>4</v>
      </c>
    </row>
    <row r="100" spans="1:4">
      <c r="A100" t="s">
        <v>4274</v>
      </c>
      <c r="B100" s="39" t="str">
        <f>HYPERLINK('citations-it1-studies'!$D100,'citations-it1-studies'!$B100)</f>
        <v>Application of Machine Learning Algorithms for the Validation of a New CoAP-IoT Anomaly Detection Dataset</v>
      </c>
      <c r="C100">
        <f>'citations-it1-studies'!$C100</f>
        <v>2023</v>
      </c>
      <c r="D100">
        <f>'citations-it1-studies'!$H100</f>
        <v>1</v>
      </c>
    </row>
    <row r="101" spans="1:4">
      <c r="A101" t="s">
        <v>4274</v>
      </c>
      <c r="B101" s="39" t="str">
        <f>HYPERLINK('citations-it1-studies'!$D101,'citations-it1-studies'!$B101)</f>
        <v>Design of Cloud-Edge-Gateway Collaborative Zero-Trust Architecture and Workflow for Smart Factories</v>
      </c>
      <c r="C101">
        <f>'citations-it1-studies'!$C101</f>
        <v>2024</v>
      </c>
      <c r="D101">
        <f>'citations-it1-studies'!$H101</f>
        <v>5</v>
      </c>
    </row>
    <row r="102" spans="1:4">
      <c r="A102" t="s">
        <v>4274</v>
      </c>
      <c r="B102" s="39" t="str">
        <f>HYPERLINK('citations-it1-studies'!$D102,'citations-it1-studies'!$B102)</f>
        <v>Performance Evaluation of Application Layer IoT Protocols: MQTT and CoAP</v>
      </c>
      <c r="C102">
        <f>'citations-it1-studies'!$C102</f>
        <v>2024</v>
      </c>
      <c r="D102">
        <f>'citations-it1-studies'!$H102</f>
        <v>6</v>
      </c>
    </row>
    <row r="103" spans="1:4">
      <c r="A103" t="s">
        <v>4274</v>
      </c>
      <c r="B103" s="39" t="str">
        <f>HYPERLINK('citations-it1-studies'!$D103,'citations-it1-studies'!$B103)</f>
        <v>Mitigating 3D printing defects via cyber-physical systems: a process for fabricating defect-free components</v>
      </c>
      <c r="C103">
        <f>'citations-it1-studies'!$C103</f>
        <v>2025</v>
      </c>
      <c r="D103">
        <f>'citations-it1-studies'!$H103</f>
        <v>22</v>
      </c>
    </row>
    <row r="104" spans="1:4">
      <c r="A104" t="s">
        <v>4274</v>
      </c>
      <c r="B104" s="39" t="str">
        <f>HYPERLINK('citations-it1-studies'!$D104,'citations-it1-studies'!$B104)</f>
        <v>Environment Monitoring Subsystem Based on Recursive InterNetwork Architecture</v>
      </c>
      <c r="C104">
        <f>'citations-it1-studies'!$C104</f>
        <v>2024</v>
      </c>
      <c r="D104">
        <f>'citations-it1-studies'!$H104</f>
        <v>19</v>
      </c>
    </row>
    <row r="105" spans="1:4">
      <c r="A105" t="s">
        <v>4274</v>
      </c>
      <c r="B105" s="39" t="str">
        <f>HYPERLINK('citations-it1-studies'!$D105,'citations-it1-studies'!$B105)</f>
        <v>When the digital twin meets the preventive conservation of movable wooden artifacts</v>
      </c>
      <c r="C105">
        <f>'citations-it1-studies'!$C105</f>
        <v>2023</v>
      </c>
      <c r="D105">
        <f>'citations-it1-studies'!$H105</f>
        <v>0</v>
      </c>
    </row>
    <row r="106" spans="1:4">
      <c r="A106" t="s">
        <v>4274</v>
      </c>
      <c r="B106" s="39" t="str">
        <f>HYPERLINK('citations-it1-studies'!$D106,'citations-it1-studies'!$B106)</f>
        <v>Deep Learning Applications for Blockchain in Industrial IoT</v>
      </c>
      <c r="C106">
        <f>'citations-it1-studies'!$C106</f>
        <v>2022</v>
      </c>
      <c r="D106">
        <f>'citations-it1-studies'!$H106</f>
        <v>6</v>
      </c>
    </row>
    <row r="107" spans="1:4">
      <c r="A107" t="s">
        <v>4274</v>
      </c>
      <c r="B107" s="39" t="str">
        <f>HYPERLINK('citations-it1-studies'!$D107,'citations-it1-studies'!$B107)</f>
        <v>Edge Computing: Use Cases and Research Challenges</v>
      </c>
      <c r="C107">
        <f>'citations-it1-studies'!$C107</f>
        <v>2023</v>
      </c>
      <c r="D107">
        <f>'citations-it1-studies'!$H107</f>
        <v>18</v>
      </c>
    </row>
    <row r="108" spans="1:4">
      <c r="A108" t="s">
        <v>4274</v>
      </c>
      <c r="B108" s="39" t="str">
        <f>HYPERLINK('citations-it1-studies'!$D108,'citations-it1-studies'!$B108)</f>
        <v>Data Security and Privacy in Industrial IoT</v>
      </c>
      <c r="C108">
        <f>'citations-it1-studies'!$C108</f>
        <v>2021</v>
      </c>
      <c r="D108">
        <f>'citations-it1-studies'!$H108</f>
        <v>19</v>
      </c>
    </row>
    <row r="109" spans="1:4">
      <c r="A109" t="s">
        <v>4274</v>
      </c>
      <c r="B109" s="39" t="str">
        <f>HYPERLINK('citations-it1-studies'!$D109,'citations-it1-studies'!$B109)</f>
        <v>Cloud Computing for High Voltage Substation Based Relay Protection</v>
      </c>
      <c r="C109">
        <f>'citations-it1-studies'!$C109</f>
        <v>2024</v>
      </c>
      <c r="D109">
        <f>'citations-it1-studies'!$H109</f>
        <v>7</v>
      </c>
    </row>
    <row r="110" spans="1:4">
      <c r="A110" t="s">
        <v>4274</v>
      </c>
      <c r="B110" s="39" t="str">
        <f>HYPERLINK('citations-it1-studies'!$D110,'citations-it1-studies'!$B110)</f>
        <v>An Online Model to Minimize Energy Consumption of IoT Sensors in Smart Cities</v>
      </c>
      <c r="C110">
        <f>'citations-it1-studies'!$C110</f>
        <v>2022</v>
      </c>
      <c r="D110">
        <f>'citations-it1-studies'!$H110</f>
        <v>9</v>
      </c>
    </row>
    <row r="111" spans="1:4">
      <c r="A111" t="s">
        <v>4274</v>
      </c>
      <c r="B111" s="39" t="str">
        <f>HYPERLINK('citations-it1-studies'!$D111,'citations-it1-studies'!$B111)</f>
        <v>Model of a Device-Level Combined Wireless Network Based on NB-IoT and IEEE 802.15.4 Standards for Low-Power Applications in a Diverse IoT Framework.</v>
      </c>
      <c r="C111">
        <f>'citations-it1-studies'!$C111</f>
        <v>2021</v>
      </c>
      <c r="D111">
        <f>'citations-it1-studies'!$H111</f>
        <v>0</v>
      </c>
    </row>
    <row r="112" spans="1:4">
      <c r="A112" t="s">
        <v>4274</v>
      </c>
      <c r="B112" s="39" t="str">
        <f>HYPERLINK('citations-it1-studies'!$D112,'citations-it1-studies'!$B112)</f>
        <v>A chronological review of advanced metering infrastructure</v>
      </c>
      <c r="C112">
        <f>'citations-it1-studies'!$C112</f>
        <v>2023</v>
      </c>
      <c r="D112">
        <f>'citations-it1-studies'!$H112</f>
        <v>1</v>
      </c>
    </row>
    <row r="113" spans="1:4">
      <c r="A113" t="s">
        <v>4274</v>
      </c>
      <c r="B113" s="39" t="str">
        <f>HYPERLINK('citations-it1-studies'!$D113,'citations-it1-studies'!$B113)</f>
        <v>Joint Security-Reliability Performance Optimization in Low-Latency Industrial IoT Networks</v>
      </c>
      <c r="C113">
        <f>'citations-it1-studies'!$C113</f>
        <v>2025</v>
      </c>
      <c r="D113">
        <f>'citations-it1-studies'!$H113</f>
        <v>5</v>
      </c>
    </row>
    <row r="114" spans="1:4">
      <c r="A114" t="s">
        <v>4274</v>
      </c>
      <c r="B114" s="39" t="str">
        <f>HYPERLINK('citations-it1-studies'!$D114,'citations-it1-studies'!$B114)</f>
        <v>Identifying key attacks on an IEEE 9-Bus System by leveraging the MITRE ATT&amp;CK ICS Matrix</v>
      </c>
      <c r="C114">
        <f>'citations-it1-studies'!$C114</f>
        <v>2025</v>
      </c>
      <c r="D114">
        <f>'citations-it1-studies'!$H114</f>
        <v>8</v>
      </c>
    </row>
    <row r="115" spans="1:4">
      <c r="A115" t="s">
        <v>4274</v>
      </c>
      <c r="B115" s="39" t="str">
        <f>HYPERLINK('citations-it1-studies'!$D115,'citations-it1-studies'!$B115)</f>
        <v>Mapping of Industrial IoT to IEC 62443 Standards.</v>
      </c>
      <c r="C115">
        <f>'citations-it1-studies'!$C115</f>
        <v>2025</v>
      </c>
      <c r="D115">
        <f>'citations-it1-studies'!$H115</f>
        <v>1</v>
      </c>
    </row>
    <row r="116" spans="1:4">
      <c r="A116" t="s">
        <v>4274</v>
      </c>
      <c r="B116" s="39" t="str">
        <f>HYPERLINK('citations-it1-studies'!$D116,'citations-it1-studies'!$B116)</f>
        <v>Engineering Interoperable, Plug-and-Play, Distributed, Robotic Control Systems for Futureproof Fusion Power Plants</v>
      </c>
      <c r="C116">
        <f>'citations-it1-studies'!$C116</f>
        <v>2021</v>
      </c>
      <c r="D116">
        <f>'citations-it1-studies'!$H116</f>
        <v>0</v>
      </c>
    </row>
    <row r="117" spans="1:4">
      <c r="A117" t="s">
        <v>4274</v>
      </c>
      <c r="B117" s="39" t="str">
        <f>HYPERLINK('citations-it1-studies'!$D117,'citations-it1-studies'!$B117)</f>
        <v>Cybersecurity Testbeds for IoT: A Systematic Literature Review and Taxonomy</v>
      </c>
      <c r="C117">
        <f>'citations-it1-studies'!$C117</f>
        <v>2024</v>
      </c>
      <c r="D117">
        <f>'citations-it1-studies'!$H117</f>
        <v>24</v>
      </c>
    </row>
    <row r="118" spans="1:4">
      <c r="A118" t="s">
        <v>4274</v>
      </c>
      <c r="B118" s="39" t="str">
        <f>HYPERLINK('citations-it1-studies'!$D118,'citations-it1-studies'!$B118)</f>
        <v>A systematic literature review: Messaging protocols and electronic platforms used in the internet of things for the purpose of building smart homes</v>
      </c>
      <c r="C118">
        <f>'citations-it1-studies'!$C118</f>
        <v>2023</v>
      </c>
      <c r="D118">
        <f>'citations-it1-studies'!$H118</f>
        <v>10</v>
      </c>
    </row>
    <row r="119" spans="1:4">
      <c r="A119" t="s">
        <v>4274</v>
      </c>
      <c r="B119" s="39" t="str">
        <f>HYPERLINK('citations-it1-studies'!$D119,'citations-it1-studies'!$B119)</f>
        <v>Data-Based Process Monitoring for Structural Bonding of Fiber-Reinforced Thermoplastics in Aviation</v>
      </c>
      <c r="C119">
        <f>'citations-it1-studies'!$C119</f>
        <v>2025</v>
      </c>
      <c r="D119">
        <f>'citations-it1-studies'!$H119</f>
        <v>6</v>
      </c>
    </row>
    <row r="120" spans="1:4">
      <c r="A120" t="s">
        <v>4274</v>
      </c>
      <c r="B120" s="39" t="str">
        <f>HYPERLINK('citations-it1-studies'!$D120,'citations-it1-studies'!$B120)</f>
        <v>Smart Tree: An Architectural, Greening and ICT Multidisciplinary Approach to Smart Campus Environments.</v>
      </c>
      <c r="C120">
        <f>'citations-it1-studies'!$C120</f>
        <v>2021</v>
      </c>
      <c r="D120">
        <f>'citations-it1-studies'!$H120</f>
        <v>0</v>
      </c>
    </row>
    <row r="121" spans="1:4">
      <c r="A121" t="s">
        <v>4274</v>
      </c>
      <c r="B121" s="39" t="str">
        <f>HYPERLINK('citations-it1-studies'!$D121,'citations-it1-studies'!$B121)</f>
        <v>The Nexus Between Digital Transformation and Economic Efficiency: Evidence from Selected Countries</v>
      </c>
      <c r="C121">
        <f>'citations-it1-studies'!$C121</f>
        <v>2023</v>
      </c>
      <c r="D121">
        <f>'citations-it1-studies'!$H121</f>
        <v>10</v>
      </c>
    </row>
    <row r="122" spans="1:4">
      <c r="A122" t="s">
        <v>4274</v>
      </c>
      <c r="B122" s="39" t="str">
        <f>HYPERLINK('citations-it1-studies'!$D122,'citations-it1-studies'!$B122)</f>
        <v>OPC UA and MQTT performance analysis within a unified namespace context</v>
      </c>
      <c r="C122">
        <f>'citations-it1-studies'!$C122</f>
        <v>2025</v>
      </c>
      <c r="D122">
        <f>'citations-it1-studies'!$H122</f>
        <v>1</v>
      </c>
    </row>
    <row r="123" spans="1:4">
      <c r="A123" t="s">
        <v>4274</v>
      </c>
      <c r="B123" s="39" t="str">
        <f>HYPERLINK('citations-it1-studies'!$D123,'citations-it1-studies'!$B123)</f>
        <v>Methods and means of conflict-free data exchange in the group of mobile robotic platforms</v>
      </c>
      <c r="C123">
        <f>'citations-it1-studies'!$C123</f>
        <v>2024</v>
      </c>
      <c r="D123">
        <f>'citations-it1-studies'!$H123</f>
        <v>11</v>
      </c>
    </row>
    <row r="124" spans="1:4">
      <c r="A124" t="s">
        <v>4274</v>
      </c>
      <c r="B124" s="39" t="str">
        <f>HYPERLINK('citations-it1-studies'!$D124,'citations-it1-studies'!$B124)</f>
        <v>A Survey on Industrial Internet With ISA100 Wireless</v>
      </c>
      <c r="C124">
        <f>'citations-it1-studies'!$C124</f>
        <v>2020</v>
      </c>
      <c r="D124">
        <f>'citations-it1-studies'!$H124</f>
        <v>20</v>
      </c>
    </row>
    <row r="125" spans="1:4">
      <c r="A125" t="s">
        <v>4274</v>
      </c>
      <c r="B125" s="39" t="str">
        <f>HYPERLINK('citations-it1-studies'!$D125,'citations-it1-studies'!$B125)</f>
        <v>A Comprehensive Systematic Survey of IoT Protocols: Implications for Data Quality and Performance</v>
      </c>
      <c r="C125">
        <f>'citations-it1-studies'!$C125</f>
        <v>2025</v>
      </c>
      <c r="D125">
        <f>'citations-it1-studies'!$H125</f>
        <v>30</v>
      </c>
    </row>
    <row r="126" spans="1:4">
      <c r="A126" t="s">
        <v>4274</v>
      </c>
      <c r="B126" s="39" t="str">
        <f>HYPERLINK('citations-it1-studies'!$D126,'citations-it1-studies'!$B126)</f>
        <v>Securing the Industrial Internet of Things against ransomware attacks: A comprehensive analysis of the emerging threat landscape and detection mechanisms</v>
      </c>
      <c r="C126">
        <f>'citations-it1-studies'!$C126</f>
        <v>2024</v>
      </c>
      <c r="D126">
        <f>'citations-it1-studies'!$H126</f>
        <v>1</v>
      </c>
    </row>
    <row r="127" spans="1:4">
      <c r="A127" t="s">
        <v>4274</v>
      </c>
      <c r="B127" s="39" t="str">
        <f>HYPERLINK('citations-it1-studies'!$D127,'citations-it1-studies'!$B127)</f>
        <v>Wide area, IoT-based PID control of slow systems over LoRaWAN</v>
      </c>
      <c r="C127">
        <f>'citations-it1-studies'!$C127</f>
        <v>2025</v>
      </c>
      <c r="D127">
        <f>'citations-it1-studies'!$H127</f>
        <v>6</v>
      </c>
    </row>
    <row r="128" spans="1:4">
      <c r="A128" t="s">
        <v>4274</v>
      </c>
      <c r="B128" s="39" t="str">
        <f>HYPERLINK('citations-it1-studies'!$D128,'citations-it1-studies'!$B128)</f>
        <v>ETFA - Modular Signal Processing Unit for Motion Control Applications Based on System-on-Chip with FPGA</v>
      </c>
      <c r="C128">
        <f>'citations-it1-studies'!$C128</f>
        <v>2019</v>
      </c>
      <c r="D128">
        <f>'citations-it1-studies'!$H128</f>
        <v>7</v>
      </c>
    </row>
    <row r="129" spans="1:4">
      <c r="A129" t="s">
        <v>4274</v>
      </c>
      <c r="B129" s="39" t="str">
        <f>HYPERLINK('citations-it1-studies'!$D129,'citations-it1-studies'!$B129)</f>
        <v>Digital Twin—Cyber Replica of Physical Things: Architecture, Applications and Future Research Directions</v>
      </c>
      <c r="C129">
        <f>'citations-it1-studies'!$C129</f>
        <v>2022</v>
      </c>
      <c r="D129">
        <f>'citations-it1-studies'!$H129</f>
        <v>1</v>
      </c>
    </row>
    <row r="130" spans="1:4">
      <c r="A130" t="s">
        <v>4274</v>
      </c>
      <c r="B130" s="39" t="str">
        <f>HYPERLINK('citations-it1-studies'!$D130,'citations-it1-studies'!$B130)</f>
        <v>Assertive, Selective, Scalable IoT-Based Warning System.</v>
      </c>
      <c r="C130">
        <f>'citations-it1-studies'!$C130</f>
        <v>2022</v>
      </c>
      <c r="D130">
        <f>'citations-it1-studies'!$H130</f>
        <v>1</v>
      </c>
    </row>
    <row r="131" spans="1:4">
      <c r="A131" t="s">
        <v>4274</v>
      </c>
      <c r="B131" s="39" t="str">
        <f>HYPERLINK('citations-it1-studies'!$D131,'citations-it1-studies'!$B131)</f>
        <v>Faster Implementation Time Through Interoperability: Let's Prove it!</v>
      </c>
      <c r="C131">
        <f>'citations-it1-studies'!$C131</f>
        <v>2025</v>
      </c>
      <c r="D131">
        <f>'citations-it1-studies'!$H131</f>
        <v>7</v>
      </c>
    </row>
    <row r="132" spans="1:4">
      <c r="A132" t="s">
        <v>4274</v>
      </c>
      <c r="B132" s="39" t="str">
        <f>HYPERLINK('citations-it1-studies'!$D132,'citations-it1-studies'!$B132)</f>
        <v>AI-Enhanced Process Digital Twins for Circular Manufacturing: Design, Architecture, and Deployment</v>
      </c>
      <c r="C132">
        <f>'citations-it1-studies'!$C132</f>
        <v>2025</v>
      </c>
      <c r="D132">
        <f>'citations-it1-studies'!$H132</f>
        <v>8</v>
      </c>
    </row>
    <row r="133" spans="1:4">
      <c r="A133" t="s">
        <v>4274</v>
      </c>
      <c r="B133" s="39" t="str">
        <f>HYPERLINK('citations-it1-studies'!$D133,'citations-it1-studies'!$B133)</f>
        <v>Web Based PLC Integrated Process Simulator</v>
      </c>
      <c r="C133">
        <f>'citations-it1-studies'!$C133</f>
        <v>2022</v>
      </c>
      <c r="D133">
        <f>'citations-it1-studies'!$H133</f>
        <v>9</v>
      </c>
    </row>
    <row r="134" spans="1:4">
      <c r="A134" t="s">
        <v>4274</v>
      </c>
      <c r="B134" s="39" t="str">
        <f>HYPERLINK('citations-it1-studies'!$D134,'citations-it1-studies'!$B134)</f>
        <v>Asynchronous Peer-to-Peer Federated Capability-Based Targeted Ransomware Detection Model for Industrial IoT</v>
      </c>
      <c r="C134">
        <f>'citations-it1-studies'!$C134</f>
        <v>2021</v>
      </c>
      <c r="D134">
        <f>'citations-it1-studies'!$H134</f>
        <v>18</v>
      </c>
    </row>
    <row r="135" spans="1:4">
      <c r="A135" t="s">
        <v>4274</v>
      </c>
      <c r="B135" s="39" t="str">
        <f>HYPERLINK('citations-it1-studies'!$D135,'citations-it1-studies'!$B135)</f>
        <v>E-MQTT: End-to-End Synchronous and Asynchronous Communication Mechanisms in MQTT Protocol</v>
      </c>
      <c r="C135">
        <f>'citations-it1-studies'!$C135</f>
        <v>2023</v>
      </c>
      <c r="D135">
        <f>'citations-it1-studies'!$H135</f>
        <v>1</v>
      </c>
    </row>
    <row r="136" spans="1:4">
      <c r="A136" t="s">
        <v>4274</v>
      </c>
      <c r="B136" s="39" t="str">
        <f>HYPERLINK('citations-it1-studies'!$D136,'citations-it1-studies'!$B136)</f>
        <v>Analysis of Penetration Testing Methods for Specific IoT Device: IP Camera</v>
      </c>
      <c r="C136">
        <f>'citations-it1-studies'!$C136</f>
        <v>2024</v>
      </c>
      <c r="D136">
        <f>'citations-it1-studies'!$H136</f>
        <v>7</v>
      </c>
    </row>
    <row r="137" spans="1:4">
      <c r="A137" t="s">
        <v>4274</v>
      </c>
      <c r="B137" s="39" t="str">
        <f>HYPERLINK('citations-it1-studies'!$D137,'citations-it1-studies'!$B137)</f>
        <v>Edge-Fog Enhanced Post-Quantum Network Security: Applications, Challenges and Solutions</v>
      </c>
      <c r="C137">
        <f>'citations-it1-studies'!$C137</f>
        <v>2025</v>
      </c>
      <c r="D137">
        <f>'citations-it1-studies'!$H137</f>
        <v>31</v>
      </c>
    </row>
    <row r="138" spans="1:4">
      <c r="A138" t="s">
        <v>4274</v>
      </c>
      <c r="B138" s="39" t="str">
        <f>HYPERLINK('citations-it1-studies'!$D138,'citations-it1-studies'!$B138)</f>
        <v>Ultra Light-weight Encryption for Securing D2D Communication of ESP8266 IoT devices in Wireless Mesh Networks</v>
      </c>
      <c r="C138">
        <f>'citations-it1-studies'!$C138</f>
        <v>2022</v>
      </c>
      <c r="D138">
        <f>'citations-it1-studies'!$H138</f>
        <v>6</v>
      </c>
    </row>
    <row r="139" spans="1:4">
      <c r="A139" t="s">
        <v>4274</v>
      </c>
      <c r="B139" s="39" t="str">
        <f>HYPERLINK('citations-it1-studies'!$D139,'citations-it1-studies'!$B139)</f>
        <v>MQTT Latency Evaluation in Cloud-Based Spectrometer Control</v>
      </c>
      <c r="C139">
        <f>'citations-it1-studies'!$C139</f>
        <v>2025</v>
      </c>
      <c r="D139">
        <f>'citations-it1-studies'!$H139</f>
        <v>7</v>
      </c>
    </row>
    <row r="140" spans="1:4">
      <c r="A140" t="s">
        <v>4274</v>
      </c>
      <c r="B140" s="39" t="str">
        <f>HYPERLINK('citations-it1-studies'!$D140,'citations-it1-studies'!$B140)</f>
        <v>Defending against smishing attacks: State-of-the-art techniques, challenges, limitations, and future directions</v>
      </c>
      <c r="C140">
        <f>'citations-it1-studies'!$C140</f>
        <v>2025</v>
      </c>
      <c r="D140">
        <f>'citations-it1-studies'!$H140</f>
        <v>1</v>
      </c>
    </row>
    <row r="141" spans="1:4">
      <c r="A141" t="s">
        <v>4274</v>
      </c>
      <c r="B141" s="39" t="str">
        <f>HYPERLINK('citations-it1-studies'!$D141,'citations-it1-studies'!$B141)</f>
        <v>Monitoring and management solution for distributed PV systems based on cloud and IoT technologies</v>
      </c>
      <c r="C141">
        <f>'citations-it1-studies'!$C141</f>
        <v>2022</v>
      </c>
      <c r="D141">
        <f>'citations-it1-studies'!$H141</f>
        <v>4</v>
      </c>
    </row>
    <row r="142" spans="1:4">
      <c r="A142" t="s">
        <v>4274</v>
      </c>
      <c r="B142" s="39" t="str">
        <f>HYPERLINK('citations-it1-studies'!$D142,'citations-it1-studies'!$B142)</f>
        <v>Reducing Commissioning Efforts in the Process Industry Through Open Standards</v>
      </c>
      <c r="C142">
        <f>'citations-it1-studies'!$C142</f>
        <v>2025</v>
      </c>
      <c r="D142">
        <f>'citations-it1-studies'!$H142</f>
        <v>7</v>
      </c>
    </row>
    <row r="143" spans="1:4">
      <c r="A143" t="s">
        <v>4274</v>
      </c>
      <c r="B143" s="39" t="str">
        <f>HYPERLINK('citations-it1-studies'!$D143,'citations-it1-studies'!$B143)</f>
        <v>A Low-Cost Open-Source Architecture for a Digital Signage Emergency Evacuation System for Cruise Ships, Based on IoT and LTE/4G Technologies</v>
      </c>
      <c r="C143">
        <f>'citations-it1-studies'!$C143</f>
        <v>2022</v>
      </c>
      <c r="D143">
        <f>'citations-it1-studies'!$H143</f>
        <v>1</v>
      </c>
    </row>
    <row r="144" spans="1:4">
      <c r="A144" t="s">
        <v>4274</v>
      </c>
      <c r="B144" s="39" t="str">
        <f>HYPERLINK('citations-it1-studies'!$D144,'citations-it1-studies'!$B144)</f>
        <v>Framework for Modeling and Evaluating Information Flows in Flexible Manufacturing Systems</v>
      </c>
      <c r="C144">
        <f>'citations-it1-studies'!$C144</f>
        <v>2024</v>
      </c>
      <c r="D144">
        <f>'citations-it1-studies'!$H144</f>
        <v>13</v>
      </c>
    </row>
    <row r="145" spans="1:4">
      <c r="A145" t="s">
        <v>4274</v>
      </c>
      <c r="B145" s="39" t="str">
        <f>HYPERLINK('citations-it1-studies'!$D145,'citations-it1-studies'!$B145)</f>
        <v>SAIndust: A Self-Aware Heterogeneous Computing Framework for Industrial Internet of Things</v>
      </c>
      <c r="C145">
        <f>'citations-it1-studies'!$C145</f>
        <v>2025</v>
      </c>
      <c r="D145">
        <f>'citations-it1-studies'!$H145</f>
        <v>17</v>
      </c>
    </row>
    <row r="146" spans="1:4">
      <c r="A146" t="s">
        <v>4274</v>
      </c>
      <c r="B146" s="39" t="str">
        <f>HYPERLINK('citations-it1-studies'!$D146,'citations-it1-studies'!$B146)</f>
        <v>Developing and Comparing Protocols for Low-Latency IoT Networking</v>
      </c>
      <c r="C146">
        <f>'citations-it1-studies'!$C146</f>
        <v>2025</v>
      </c>
      <c r="D146">
        <f>'citations-it1-studies'!$H146</f>
        <v>7</v>
      </c>
    </row>
    <row r="147" spans="1:4">
      <c r="A147" t="s">
        <v>4274</v>
      </c>
      <c r="B147" s="39" t="str">
        <f>HYPERLINK('citations-it1-studies'!$D147,'citations-it1-studies'!$B147)</f>
        <v>Methodology for the Implementation and Operation of Multivendor Automation Systems at Large-Scale Industrial Facilities</v>
      </c>
      <c r="C147">
        <f>'citations-it1-studies'!$C147</f>
        <v>2025</v>
      </c>
      <c r="D147">
        <f>'citations-it1-studies'!$H147</f>
        <v>5</v>
      </c>
    </row>
    <row r="148" spans="1:4">
      <c r="A148" t="s">
        <v>4274</v>
      </c>
      <c r="B148" s="39" t="str">
        <f>HYPERLINK('citations-it1-studies'!$D148,'citations-it1-studies'!$B148)</f>
        <v>DCNNBiLSTM: An Efficient Hybrid Deep Learning-Based Intrusion Detection System</v>
      </c>
      <c r="C148">
        <f>'citations-it1-studies'!$C148</f>
        <v>2023</v>
      </c>
      <c r="D148">
        <f>'citations-it1-studies'!$H148</f>
        <v>1</v>
      </c>
    </row>
    <row r="149" spans="1:4">
      <c r="A149" t="s">
        <v>4274</v>
      </c>
      <c r="B149" s="39" t="str">
        <f>HYPERLINK('citations-it1-studies'!$D149,'citations-it1-studies'!$B149)</f>
        <v>RTIMS: Real-Time Indoor Monitoring Systems: A Comprehensive Review</v>
      </c>
      <c r="C149">
        <f>'citations-it1-studies'!$C149</f>
        <v>2025</v>
      </c>
      <c r="D149">
        <f>'citations-it1-studies'!$H149</f>
        <v>0</v>
      </c>
    </row>
    <row r="150" spans="1:4">
      <c r="A150" t="s">
        <v>4274</v>
      </c>
      <c r="B150" s="39" t="str">
        <f>HYPERLINK('citations-it1-studies'!$D150,'citations-it1-studies'!$B150)</f>
        <v>ICT-Equipped Portable E-Bike Charging Station Powered by Renewables for Mass Cycling Events</v>
      </c>
      <c r="C150">
        <f>'citations-it1-studies'!$C150</f>
        <v>2024</v>
      </c>
      <c r="D150">
        <f>'citations-it1-studies'!$H150</f>
        <v>6</v>
      </c>
    </row>
    <row r="151" spans="1:4">
      <c r="A151" t="s">
        <v>4274</v>
      </c>
      <c r="B151" s="39" t="str">
        <f>HYPERLINK('citations-it1-studies'!$D151,'citations-it1-studies'!$B151)</f>
        <v>Assessing Industrial Communication Protocols to Bridge the Gap between Machine Tools and Software Monitoring.</v>
      </c>
      <c r="C151">
        <f>'citations-it1-studies'!$C151</f>
        <v>2023</v>
      </c>
      <c r="D151">
        <f>'citations-it1-studies'!$H151</f>
        <v>1</v>
      </c>
    </row>
    <row r="152" spans="1:4">
      <c r="A152" t="s">
        <v>4274</v>
      </c>
      <c r="B152" s="39" t="str">
        <f>HYPERLINK('citations-it1-studies'!$D152,'citations-it1-studies'!$B152)</f>
        <v>Systematic Literature Review of Cybersecurity Testbeds for Industrial Internet of Things.</v>
      </c>
      <c r="C152">
        <f>'citations-it1-studies'!$C152</f>
        <v>2025</v>
      </c>
      <c r="D152">
        <f>'citations-it1-studies'!$H152</f>
        <v>7</v>
      </c>
    </row>
    <row r="153" spans="1:4">
      <c r="A153" t="s">
        <v>4274</v>
      </c>
      <c r="B153" s="39" t="str">
        <f>HYPERLINK('citations-it1-studies'!$D153,'citations-it1-studies'!$B153)</f>
        <v>Estendendo o MENTORED Testbed para a execução de experimentos de cibersegurança multi-cluster e IoT</v>
      </c>
      <c r="C153">
        <f>'citations-it1-studies'!$C153</f>
        <v>2025</v>
      </c>
      <c r="D153">
        <f>'citations-it1-studies'!$H153</f>
        <v>14</v>
      </c>
    </row>
    <row r="154" spans="1:4">
      <c r="A154" t="s">
        <v>4274</v>
      </c>
      <c r="B154" s="39" t="str">
        <f>HYPERLINK('citations-it1-studies'!$D154,'citations-it1-studies'!$B154)</f>
        <v>Multisensor Platform for Underwater Object Detection and Localization Applications</v>
      </c>
      <c r="C154">
        <f>'citations-it1-studies'!$C154</f>
        <v>2022</v>
      </c>
      <c r="D154">
        <f>'citations-it1-studies'!$H154</f>
        <v>7</v>
      </c>
    </row>
    <row r="155" spans="1:4">
      <c r="A155" t="s">
        <v>4274</v>
      </c>
      <c r="B155" s="39" t="str">
        <f>HYPERLINK('citations-it1-studies'!$D155,'citations-it1-studies'!$B155)</f>
        <v>A Survey of Security Challenges in Cloud-Based SCADA Systems</v>
      </c>
      <c r="C155">
        <f>'citations-it1-studies'!$C155</f>
        <v>2024</v>
      </c>
      <c r="D155">
        <f>'citations-it1-studies'!$H155</f>
        <v>1</v>
      </c>
    </row>
    <row r="156" spans="1:4">
      <c r="A156" t="s">
        <v>4274</v>
      </c>
      <c r="B156" s="39" t="str">
        <f>HYPERLINK('citations-it1-studies'!$D156,'citations-it1-studies'!$B156)</f>
        <v>DripAlyze: internet of things based water leakage detection system for smart resource management</v>
      </c>
      <c r="C156">
        <f>'citations-it1-studies'!$C156</f>
        <v>2025</v>
      </c>
      <c r="D156">
        <f>'citations-it1-studies'!$H156</f>
        <v>11</v>
      </c>
    </row>
    <row r="157" spans="1:4">
      <c r="A157" t="s">
        <v>4274</v>
      </c>
      <c r="B157" s="39" t="str">
        <f>HYPERLINK('citations-it1-studies'!$D157,'citations-it1-studies'!$B157)</f>
        <v>OPC UA for NDE: Integration, Challenges, and Prospects</v>
      </c>
      <c r="C157">
        <f>'citations-it1-studies'!$C157</f>
        <v>2025</v>
      </c>
      <c r="D157">
        <f>'citations-it1-studies'!$H157</f>
        <v>24</v>
      </c>
    </row>
    <row r="158" spans="1:4">
      <c r="A158" t="s">
        <v>4274</v>
      </c>
      <c r="B158" s="39" t="str">
        <f>HYPERLINK('citations-it1-studies'!$D158,'citations-it1-studies'!$B158)</f>
        <v>Intrusion Detection System for Securing Agriculture 4.0 Against DDoS Attacks Using Deep Learning and Machine Learning Models</v>
      </c>
      <c r="C158">
        <f>'citations-it1-studies'!$C158</f>
        <v>2025</v>
      </c>
      <c r="D158">
        <f>'citations-it1-studies'!$H158</f>
        <v>7</v>
      </c>
    </row>
    <row r="159" spans="1:4">
      <c r="A159" t="s">
        <v>4274</v>
      </c>
      <c r="B159" s="39" t="str">
        <f>HYPERLINK('citations-it1-studies'!$D159,'citations-it1-studies'!$B159)</f>
        <v>OPC-UA vs. MQTT (UNS): Evaluating Alignment with RAMI4.0 Through Literature Review</v>
      </c>
      <c r="C159">
        <f>'citations-it1-studies'!$C159</f>
        <v>2025</v>
      </c>
      <c r="D159">
        <f>'citations-it1-studies'!$H159</f>
        <v>12</v>
      </c>
    </row>
    <row r="160" spans="1:4">
      <c r="A160" t="s">
        <v>4274</v>
      </c>
      <c r="B160" s="39" t="str">
        <f>HYPERLINK('citations-it1-studies'!$D160,'citations-it1-studies'!$B160)</f>
        <v>A Single-Fed Dual-Band Orthogonal Circularly Polarized Filtering Antenna for 5G-Enabled IoV Applications</v>
      </c>
      <c r="C160">
        <f>'citations-it1-studies'!$C160</f>
        <v>2025</v>
      </c>
      <c r="D160">
        <f>'citations-it1-studies'!$H160</f>
        <v>10</v>
      </c>
    </row>
    <row r="161" spans="1:4">
      <c r="A161" t="s">
        <v>4274</v>
      </c>
      <c r="B161" s="39" t="str">
        <f>HYPERLINK('citations-it1-studies'!$D161,'citations-it1-studies'!$B161)</f>
        <v>Connecting 3D Printer to the Industrial Internet of Things (IIoT) through MQTT Sparkplug B Protocol</v>
      </c>
      <c r="C161">
        <f>'citations-it1-studies'!$C161</f>
        <v>2023</v>
      </c>
      <c r="D161">
        <f>'citations-it1-studies'!$H161</f>
        <v>6</v>
      </c>
    </row>
    <row r="162" spans="1:4">
      <c r="A162" t="s">
        <v>4274</v>
      </c>
      <c r="B162" s="39" t="str">
        <f>HYPERLINK('citations-it1-studies'!$D163,'citations-it1-studies'!$B163)</f>
        <v>SDN-DMQTT: SDN-Based Platform for Re-configurable MQTT Distributed Brokers Architecture</v>
      </c>
      <c r="C162">
        <f>'citations-it1-studies'!$C163</f>
        <v>2024</v>
      </c>
      <c r="D162">
        <f>'citations-it1-studies'!$H163</f>
        <v>19</v>
      </c>
    </row>
    <row r="163" spans="1:4">
      <c r="A163" t="s">
        <v>4274</v>
      </c>
      <c r="B163" s="39" t="str">
        <f>HYPERLINK('citations-it1-studies'!$D164,'citations-it1-studies'!$B164)</f>
        <v>Survey on Wireless Technology Trade-Offs for the Industrial Internet of Things.</v>
      </c>
      <c r="C163">
        <f>'citations-it1-studies'!$C164</f>
        <v>2020</v>
      </c>
      <c r="D163">
        <f>'citations-it1-studies'!$H164</f>
        <v>0</v>
      </c>
    </row>
    <row r="164" spans="1:4">
      <c r="A164" t="s">
        <v>4274</v>
      </c>
      <c r="B164" s="39" t="str">
        <f>HYPERLINK('citations-it1-studies'!$D165,'citations-it1-studies'!$B165)</f>
        <v>Shaping Intelligent Connectivity Using AI and IoT</v>
      </c>
      <c r="C164">
        <f>'citations-it1-studies'!$C165</f>
        <v>2025</v>
      </c>
      <c r="D164">
        <f>'citations-it1-studies'!$H165</f>
        <v>42</v>
      </c>
    </row>
    <row r="165" spans="1:4">
      <c r="A165" t="s">
        <v>4274</v>
      </c>
      <c r="B165" s="39" t="str">
        <f>HYPERLINK('citations-it1-studies'!$D166,'citations-it1-studies'!$B166)</f>
        <v>Holistic Survey on Security in IoT Application Layer: Attacks, Protocols, and Applications</v>
      </c>
      <c r="C165">
        <f>'citations-it1-studies'!$C166</f>
        <v>2024</v>
      </c>
      <c r="D165">
        <f>'citations-it1-studies'!$H166</f>
        <v>58</v>
      </c>
    </row>
    <row r="166" spans="1:4">
      <c r="A166" t="s">
        <v>4274</v>
      </c>
      <c r="B166" s="39" t="str">
        <f>HYPERLINK('citations-it1-studies'!$D167,'citations-it1-studies'!$B167)</f>
        <v>Big Data and Machine Learning in Industry 6.0</v>
      </c>
      <c r="C166">
        <f>'citations-it1-studies'!$C167</f>
        <v>2026</v>
      </c>
      <c r="D166">
        <f>'citations-it1-studies'!$H167</f>
        <v>27</v>
      </c>
    </row>
    <row r="167" spans="1:4">
      <c r="A167" t="s">
        <v>4274</v>
      </c>
      <c r="B167" s="39" t="str">
        <f>HYPERLINK('citations-it1-studies'!$D168,'citations-it1-studies'!$B168)</f>
        <v>Trend Analysis of Factory Automation Using Topic Modeling</v>
      </c>
      <c r="C167">
        <f>'citations-it1-studies'!$C168</f>
        <v>2025</v>
      </c>
      <c r="D167">
        <f>'citations-it1-studies'!$H168</f>
        <v>1</v>
      </c>
    </row>
    <row r="168" spans="1:4">
      <c r="A168" t="s">
        <v>4274</v>
      </c>
      <c r="B168" s="39" t="str">
        <f>HYPERLINK('citations-it1-studies'!$D169,'citations-it1-studies'!$B169)</f>
        <v>Edge Computing for Safe Control of a Parametric Multi-floor Manufacturing Process</v>
      </c>
      <c r="C168">
        <f>'citations-it1-studies'!$C169</f>
        <v>2025</v>
      </c>
      <c r="D168">
        <f>'citations-it1-studies'!$H169</f>
        <v>6</v>
      </c>
    </row>
    <row r="169" spans="1:4">
      <c r="A169" t="s">
        <v>4274</v>
      </c>
      <c r="B169" s="39" t="str">
        <f>HYPERLINK('citations-it1-studies'!$D170,'citations-it1-studies'!$B170)</f>
        <v>DDoS attack detection using CNN-BiLSTM with attention mechanism</v>
      </c>
      <c r="C169">
        <f>'citations-it1-studies'!$C170</f>
        <v>2025</v>
      </c>
      <c r="D169">
        <f>'citations-it1-studies'!$H170</f>
        <v>1</v>
      </c>
    </row>
    <row r="170" spans="1:4">
      <c r="A170" t="s">
        <v>4274</v>
      </c>
      <c r="B170" s="39" t="str">
        <f>HYPERLINK('citations-it1-studies'!$D171,'citations-it1-studies'!$B171)</f>
        <v>Resilience Against APTs: A Provenance-Based IIoT Dataset for Cybersecurity Research</v>
      </c>
      <c r="C170">
        <f>'citations-it1-studies'!$C171</f>
        <v>2026</v>
      </c>
      <c r="D170">
        <f>'citations-it1-studies'!$H171</f>
        <v>24</v>
      </c>
    </row>
    <row r="171" spans="1:4">
      <c r="A171" t="s">
        <v>4274</v>
      </c>
      <c r="B171" s="39" t="str">
        <f>HYPERLINK('citations-it1-studies'!$D172,'citations-it1-studies'!$B172)</f>
        <v>A Performance Analysis of Security Protocols for Distributed Measurement Systems Based on Internet of Things with Constrained Hardware and Open Source Infrastructures.</v>
      </c>
      <c r="C171">
        <f>'citations-it1-studies'!$C172</f>
        <v>2024</v>
      </c>
      <c r="D171">
        <f>'citations-it1-studies'!$H172</f>
        <v>1</v>
      </c>
    </row>
    <row r="172" spans="1:4">
      <c r="A172" t="s">
        <v>4274</v>
      </c>
      <c r="B172" s="39" t="str">
        <f>HYPERLINK('citations-it1-studies'!$D173,'citations-it1-studies'!$B173)</f>
        <v>Comparative Analysis and Implementation of HTTP3, MQTT, and CoAP for IoT Applications</v>
      </c>
      <c r="C172">
        <f>'citations-it1-studies'!$C173</f>
        <v>2024</v>
      </c>
      <c r="D172">
        <f>'citations-it1-studies'!$H173</f>
        <v>6</v>
      </c>
    </row>
    <row r="173" spans="1:4">
      <c r="A173" t="s">
        <v>4274</v>
      </c>
      <c r="B173" s="39" t="str">
        <f>HYPERLINK('citations-it1-studies'!$D174,'citations-it1-studies'!$B174)</f>
        <v>Comprehensive electrical models for a wireless sensor network device.</v>
      </c>
      <c r="C173">
        <f>'citations-it1-studies'!$C174</f>
        <v>2024</v>
      </c>
      <c r="D173">
        <f>'citations-it1-studies'!$H174</f>
        <v>1</v>
      </c>
    </row>
    <row r="174" spans="1:4">
      <c r="A174" t="s">
        <v>4274</v>
      </c>
      <c r="B174" s="39" t="str">
        <f>HYPERLINK('citations-it1-studies'!$D175,'citations-it1-studies'!$B175)</f>
        <v>Microsecond-Accurate EtherCAT Transmission Scheme for Industrial Cyber–Physical Systems</v>
      </c>
      <c r="C174">
        <f>'citations-it1-studies'!$C175</f>
        <v>2025</v>
      </c>
      <c r="D174">
        <f>'citations-it1-studies'!$H175</f>
        <v>13</v>
      </c>
    </row>
    <row r="175" spans="1:4">
      <c r="A175" t="s">
        <v>4274</v>
      </c>
      <c r="B175" s="39" t="str">
        <f>HYPERLINK('citations-it1-studies'!$D176,'citations-it1-studies'!$B176)</f>
        <v>OPC-UA Agent for Legacy Programmable Logic Controllers</v>
      </c>
      <c r="C175">
        <f>'citations-it1-studies'!$C176</f>
        <v>2022</v>
      </c>
      <c r="D175">
        <f>'citations-it1-studies'!$H176</f>
        <v>1</v>
      </c>
    </row>
    <row r="176" spans="1:4">
      <c r="A176" t="s">
        <v>4274</v>
      </c>
      <c r="B176" s="39" t="str">
        <f>HYPERLINK('citations-it1-studies'!$D177,'citations-it1-studies'!$B177)</f>
        <v>Seamless computing in industrial systems using container orchestration</v>
      </c>
      <c r="C176">
        <f>'citations-it1-studies'!$C177</f>
        <v>2020</v>
      </c>
      <c r="D176">
        <f>'citations-it1-studies'!$H177</f>
        <v>11</v>
      </c>
    </row>
    <row r="177" spans="1:4">
      <c r="A177" t="s">
        <v>4274</v>
      </c>
      <c r="B177" s="39" t="str">
        <f>HYPERLINK('citations-it1-studies'!$D178,'citations-it1-studies'!$B178)</f>
        <v>Comparative Evaluation of open62541 OPC UA Servers on Embedded Devices</v>
      </c>
      <c r="C177">
        <f>'citations-it1-studies'!$C178</f>
        <v>2025</v>
      </c>
      <c r="D177">
        <f>'citations-it1-studies'!$H178</f>
        <v>6</v>
      </c>
    </row>
    <row r="178" spans="1:4">
      <c r="A178" t="s">
        <v>4274</v>
      </c>
      <c r="B178" s="39" t="str">
        <f>HYPERLINK('citations-it1-studies'!$D179,'citations-it1-studies'!$B179)</f>
        <v>Multilabel Classification in IoT NIDS: A Proposed Cross Machine Learning Pipeline</v>
      </c>
      <c r="C178">
        <f>'citations-it1-studies'!$C179</f>
        <v>2024</v>
      </c>
      <c r="D178">
        <f>'citations-it1-studies'!$H179</f>
        <v>9</v>
      </c>
    </row>
    <row r="179" spans="1:4">
      <c r="A179" t="s">
        <v>4274</v>
      </c>
      <c r="B179" s="39" t="str">
        <f>HYPERLINK('citations-it1-studies'!$D180,'citations-it1-studies'!$B180)</f>
        <v>A survey on security issues in IoT operating systems</v>
      </c>
      <c r="C179">
        <f>'citations-it1-studies'!$C180</f>
        <v>2024</v>
      </c>
      <c r="D179">
        <f>'citations-it1-studies'!$H180</f>
        <v>1</v>
      </c>
    </row>
    <row r="180" spans="1:4">
      <c r="A180" t="s">
        <v>4274</v>
      </c>
      <c r="B180" s="39" t="str">
        <f>HYPERLINK('citations-it1-studies'!$D181,'citations-it1-studies'!$B181)</f>
        <v>A Modular Interface for Multi-Agent Marine Autonomy Simulation</v>
      </c>
      <c r="C180">
        <f>'citations-it1-studies'!$C181</f>
        <v>2025</v>
      </c>
      <c r="D180">
        <f>'citations-it1-studies'!$H181</f>
        <v>5</v>
      </c>
    </row>
    <row r="181" spans="1:4">
      <c r="A181" t="s">
        <v>4274</v>
      </c>
      <c r="B181" s="39" t="str">
        <f>HYPERLINK('citations-it1-studies'!$D182,'citations-it1-studies'!$B182)</f>
        <v>Enhancing Wireless Sensor Network in Structural Health Monitoring through TCP/IP Socket Programming-Based Mimic Broadcasting: Experimental Validation</v>
      </c>
      <c r="C181">
        <f>'citations-it1-studies'!$C182</f>
        <v>2024</v>
      </c>
      <c r="D181">
        <f>'citations-it1-studies'!$H182</f>
        <v>1</v>
      </c>
    </row>
    <row r="182" spans="1:4">
      <c r="A182" t="s">
        <v>4274</v>
      </c>
      <c r="B182" s="39" t="str">
        <f>HYPERLINK('citations-it1-studies'!$D183,'citations-it1-studies'!$B183)</f>
        <v>Assessment of OPC UA PubSub at Scale Using TSN Infrastructure and Network Calculus</v>
      </c>
      <c r="C182">
        <f>'citations-it1-studies'!$C183</f>
        <v>2024</v>
      </c>
      <c r="D182">
        <f>'citations-it1-studies'!$H183</f>
        <v>9</v>
      </c>
    </row>
    <row r="183" spans="1:4">
      <c r="A183" t="s">
        <v>4274</v>
      </c>
      <c r="B183" s="39" t="str">
        <f>HYPERLINK('citations-it1-studies'!$D184,'citations-it1-studies'!$B184)</f>
        <v>Development of a Monitoring System for the Cooling Water Experimental Platform of the China Spallation Neutron Source</v>
      </c>
      <c r="C183">
        <f>'citations-it1-studies'!$C184</f>
        <v>2025</v>
      </c>
      <c r="D183">
        <f>'citations-it1-studies'!$H184</f>
        <v>4</v>
      </c>
    </row>
    <row r="184" spans="1:4">
      <c r="A184" t="s">
        <v>4274</v>
      </c>
      <c r="B184" s="39" t="str">
        <f>HYPERLINK('citations-it1-studies'!$D185,'citations-it1-studies'!$B185)</f>
        <v>Multi-Client Scenario-Based Reverse Shell Attack Simulation</v>
      </c>
      <c r="C184">
        <f>'citations-it1-studies'!$C185</f>
        <v>2025</v>
      </c>
      <c r="D184">
        <f>'citations-it1-studies'!$H185</f>
        <v>5</v>
      </c>
    </row>
    <row r="185" spans="1:4">
      <c r="A185" t="s">
        <v>4274</v>
      </c>
      <c r="B185" s="39" t="str">
        <f>HYPERLINK('citations-it1-studies'!$D186,'citations-it1-studies'!$B186)</f>
        <v>Analyzing Microservice Communication Performance in Industrial Edge Platform</v>
      </c>
      <c r="C185">
        <f>'citations-it1-studies'!$C186</f>
        <v>2025</v>
      </c>
      <c r="D185">
        <f>'citations-it1-studies'!$H186</f>
        <v>12</v>
      </c>
    </row>
    <row r="186" spans="1:4">
      <c r="A186" t="s">
        <v>4274</v>
      </c>
      <c r="B186" s="39" t="str">
        <f>HYPERLINK('citations-it1-studies'!$D187,'citations-it1-studies'!$B187)</f>
        <v>D&amp;R of Digital Twin-based Intelligent Control Practical Training System</v>
      </c>
      <c r="C186">
        <f>'citations-it1-studies'!$C187</f>
        <v>2023</v>
      </c>
      <c r="D186">
        <f>'citations-it1-studies'!$H187</f>
        <v>7</v>
      </c>
    </row>
    <row r="187" spans="1:4">
      <c r="A187" t="s">
        <v>4274</v>
      </c>
      <c r="B187" s="39" t="str">
        <f>HYPERLINK('citations-it1-studies'!$D188,'citations-it1-studies'!$B188)</f>
        <v>Evaluating V2X Communications in the CARLA Simulator for a Collaborative Planning Use Case</v>
      </c>
      <c r="C187">
        <f>'citations-it1-studies'!$C188</f>
        <v>2024</v>
      </c>
      <c r="D187">
        <f>'citations-it1-studies'!$H188</f>
        <v>6</v>
      </c>
    </row>
    <row r="188" spans="1:4">
      <c r="A188" t="s">
        <v>4274</v>
      </c>
      <c r="B188" s="39" t="str">
        <f>HYPERLINK('citations-it1-studies'!$D189,'citations-it1-studies'!$B189)</f>
        <v>Deep learning-based stacked models for cyber-attack detection in industrial internet of things</v>
      </c>
      <c r="C188">
        <f>'citations-it1-studies'!$C189</f>
        <v>2025</v>
      </c>
      <c r="D188">
        <f>'citations-it1-studies'!$H189</f>
        <v>35</v>
      </c>
    </row>
    <row r="189" spans="1:4">
      <c r="A189" t="s">
        <v>4274</v>
      </c>
      <c r="B189" s="39" t="str">
        <f>HYPERLINK('citations-it1-studies'!$D190,'citations-it1-studies'!$B190)</f>
        <v>Toward Digital Twin-as-a-Service (DTaaS) Platforms: A Survey on Architecture, Design Requirements, and Performance Metrics</v>
      </c>
      <c r="C189">
        <f>'citations-it1-studies'!$C190</f>
        <v>2026</v>
      </c>
      <c r="D189">
        <f>'citations-it1-studies'!$H190</f>
        <v>34</v>
      </c>
    </row>
    <row r="190" spans="1:4">
      <c r="A190" t="s">
        <v>4274</v>
      </c>
      <c r="B190" s="39" t="str">
        <f>HYPERLINK('citations-it1-studies'!$D191,'citations-it1-studies'!$B191)</f>
        <v>A self-contained emulator for the forensic examination of IoE scenarios</v>
      </c>
      <c r="C190">
        <f>'citations-it1-studies'!$C191</f>
        <v>2025</v>
      </c>
      <c r="D190">
        <f>'citations-it1-studies'!$H191</f>
        <v>1</v>
      </c>
    </row>
    <row r="191" spans="1:4">
      <c r="A191" t="s">
        <v>4274</v>
      </c>
      <c r="B191" s="39" t="str">
        <f>HYPERLINK('citations-it1-studies'!$D192,'citations-it1-studies'!$B192)</f>
        <v>Computer vision-based quality inspection for tire sealant application with simulated robotic dispensing</v>
      </c>
      <c r="C191">
        <f>'citations-it1-studies'!$C192</f>
        <v>2025</v>
      </c>
      <c r="D191">
        <f>'citations-it1-studies'!$H192</f>
        <v>35</v>
      </c>
    </row>
    <row r="192" spans="1:4">
      <c r="A192" t="s">
        <v>4274</v>
      </c>
      <c r="B192" s="39" t="str">
        <f>HYPERLINK('citations-it1-studies'!$D193,'citations-it1-studies'!$B193)</f>
        <v>Multiuser Physical-Layer Authentication Based on Latent Perturbed Neural Networks for Industrial Internet of Things</v>
      </c>
      <c r="C192">
        <f>'citations-it1-studies'!$C193</f>
        <v>2023</v>
      </c>
      <c r="D192">
        <f>'citations-it1-studies'!$H193</f>
        <v>16</v>
      </c>
    </row>
    <row r="193" spans="1:4">
      <c r="A193" t="s">
        <v>4274</v>
      </c>
      <c r="B193" s="39" t="str">
        <f>HYPERLINK('citations-it1-studies'!$D194,'citations-it1-studies'!$B194)</f>
        <v>255Virtual cybersecurity testbeds for industrial Internet of Things</v>
      </c>
      <c r="C193">
        <f>'citations-it1-studies'!$C194</f>
        <v>0</v>
      </c>
      <c r="D193">
        <f>'citations-it1-studies'!$H194</f>
        <v>26</v>
      </c>
    </row>
    <row r="194" spans="1:4">
      <c r="A194" t="s">
        <v>4274</v>
      </c>
      <c r="B194" s="39" t="str">
        <f>HYPERLINK('citations-it1-studies'!$D195,'citations-it1-studies'!$B195)</f>
        <v>QMA: A Ressource-efficient, Q-Learning-based Multiple Access Scheme for the IIoT</v>
      </c>
      <c r="C194">
        <f>'citations-it1-studies'!$C195</f>
        <v>2021</v>
      </c>
      <c r="D194">
        <f>'citations-it1-studies'!$H195</f>
        <v>0</v>
      </c>
    </row>
    <row r="195" spans="1:4">
      <c r="A195" t="s">
        <v>4274</v>
      </c>
      <c r="B195" s="39" t="str">
        <f>HYPERLINK('citations-it1-studies'!$D196,'citations-it1-studies'!$B196)</f>
        <v>Intrusion Detection and Prevention in Industrial Internet of Things: A Study</v>
      </c>
      <c r="C195">
        <f>'citations-it1-studies'!$C196</f>
        <v>2023</v>
      </c>
      <c r="D195">
        <f>'citations-it1-studies'!$H196</f>
        <v>12</v>
      </c>
    </row>
    <row r="196" spans="1:4">
      <c r="A196" t="s">
        <v>4274</v>
      </c>
      <c r="B196" s="39" t="str">
        <f>HYPERLINK('citations-it1-studies'!$D197,'citations-it1-studies'!$B197)</f>
        <v>IEEE P2668-Compliant Multi-Layer IoT-DDoS Defense System Using Deep Reinforcement Learning</v>
      </c>
      <c r="C196">
        <f>'citations-it1-studies'!$C197</f>
        <v>2023</v>
      </c>
      <c r="D196">
        <f>'citations-it1-studies'!$H197</f>
        <v>16</v>
      </c>
    </row>
    <row r="197" spans="1:4">
      <c r="A197" t="s">
        <v>4274</v>
      </c>
      <c r="B197" s="39" t="str">
        <f>HYPERLINK('citations-it1-studies'!$D198,'citations-it1-studies'!$B198)</f>
        <v>Development of an IoT-Based SCADA System for Monitoring of Plant Leaf Temperature and Air and Soil Parameters</v>
      </c>
      <c r="C197">
        <f>'citations-it1-studies'!$C198</f>
        <v>2023</v>
      </c>
      <c r="D197">
        <f>'citations-it1-studies'!$H198</f>
        <v>1</v>
      </c>
    </row>
    <row r="198" spans="1:4">
      <c r="A198" t="s">
        <v>4274</v>
      </c>
      <c r="B198" s="39" t="str">
        <f>HYPERLINK('citations-it1-studies'!$D199,'citations-it1-studies'!$B199)</f>
        <v>Artificial intelligence for secure and sustainable industrial control systems - A Survey of challenges and solutions</v>
      </c>
      <c r="C198">
        <f>'citations-it1-studies'!$C199</f>
        <v>2025</v>
      </c>
      <c r="D198">
        <f>'citations-it1-studies'!$H199</f>
        <v>0</v>
      </c>
    </row>
    <row r="199" spans="1:4">
      <c r="A199" t="s">
        <v>4274</v>
      </c>
      <c r="B199" s="39" t="str">
        <f>HYPERLINK('citations-it1-studies'!$D200,'citations-it1-studies'!$B200)</f>
        <v>Internet of Things Driven Digital Twin for Intelligent Manufacturing in Shipbuilding Workshops</v>
      </c>
      <c r="C199">
        <f>'citations-it1-studies'!$C200</f>
        <v>2025</v>
      </c>
      <c r="D199">
        <f>'citations-it1-studies'!$H200</f>
        <v>0</v>
      </c>
    </row>
    <row r="200" spans="1:4">
      <c r="A200" t="s">
        <v>4274</v>
      </c>
      <c r="B200" s="39" t="str">
        <f>HYPERLINK('citations-it1-studies'!$D201,'citations-it1-studies'!$B201)</f>
        <v>Flexible Arbitrary Signal Generation and Acquisition System for Compact Underwater Measurement Systems and Data Fusion</v>
      </c>
      <c r="C200">
        <f>'citations-it1-studies'!$C201</f>
        <v>2021</v>
      </c>
      <c r="D200">
        <f>'citations-it1-studies'!$H201</f>
        <v>6</v>
      </c>
    </row>
    <row r="201" spans="1:4">
      <c r="A201" t="s">
        <v>4274</v>
      </c>
      <c r="B201" s="39" t="str">
        <f>HYPERLINK('citations-it1-studies'!$D202,'citations-it1-studies'!$B202)</f>
        <v>Towards electric digital twin grid: Technology and framework review</v>
      </c>
      <c r="C201">
        <f>'citations-it1-studies'!$C202</f>
        <v>2023</v>
      </c>
      <c r="D201">
        <f>'citations-it1-studies'!$H202</f>
        <v>1</v>
      </c>
    </row>
    <row r="202" spans="1:4">
      <c r="A202" t="s">
        <v>4274</v>
      </c>
      <c r="B202" s="39" t="str">
        <f>HYPERLINK('citations-it1-studies'!$D203,'citations-it1-studies'!$B203)</f>
        <v>Real-Time AI-Driven Milling Digital Twin Towards Extreme Low-Latency</v>
      </c>
      <c r="C202">
        <f>'citations-it1-studies'!$C203</f>
        <v>2026</v>
      </c>
      <c r="D202">
        <f>'citations-it1-studies'!$H203</f>
        <v>0</v>
      </c>
    </row>
    <row r="203" spans="1:4">
      <c r="A203" t="s">
        <v>4274</v>
      </c>
      <c r="B203" s="39" t="str">
        <f>HYPERLINK('citations-it1-studies'!$D204,'citations-it1-studies'!$B204)</f>
        <v>On computing and real-time communication performance of containerized virtual PLCs</v>
      </c>
      <c r="C203">
        <f>'citations-it1-studies'!$C204</f>
        <v>2024</v>
      </c>
      <c r="D203">
        <f>'citations-it1-studies'!$H204</f>
        <v>4</v>
      </c>
    </row>
    <row r="204" spans="1:4">
      <c r="A204" t="s">
        <v>4274</v>
      </c>
      <c r="B204" s="39" t="str">
        <f>HYPERLINK('citations-it1-studies'!$D205,'citations-it1-studies'!$B205)</f>
        <v>Multi-Scene Layered Container Pre-Migration Method for Satellite Task Continuity</v>
      </c>
      <c r="C204">
        <f>'citations-it1-studies'!$C205</f>
        <v>2025</v>
      </c>
      <c r="D204">
        <f>'citations-it1-studies'!$H205</f>
        <v>6</v>
      </c>
    </row>
    <row r="205" spans="1:4">
      <c r="A205" t="s">
        <v>4274</v>
      </c>
      <c r="B205" s="39" t="str">
        <f>HYPERLINK('citations-it1-studies'!$D206,'citations-it1-studies'!$B206)</f>
        <v>A flexible OT testbed for evaluating on-device implementations of IEC-61850 GOOSE</v>
      </c>
      <c r="C205">
        <f>'citations-it1-studies'!$C206</f>
        <v>2023</v>
      </c>
      <c r="D205">
        <f>'citations-it1-studies'!$H206</f>
        <v>1</v>
      </c>
    </row>
    <row r="206" spans="1:4">
      <c r="A206" t="s">
        <v>4274</v>
      </c>
      <c r="B206" s="39" t="str">
        <f>HYPERLINK('citations-it1-studies'!$D207,'citations-it1-studies'!$B207)</f>
        <v>A Conceptual Implementation Process for Smart Maintenance Technologies</v>
      </c>
      <c r="C206">
        <f>'citations-it1-studies'!$C207</f>
        <v>2024</v>
      </c>
      <c r="D206">
        <f>'citations-it1-studies'!$H207</f>
        <v>24</v>
      </c>
    </row>
    <row r="207" spans="1:4">
      <c r="A207" t="s">
        <v>4274</v>
      </c>
      <c r="B207" s="39" t="str">
        <f>HYPERLINK('citations-it1-studies'!$D208,'citations-it1-studies'!$B208)</f>
        <v>Industrial robot system state simulation and risk utilization test environment design</v>
      </c>
      <c r="C207">
        <f>'citations-it1-studies'!$C208</f>
        <v>2025</v>
      </c>
      <c r="D207">
        <f>'citations-it1-studies'!$H208</f>
        <v>1</v>
      </c>
    </row>
    <row r="208" spans="1:4">
      <c r="A208" t="s">
        <v>4274</v>
      </c>
      <c r="B208" s="39" t="str">
        <f>HYPERLINK('citations-it1-studies'!$D209,'citations-it1-studies'!$B209)</f>
        <v>Multimodal Cognitive Architecture with Local Generative AI for Industrial Control of Concrete Plants on Edge Devices.</v>
      </c>
      <c r="C208">
        <f>'citations-it1-studies'!$C209</f>
        <v>2025</v>
      </c>
      <c r="D208">
        <f>'citations-it1-studies'!$H209</f>
        <v>0</v>
      </c>
    </row>
    <row r="209" spans="1:4">
      <c r="A209" t="s">
        <v>4274</v>
      </c>
      <c r="B209" s="39" t="str">
        <f>HYPERLINK('citations-it1-studies'!$D210,'citations-it1-studies'!$B210)</f>
        <v>A Survey on OPC UA Protocol: Overview, Challenges and Opportunities</v>
      </c>
      <c r="C209">
        <f>'citations-it1-studies'!$C210</f>
        <v>2023</v>
      </c>
      <c r="D209">
        <f>'citations-it1-studies'!$H210</f>
        <v>8</v>
      </c>
    </row>
    <row r="210" spans="1:4">
      <c r="A210" t="s">
        <v>4274</v>
      </c>
      <c r="B210" s="39" t="str">
        <f>HYPERLINK('citations-it1-studies'!$D211,'citations-it1-studies'!$B211)</f>
        <v>The Significance of the Industrial Internet of Things (IIoT) for the Oil and Gas Space</v>
      </c>
      <c r="C210">
        <f>'citations-it1-studies'!$C211</f>
        <v>2023</v>
      </c>
      <c r="D210">
        <f>'citations-it1-studies'!$H211</f>
        <v>30</v>
      </c>
    </row>
    <row r="211" spans="1:4">
      <c r="A211" t="s">
        <v>4275</v>
      </c>
      <c r="B211" s="39" t="str">
        <f>HYPERLINK('references-it1-studies'!$D2,'references-it1-studies'!$B2)</f>
        <v>CCS - POIROT: Aligning Attack Behavior with Kernel Audit Records for Cyber Threat Hunting</v>
      </c>
      <c r="C211">
        <f>'references-it1-studies'!$C2</f>
        <v>2019</v>
      </c>
      <c r="D211">
        <f>'references-it1-studies'!$H2</f>
        <v>18</v>
      </c>
    </row>
    <row r="212" spans="1:4">
      <c r="A212" t="s">
        <v>4275</v>
      </c>
      <c r="B212" s="39" t="str">
        <f>HYPERLINK('references-it1-studies'!$D3,'references-it1-studies'!$B3)</f>
        <v>Man-in-the-middle-attack: Understanding in simple words</v>
      </c>
      <c r="C212">
        <f>'references-it1-studies'!$C3</f>
        <v>2019</v>
      </c>
      <c r="D212">
        <f>'references-it1-studies'!$H3</f>
        <v>16</v>
      </c>
    </row>
    <row r="213" spans="1:4">
      <c r="A213" t="s">
        <v>4275</v>
      </c>
      <c r="B213" s="39" t="str">
        <f>HYPERLINK('references-it1-studies'!$D4,'references-it1-studies'!$B4)</f>
        <v>ICICS - S7commTrace: A High Interactive Honeypot for Industrial Control System Based on S7 Protocol</v>
      </c>
      <c r="C213">
        <f>'references-it1-studies'!$C4</f>
        <v>2018</v>
      </c>
      <c r="D213">
        <f>'references-it1-studies'!$H4</f>
        <v>12</v>
      </c>
    </row>
    <row r="214" spans="1:4">
      <c r="A214" t="s">
        <v>4275</v>
      </c>
      <c r="B214" s="39" t="str">
        <f>HYPERLINK('references-it1-studies'!$D5,'references-it1-studies'!$B5)</f>
        <v>Integration of IoT Technologies into the Smart Grid.</v>
      </c>
      <c r="C214">
        <f>'references-it1-studies'!$C5</f>
        <v>2022</v>
      </c>
      <c r="D214">
        <f>'references-it1-studies'!$H5</f>
        <v>1</v>
      </c>
    </row>
    <row r="215" spans="1:4">
      <c r="A215" t="s">
        <v>4275</v>
      </c>
      <c r="B215" s="39" t="str">
        <f>HYPERLINK('references-it1-studies'!$D6,'references-it1-studies'!$B6)</f>
        <v>Performance evaluation of CoAP and MQTT with security support for IoT environments</v>
      </c>
      <c r="C215">
        <f>'references-it1-studies'!$C6</f>
        <v>2021</v>
      </c>
      <c r="D215">
        <f>'references-it1-studies'!$H6</f>
        <v>0</v>
      </c>
    </row>
    <row r="216" spans="1:4">
      <c r="A216" t="s">
        <v>4275</v>
      </c>
      <c r="B216" s="39" t="str">
        <f>HYPERLINK('references-it1-studies'!$D7,'references-it1-studies'!$B7)</f>
        <v>INFOCOM Workshops - Simulation of Industrial Wireless Sensor Network (IWSN) protocols</v>
      </c>
      <c r="C216">
        <f>'references-it1-studies'!$C7</f>
        <v>2016</v>
      </c>
      <c r="D216">
        <f>'references-it1-studies'!$H7</f>
        <v>7</v>
      </c>
    </row>
    <row r="217" spans="1:4">
      <c r="A217" t="s">
        <v>4275</v>
      </c>
      <c r="B217" s="39" t="str">
        <f>HYPERLINK('references-it1-studies'!$D8,'references-it1-studies'!$B8)</f>
        <v>Computer Communication Within Industrial Distributed Environment—a Survey</v>
      </c>
      <c r="C217">
        <f>'references-it1-studies'!$C8</f>
        <v>2013</v>
      </c>
      <c r="D217">
        <f>'references-it1-studies'!$H8</f>
        <v>8</v>
      </c>
    </row>
    <row r="218" spans="1:4">
      <c r="A218" t="s">
        <v>4275</v>
      </c>
      <c r="B218" s="39" t="str">
        <f>HYPERLINK('references-it1-studies'!$D9,'references-it1-studies'!$B9)</f>
        <v>Property Patterns for the Formal Verification of Automated Production Systemsstar</v>
      </c>
      <c r="C218">
        <f>'references-it1-studies'!$C9</f>
        <v>2008</v>
      </c>
      <c r="D218">
        <f>'references-it1-studies'!$H9</f>
        <v>6</v>
      </c>
    </row>
    <row r="219" spans="1:4">
      <c r="A219" t="s">
        <v>4275</v>
      </c>
      <c r="B219" s="39" t="str">
        <f>HYPERLINK('references-it1-studies'!$D10,'references-it1-studies'!$B10)</f>
        <v>Digital transformation of manufacturing through cloud services and resource virtualization</v>
      </c>
      <c r="C219">
        <f>'references-it1-studies'!$C10</f>
        <v>2019</v>
      </c>
      <c r="D219">
        <f>'references-it1-studies'!$H10</f>
        <v>13</v>
      </c>
    </row>
    <row r="220" spans="1:4">
      <c r="A220" t="s">
        <v>4275</v>
      </c>
      <c r="B220" s="39" t="str">
        <f>HYPERLINK('references-it1-studies'!$D11,'references-it1-studies'!$B11)</f>
        <v>WF-IoT - FIT IoT-LAB: A large scale open experimental IoT testbed</v>
      </c>
      <c r="C220">
        <f>'references-it1-studies'!$C11</f>
        <v>2015</v>
      </c>
      <c r="D220">
        <f>'references-it1-studies'!$H11</f>
        <v>6</v>
      </c>
    </row>
    <row r="221" spans="1:4">
      <c r="A221" t="s">
        <v>4275</v>
      </c>
      <c r="B221" s="39" t="str">
        <f>HYPERLINK('references-it1-studies'!$D12,'references-it1-studies'!$B12)</f>
        <v>Container-based architecture for flexible industrial control applications</v>
      </c>
      <c r="C221">
        <f>'references-it1-studies'!$C12</f>
        <v>2018</v>
      </c>
      <c r="D221">
        <f>'references-it1-studies'!$H12</f>
        <v>9</v>
      </c>
    </row>
    <row r="222" spans="1:4">
      <c r="A222" t="s">
        <v>4275</v>
      </c>
      <c r="B222" s="39" t="str">
        <f>HYPERLINK('references-it1-studies'!$D13,'references-it1-studies'!$B13)</f>
        <v>Interworking between Modbus and internet of things platform for industrial services</v>
      </c>
      <c r="C222">
        <f>'references-it1-studies'!$C13</f>
        <v>2024</v>
      </c>
      <c r="D222">
        <f>'references-it1-studies'!$H13</f>
        <v>11</v>
      </c>
    </row>
    <row r="223" spans="1:4">
      <c r="A223" t="s">
        <v>4275</v>
      </c>
      <c r="B223" s="39" t="str">
        <f>HYPERLINK('references-it1-studies'!$D14,'references-it1-studies'!$B14)</f>
        <v>GNS3 Communication Network Emulation for Substation GOOSE Based Protection Schemes</v>
      </c>
      <c r="C223">
        <f>'references-it1-studies'!$C14</f>
        <v>2022</v>
      </c>
      <c r="D223">
        <f>'references-it1-studies'!$H14</f>
        <v>0</v>
      </c>
    </row>
    <row r="224" spans="1:4">
      <c r="A224" t="s">
        <v>4275</v>
      </c>
      <c r="B224" s="39" t="str">
        <f>HYPERLINK('references-it1-studies'!$D15,'references-it1-studies'!$B15)</f>
        <v>ICC - Application protocols enabling internet of remote things via random access satellite channels</v>
      </c>
      <c r="C224">
        <f>'references-it1-studies'!$C15</f>
        <v>2017</v>
      </c>
      <c r="D224">
        <f>'references-it1-studies'!$H15</f>
        <v>6</v>
      </c>
    </row>
    <row r="225" spans="1:4">
      <c r="A225" t="s">
        <v>4275</v>
      </c>
      <c r="B225" s="39" t="str">
        <f>HYPERLINK('references-it1-studies'!$D16,'references-it1-studies'!$B16)</f>
        <v>Denial-of-Service Attack on IEC 61850-Based Substation Automation System: A Crucial Cyber Threat towards Smart Substation Pathways.</v>
      </c>
      <c r="C225">
        <f>'references-it1-studies'!$C16</f>
        <v>2021</v>
      </c>
      <c r="D225">
        <f>'references-it1-studies'!$H16</f>
        <v>0</v>
      </c>
    </row>
    <row r="226" spans="1:4">
      <c r="A226" t="s">
        <v>4275</v>
      </c>
      <c r="B226" s="39" t="str">
        <f>HYPERLINK('references-it1-studies'!$D17,'references-it1-studies'!$B17)</f>
        <v>Performance evaluation of the EtherCAT distributed clock algorithm</v>
      </c>
      <c r="C226">
        <f>'references-it1-studies'!$C17</f>
        <v>2010</v>
      </c>
      <c r="D226">
        <f>'references-it1-studies'!$H17</f>
        <v>6</v>
      </c>
    </row>
    <row r="227" spans="1:4">
      <c r="A227" t="s">
        <v>4275</v>
      </c>
      <c r="B227" s="39" t="str">
        <f>HYPERLINK('references-it1-studies'!$D18,'references-it1-studies'!$B18)</f>
        <v>A case study of data acquisition from field devices using OPC UA and MQTT</v>
      </c>
      <c r="C227">
        <f>'references-it1-studies'!$C18</f>
        <v>2017</v>
      </c>
      <c r="D227">
        <f>'references-it1-studies'!$H18</f>
        <v>4</v>
      </c>
    </row>
    <row r="228" spans="1:4">
      <c r="A228" t="s">
        <v>4275</v>
      </c>
      <c r="B228" s="39" t="str">
        <f>HYPERLINK('references-it1-studies'!$D19,'references-it1-studies'!$B19)</f>
        <v>Design of Industrial Edge Applications Based on IEC 61499 Microservices and Containers</v>
      </c>
      <c r="C228">
        <f>'references-it1-studies'!$C19</f>
        <v>2023</v>
      </c>
      <c r="D228">
        <f>'references-it1-studies'!$H19</f>
        <v>11</v>
      </c>
    </row>
    <row r="229" spans="1:4">
      <c r="A229" t="s">
        <v>4275</v>
      </c>
      <c r="B229" s="39" t="str">
        <f>HYPERLINK('references-it1-studies'!$D20,'references-it1-studies'!$B20)</f>
        <v>Safe controllers design for industrial automation systems</v>
      </c>
      <c r="C229">
        <f>'references-it1-studies'!$C20</f>
        <v>2011</v>
      </c>
      <c r="D229">
        <f>'references-it1-studies'!$H20</f>
        <v>19</v>
      </c>
    </row>
    <row r="230" spans="1:4">
      <c r="A230" t="s">
        <v>4275</v>
      </c>
      <c r="B230" s="39" t="str">
        <f>HYPERLINK('references-it1-studies'!$D21,'references-it1-studies'!$B21)</f>
        <v>Structured Defense Model Against DNP3-Based Critical Infrastructure Attacks</v>
      </c>
      <c r="C230">
        <f>'references-it1-studies'!$C21</f>
        <v>2024</v>
      </c>
      <c r="D230">
        <f>'references-it1-studies'!$H21</f>
        <v>19</v>
      </c>
    </row>
    <row r="231" spans="1:4">
      <c r="A231" t="s">
        <v>4275</v>
      </c>
      <c r="B231" s="39" t="str">
        <f>HYPERLINK('references-it1-studies'!$D22,'references-it1-studies'!$B22)</f>
        <v>Choice of effective messaging protocols for IoT systems: MQTT, CoAP, AMQP and HTTP</v>
      </c>
      <c r="C231">
        <f>'references-it1-studies'!$C22</f>
        <v>2017</v>
      </c>
      <c r="D231">
        <f>'references-it1-studies'!$H22</f>
        <v>7</v>
      </c>
    </row>
    <row r="232" spans="1:4">
      <c r="A232" t="s">
        <v>4275</v>
      </c>
      <c r="B232" s="39" t="str">
        <f>HYPERLINK('references-it1-studies'!$D23,'references-it1-studies'!$B23)</f>
        <v>Identification Overview of Industry 4.0 Essential Attributes and Resource-Limited Embedded Artificial-Intelligence-of-Things Devices for Small and Medium-Sized Enterprises</v>
      </c>
      <c r="C232">
        <f>'references-it1-studies'!$C23</f>
        <v>2022</v>
      </c>
      <c r="D232">
        <f>'references-it1-studies'!$H23</f>
        <v>1</v>
      </c>
    </row>
    <row r="233" spans="1:4">
      <c r="A233" t="s">
        <v>4275</v>
      </c>
      <c r="B233" s="39" t="str">
        <f>HYPERLINK('references-it1-studies'!$D24,'references-it1-studies'!$B24)</f>
        <v>Simulation and Analysis of Cyber-Attack on Modbus Protocol for Smart Grids in Virtual Environment</v>
      </c>
      <c r="C233">
        <f>'references-it1-studies'!$C24</f>
        <v>2023</v>
      </c>
      <c r="D233">
        <f>'references-it1-studies'!$H24</f>
        <v>0</v>
      </c>
    </row>
    <row r="234" spans="1:4">
      <c r="A234" t="s">
        <v>4275</v>
      </c>
      <c r="B234" s="39" t="str">
        <f>HYPERLINK('references-it1-studies'!$D25,'references-it1-studies'!$B25)</f>
        <v>A Novel Approach for Mitigation of Replay and Masquerade Attacks in Smartgrids Using IEC 61850 Standard</v>
      </c>
      <c r="C234">
        <f>'references-it1-studies'!$C25</f>
        <v>2019</v>
      </c>
      <c r="D234">
        <f>'references-it1-studies'!$H25</f>
        <v>10</v>
      </c>
    </row>
    <row r="235" spans="1:4">
      <c r="A235" t="s">
        <v>4275</v>
      </c>
      <c r="B235" s="39" t="str">
        <f>HYPERLINK('references-it1-studies'!$D26,'references-it1-studies'!$B26)</f>
        <v>A survey of intrusion detection techniques for cyber-physical systems</v>
      </c>
      <c r="C235">
        <f>'references-it1-studies'!$C26</f>
        <v>2014</v>
      </c>
      <c r="D235">
        <f>'references-it1-studies'!$H26</f>
        <v>0</v>
      </c>
    </row>
    <row r="236" spans="1:4">
      <c r="A236" t="s">
        <v>4275</v>
      </c>
      <c r="B236" s="39" t="str">
        <f>HYPERLINK('references-it1-studies'!$D27,'references-it1-studies'!$B27)</f>
        <v>MetroInd4.0&amp;amp;IoT - Performance Comparison Between OPC UA and MQTT for Data Exchange</v>
      </c>
      <c r="C236">
        <f>'references-it1-studies'!$C27</f>
        <v>2018</v>
      </c>
      <c r="D236">
        <f>'references-it1-studies'!$H27</f>
        <v>5</v>
      </c>
    </row>
    <row r="237" spans="1:4">
      <c r="A237" t="s">
        <v>4275</v>
      </c>
      <c r="B237" s="39" t="str">
        <f>HYPERLINK('references-it1-studies'!$D28,'references-it1-studies'!$B28)</f>
        <v>ETFA - TSN-Enabled OPC UA in Field Devices</v>
      </c>
      <c r="C237">
        <f>'references-it1-studies'!$C28</f>
        <v>2018</v>
      </c>
      <c r="D237">
        <f>'references-it1-studies'!$H28</f>
        <v>7</v>
      </c>
    </row>
    <row r="238" spans="1:4">
      <c r="A238" t="s">
        <v>4275</v>
      </c>
      <c r="B238" s="39" t="str">
        <f>HYPERLINK('references-it1-studies'!$D29,'references-it1-studies'!$B29)</f>
        <v>Practical Implementation of an OPC UA TSN Communication Architecture for a Manufacturing System</v>
      </c>
      <c r="C238">
        <f>'references-it1-studies'!$C29</f>
        <v>2020</v>
      </c>
      <c r="D238">
        <f>'references-it1-studies'!$H29</f>
        <v>12</v>
      </c>
    </row>
    <row r="239" spans="1:4">
      <c r="A239" t="s">
        <v>4275</v>
      </c>
      <c r="B239" s="39" t="str">
        <f>HYPERLINK('references-it1-studies'!$D30,'references-it1-studies'!$B30)</f>
        <v>LANMAN - Robustness of IoT Application Protocols to Network Impairments</v>
      </c>
      <c r="C239">
        <f>'references-it1-studies'!$C30</f>
        <v>2018</v>
      </c>
      <c r="D239">
        <f>'references-it1-studies'!$H30</f>
        <v>7</v>
      </c>
    </row>
    <row r="240" spans="1:4">
      <c r="A240" t="s">
        <v>4275</v>
      </c>
      <c r="B240" s="39" t="str">
        <f>HYPERLINK('references-it1-studies'!$D31,'references-it1-studies'!$B31)</f>
        <v>A survey of intrusion detection in Internet of Things</v>
      </c>
      <c r="C240">
        <f>'references-it1-studies'!$C31</f>
        <v>2017</v>
      </c>
      <c r="D240">
        <f>'references-it1-studies'!$H31</f>
        <v>13</v>
      </c>
    </row>
    <row r="241" spans="1:4">
      <c r="A241" t="s">
        <v>4275</v>
      </c>
      <c r="B241" s="39" t="str">
        <f>HYPERLINK('references-it1-studies'!$D32,'references-it1-studies'!$B32)</f>
        <v>Evaluating Docker for Lightweight Virtualization of Distributed and Time-Sensitive Applications in Industrial Automation</v>
      </c>
      <c r="C241">
        <f>'references-it1-studies'!$C32</f>
        <v>2021</v>
      </c>
      <c r="D241">
        <f>'references-it1-studies'!$H32</f>
        <v>11</v>
      </c>
    </row>
    <row r="242" spans="1:4">
      <c r="A242" t="s">
        <v>4275</v>
      </c>
      <c r="B242" s="39" t="str">
        <f>HYPERLINK('references-it1-studies'!$D33,'references-it1-studies'!$B33)</f>
        <v>Performance of the XMPP and the MQTT Protocols on IEC 61850-Based Micro Grid Communication Architecture</v>
      </c>
      <c r="C242">
        <f>'references-it1-studies'!$C33</f>
        <v>2021</v>
      </c>
      <c r="D242">
        <f>'references-it1-studies'!$H33</f>
        <v>0</v>
      </c>
    </row>
    <row r="243" spans="1:4">
      <c r="A243" t="s">
        <v>4275</v>
      </c>
      <c r="B243" s="39" t="str">
        <f>HYPERLINK('references-it1-studies'!$D34,'references-it1-studies'!$B34)</f>
        <v>A Performance Analysis of Internet of Things Networking Protocols: Evaluating MQTT, CoAP, OPC UA</v>
      </c>
      <c r="C243">
        <f>'references-it1-studies'!$C34</f>
        <v>2021</v>
      </c>
      <c r="D243">
        <f>'references-it1-studies'!$H34</f>
        <v>0</v>
      </c>
    </row>
    <row r="244" spans="1:4">
      <c r="A244" t="s">
        <v>4275</v>
      </c>
      <c r="B244" s="39" t="str">
        <f>HYPERLINK('references-it1-studies'!$D35,'references-it1-studies'!$B35)</f>
        <v>ETFA - A performance analysis of EtherCAT and PROFINET IRT</v>
      </c>
      <c r="C244">
        <f>'references-it1-studies'!$C35</f>
        <v>2008</v>
      </c>
      <c r="D244">
        <f>'references-it1-studies'!$H35</f>
        <v>8</v>
      </c>
    </row>
    <row r="245" spans="1:4">
      <c r="A245" t="s">
        <v>4275</v>
      </c>
      <c r="B245" s="39" t="str">
        <f>HYPERLINK('references-it1-studies'!$D36,'references-it1-studies'!$B36)</f>
        <v>Handbook of Big Data Technologies - SCADA Systems in the Cloud</v>
      </c>
      <c r="C245">
        <f>'references-it1-studies'!$C36</f>
        <v>2017</v>
      </c>
      <c r="D245">
        <f>'references-it1-studies'!$H36</f>
        <v>28</v>
      </c>
    </row>
    <row r="246" spans="1:4">
      <c r="A246" t="s">
        <v>4275</v>
      </c>
      <c r="B246" s="39" t="str">
        <f>HYPERLINK('references-it1-studies'!$D37,'references-it1-studies'!$B37)</f>
        <v>EnGINE: Developing a Flexible Research Infrastructure for Reliable and Scalable Intra-Vehicular TSN Networks</v>
      </c>
      <c r="C246">
        <f>'references-it1-studies'!$C37</f>
        <v>2021</v>
      </c>
      <c r="D246">
        <f>'references-it1-studies'!$H37</f>
        <v>0</v>
      </c>
    </row>
    <row r="247" spans="1:4">
      <c r="A247" t="s">
        <v>4275</v>
      </c>
      <c r="B247" s="39" t="str">
        <f>HYPERLINK('references-it1-studies'!$D38,'references-it1-studies'!$B38)</f>
        <v>An Effective Methodology for Measuring Software Resource Usage</v>
      </c>
      <c r="C247">
        <f>'references-it1-studies'!$C38</f>
        <v>2018</v>
      </c>
      <c r="D247">
        <f>'references-it1-studies'!$H38</f>
        <v>8</v>
      </c>
    </row>
    <row r="248" spans="1:4">
      <c r="A248" t="s">
        <v>4275</v>
      </c>
      <c r="B248" s="39" t="str">
        <f>HYPERLINK('references-it1-studies'!$D39,'references-it1-studies'!$B39)</f>
        <v>Manufacturing in the fourth industrial revolution: A positive prospect in Sustainable Manufacturing</v>
      </c>
      <c r="C248">
        <f>'references-it1-studies'!$C39</f>
        <v>2018</v>
      </c>
      <c r="D248">
        <f>'references-it1-studies'!$H39</f>
        <v>8</v>
      </c>
    </row>
    <row r="249" spans="1:4">
      <c r="A249" t="s">
        <v>4275</v>
      </c>
      <c r="B249" s="39" t="str">
        <f>HYPERLINK('references-it1-studies'!$D40,'references-it1-studies'!$B40)</f>
        <v>WF-IoT - OpenIoT: An open service framework for the Internet of Things</v>
      </c>
      <c r="C249">
        <f>'references-it1-studies'!$C40</f>
        <v>2014</v>
      </c>
      <c r="D249">
        <f>'references-it1-studies'!$H40</f>
        <v>5</v>
      </c>
    </row>
    <row r="250" spans="1:4">
      <c r="A250" t="s">
        <v>4275</v>
      </c>
      <c r="B250" s="39" t="str">
        <f>HYPERLINK('references-it1-studies'!$D41,'references-it1-studies'!$B41)</f>
        <v>On Cyber Attacks and Signature Based Intrusion Detection for Modbus Based Industrial Control Systems</v>
      </c>
      <c r="C250">
        <f>'references-it1-studies'!$C41</f>
        <v>2014</v>
      </c>
      <c r="D250">
        <f>'references-it1-studies'!$H41</f>
        <v>20</v>
      </c>
    </row>
    <row r="251" spans="1:4">
      <c r="A251" t="s">
        <v>4275</v>
      </c>
      <c r="B251" s="39" t="str">
        <f>HYPERLINK('references-it1-studies'!$D42,'references-it1-studies'!$B42)</f>
        <v>ETFA - Towards Transforming an Industrial Automation System from Monolithic to Microservices</v>
      </c>
      <c r="C251">
        <f>'references-it1-studies'!$C42</f>
        <v>2018</v>
      </c>
      <c r="D251">
        <f>'references-it1-studies'!$H42</f>
        <v>4</v>
      </c>
    </row>
    <row r="252" spans="1:4">
      <c r="A252" t="s">
        <v>4275</v>
      </c>
      <c r="B252" s="39" t="str">
        <f>HYPERLINK('references-it1-studies'!$D43,'references-it1-studies'!$B43)</f>
        <v>A Treatise on Electricity and Magnetism: Contents</v>
      </c>
      <c r="C252">
        <f>'references-it1-studies'!$C43</f>
        <v>2010</v>
      </c>
      <c r="D252">
        <f>'references-it1-studies'!$H43</f>
        <v>0</v>
      </c>
    </row>
    <row r="253" spans="1:4">
      <c r="A253" t="s">
        <v>4275</v>
      </c>
      <c r="B253" s="39" t="str">
        <f>HYPERLINK('references-it1-studies'!$D44,'references-it1-studies'!$B44)</f>
        <v>A Review of IEC 62351 Security Mechanisms for IEC 61850 Message Exchanges</v>
      </c>
      <c r="C253">
        <f>'references-it1-studies'!$C44</f>
        <v>2020</v>
      </c>
      <c r="D253">
        <f>'references-it1-studies'!$H44</f>
        <v>12</v>
      </c>
    </row>
    <row r="254" spans="1:4">
      <c r="A254" t="s">
        <v>4275</v>
      </c>
      <c r="B254" s="39" t="str">
        <f>HYPERLINK('references-it1-studies'!$D45,'references-it1-studies'!$B45)</f>
        <v>SmartGridComm - A Cost-efficient Software Testbed for Cyber-Physical Security in IEC 61850-based Substations</v>
      </c>
      <c r="C254">
        <f>'references-it1-studies'!$C45</f>
        <v>2018</v>
      </c>
      <c r="D254">
        <f>'references-it1-studies'!$H45</f>
        <v>0</v>
      </c>
    </row>
    <row r="255" spans="1:4">
      <c r="A255" t="s">
        <v>4275</v>
      </c>
      <c r="B255" s="39" t="str">
        <f>HYPERLINK('references-it1-studies'!$D46,'references-it1-studies'!$B46)</f>
        <v>Electron Spectroscopy Studies on Magneto-Optical Media and Plastic Substrate Interface</v>
      </c>
      <c r="C255">
        <f>'references-it1-studies'!$C46</f>
        <v>1987</v>
      </c>
      <c r="D255">
        <f>'references-it1-studies'!$H46</f>
        <v>2</v>
      </c>
    </row>
    <row r="256" spans="1:4">
      <c r="A256" t="s">
        <v>4275</v>
      </c>
      <c r="B256" s="39" t="str">
        <f>HYPERLINK('references-it1-studies'!$D47,'references-it1-studies'!$B47)</f>
        <v>QEST - How Fast Is MQTT</v>
      </c>
      <c r="C256">
        <f>'references-it1-studies'!$C47</f>
        <v>2018</v>
      </c>
      <c r="D256">
        <f>'references-it1-studies'!$H47</f>
        <v>17</v>
      </c>
    </row>
    <row r="257" spans="1:4">
      <c r="A257" t="s">
        <v>4275</v>
      </c>
      <c r="B257" s="39" t="str">
        <f>HYPERLINK('references-it1-studies'!$D48,'references-it1-studies'!$B48)</f>
        <v>ISGT Europe - Stealthy Injection Attacks Against IEC61850's GOOSE Messaging Service</v>
      </c>
      <c r="C257">
        <f>'references-it1-studies'!$C48</f>
        <v>2018</v>
      </c>
      <c r="D257">
        <f>'references-it1-studies'!$H48</f>
        <v>6</v>
      </c>
    </row>
    <row r="258" spans="1:4">
      <c r="A258" t="s">
        <v>4275</v>
      </c>
      <c r="B258" s="39" t="str">
        <f>HYPERLINK('references-it1-studies'!$D49,'references-it1-studies'!$B49)</f>
        <v>Internet of Things (IoT): Research, Simulators, and Testbeds</v>
      </c>
      <c r="C258">
        <f>'references-it1-studies'!$C49</f>
        <v>2018</v>
      </c>
      <c r="D258">
        <f>'references-it1-studies'!$H49</f>
        <v>11</v>
      </c>
    </row>
    <row r="259" spans="1:4">
      <c r="A259" t="s">
        <v>4275</v>
      </c>
      <c r="B259" s="39" t="str">
        <f>HYPERLINK('references-it1-studies'!$D50,'references-it1-studies'!$B50)</f>
        <v>SoK: A Reality Check for DNP3 Attacks 15 Years Later</v>
      </c>
      <c r="C259">
        <f>'references-it1-studies'!$C50</f>
        <v>2024</v>
      </c>
      <c r="D259">
        <f>'references-it1-studies'!$H50</f>
        <v>19</v>
      </c>
    </row>
    <row r="260" spans="1:4">
      <c r="A260" t="s">
        <v>4275</v>
      </c>
      <c r="B260" s="39" t="str">
        <f>HYPERLINK('references-it1-studies'!$D51,'references-it1-studies'!$B51)</f>
        <v>Avoiding the internet of insecure industrial things</v>
      </c>
      <c r="C260">
        <f>'references-it1-studies'!$C51</f>
        <v>2018</v>
      </c>
      <c r="D260">
        <f>'references-it1-studies'!$H51</f>
        <v>17</v>
      </c>
    </row>
    <row r="261" spans="1:4">
      <c r="A261" t="s">
        <v>4275</v>
      </c>
      <c r="B261" s="39" t="str">
        <f>HYPERLINK('references-it1-studies'!$D52,'references-it1-studies'!$B52)</f>
        <v>ES - Performance Evaluation of Application Layer Protocols for the Internet-of-Things</v>
      </c>
      <c r="C261">
        <f>'references-it1-studies'!$C52</f>
        <v>2018</v>
      </c>
      <c r="D261">
        <f>'references-it1-studies'!$H52</f>
        <v>8</v>
      </c>
    </row>
    <row r="262" spans="1:4">
      <c r="A262" t="s">
        <v>4275</v>
      </c>
      <c r="B262" s="39" t="str">
        <f>HYPERLINK('references-it1-studies'!$D53,'references-it1-studies'!$B53)</f>
        <v>Modeling network architecture and time behavior of Distributed Control Systems in industrial plant automation</v>
      </c>
      <c r="C262">
        <f>'references-it1-studies'!$C53</f>
        <v>2011</v>
      </c>
      <c r="D262">
        <f>'references-it1-studies'!$H53</f>
        <v>6</v>
      </c>
    </row>
    <row r="263" spans="1:4">
      <c r="A263" t="s">
        <v>4275</v>
      </c>
      <c r="B263" s="39" t="str">
        <f>HYPERLINK('references-it1-studies'!$D54,'references-it1-studies'!$B54)</f>
        <v>Verification of parallel operation of flywheel energy storage with high speed network operation</v>
      </c>
      <c r="C263">
        <f>'references-it1-studies'!$C54</f>
        <v>2013</v>
      </c>
      <c r="D263">
        <f>'references-it1-studies'!$H54</f>
        <v>6</v>
      </c>
    </row>
    <row r="264" spans="1:4">
      <c r="A264" t="s">
        <v>4275</v>
      </c>
      <c r="B264" s="39" t="str">
        <f>HYPERLINK('references-it1-studies'!$D55,'references-it1-studies'!$B55)</f>
        <v>ICPE - Bottleneck Identification and Performance Modeling of OPC UA Communication Models</v>
      </c>
      <c r="C264">
        <f>'references-it1-studies'!$C55</f>
        <v>2019</v>
      </c>
      <c r="D264">
        <f>'references-it1-studies'!$H55</f>
        <v>12</v>
      </c>
    </row>
    <row r="265" spans="1:4">
      <c r="A265" t="s">
        <v>4275</v>
      </c>
      <c r="B265" s="39" t="str">
        <f>HYPERLINK('references-it1-studies'!$D56,'references-it1-studies'!$B56)</f>
        <v>Information Centric Networking in the IoT: Experiments with NDN in the Wild</v>
      </c>
      <c r="C265">
        <f>'references-it1-studies'!$C56</f>
        <v>2014</v>
      </c>
      <c r="D265">
        <f>'references-it1-studies'!$H56</f>
        <v>10</v>
      </c>
    </row>
    <row r="266" spans="1:4">
      <c r="A266" t="s">
        <v>4275</v>
      </c>
      <c r="B266" s="39" t="str">
        <f>HYPERLINK('references-it1-studies'!$D57,'references-it1-studies'!$B57)</f>
        <v>ICIOT - IoTbed: A Generic Architecture for Testbed as a Service for Internet of Things-Based Systems</v>
      </c>
      <c r="C266">
        <f>'references-it1-studies'!$C57</f>
        <v>2017</v>
      </c>
      <c r="D266">
        <f>'references-it1-studies'!$H57</f>
        <v>8</v>
      </c>
    </row>
    <row r="267" spans="1:4">
      <c r="A267" t="s">
        <v>4275</v>
      </c>
      <c r="B267" s="39" t="str">
        <f>HYPERLINK('references-it1-studies'!$D58,'references-it1-studies'!$B58)</f>
        <v>Modeling and Analysis of Attacks and Counter Defense Mechanisms for Cyber Physical Systems</v>
      </c>
      <c r="C267">
        <f>'references-it1-studies'!$C58</f>
        <v>2016</v>
      </c>
      <c r="D267">
        <f>'references-it1-studies'!$H58</f>
        <v>9</v>
      </c>
    </row>
    <row r="268" spans="1:4">
      <c r="A268" t="s">
        <v>4275</v>
      </c>
      <c r="B268" s="39" t="str">
        <f>HYPERLINK('references-it1-studies'!$D59,'references-it1-studies'!$B59)</f>
        <v>HICSS - Design Principles for Industrie 4.0 Scenarios</v>
      </c>
      <c r="C268">
        <f>'references-it1-studies'!$C59</f>
        <v>2016</v>
      </c>
      <c r="D268">
        <f>'references-it1-studies'!$H59</f>
        <v>10</v>
      </c>
    </row>
    <row r="269" spans="1:4">
      <c r="A269" t="s">
        <v>4275</v>
      </c>
      <c r="B269" s="39" t="str">
        <f>HYPERLINK('references-it1-studies'!$D60,'references-it1-studies'!$B60)</f>
        <v>A Comparison of Lightweight Communication Protocols in Robotic Applications</v>
      </c>
      <c r="C269">
        <f>'references-it1-studies'!$C60</f>
        <v>2015</v>
      </c>
      <c r="D269">
        <f>'references-it1-studies'!$H60</f>
        <v>6</v>
      </c>
    </row>
    <row r="270" spans="1:4">
      <c r="A270" t="s">
        <v>4275</v>
      </c>
      <c r="B270" s="39" t="str">
        <f>HYPERLINK('references-it1-studies'!$D61,'references-it1-studies'!$B61)</f>
        <v>IoT-RFID Testbed for Supporting Traffic Light Control</v>
      </c>
      <c r="C270">
        <f>'references-it1-studies'!$C61</f>
        <v>2015</v>
      </c>
      <c r="D270">
        <f>'references-it1-studies'!$H61</f>
        <v>0</v>
      </c>
    </row>
    <row r="271" spans="1:4">
      <c r="A271" t="s">
        <v>4275</v>
      </c>
      <c r="B271" s="39" t="str">
        <f>HYPERLINK('references-it1-studies'!$D62,'references-it1-studies'!$B62)</f>
        <v>Vulnerability and Impact Analysis of the IEC 61850 GOOSE Protocol in the Smart Grid.</v>
      </c>
      <c r="C271">
        <f>'references-it1-studies'!$C62</f>
        <v>2021</v>
      </c>
      <c r="D271">
        <f>'references-it1-studies'!$H62</f>
        <v>0</v>
      </c>
    </row>
    <row r="272" spans="1:4">
      <c r="A272" t="s">
        <v>4275</v>
      </c>
      <c r="B272" s="39" t="str">
        <f>HYPERLINK('references-it1-studies'!$D63,'references-it1-studies'!$B63)</f>
        <v>Demonstration of 5G Solutions for Smart Energy Grids of the Future: A Perspective of the Smart5Grid Project</v>
      </c>
      <c r="C272">
        <f>'references-it1-studies'!$C63</f>
        <v>2022</v>
      </c>
      <c r="D272">
        <f>'references-it1-studies'!$H63</f>
        <v>1</v>
      </c>
    </row>
    <row r="273" spans="1:4">
      <c r="A273" t="s">
        <v>4275</v>
      </c>
      <c r="B273" s="39" t="str">
        <f>HYPERLINK('references-it1-studies'!$D64,'references-it1-studies'!$B64)</f>
        <v>INDIN - OPC UA integration for field devices</v>
      </c>
      <c r="C273">
        <f>'references-it1-studies'!$C64</f>
        <v>2017</v>
      </c>
      <c r="D273">
        <f>'references-it1-studies'!$H64</f>
        <v>6</v>
      </c>
    </row>
    <row r="274" spans="1:4">
      <c r="A274" t="s">
        <v>4275</v>
      </c>
      <c r="B274" s="39" t="str">
        <f>HYPERLINK('references-it1-studies'!$D65,'references-it1-studies'!$B65)</f>
        <v>Analysis of pneumatic parameters to identify leakages and faults on the demand side of a compressed air system</v>
      </c>
      <c r="C274">
        <f>'references-it1-studies'!$C65</f>
        <v>2022</v>
      </c>
      <c r="D274">
        <f>'references-it1-studies'!$H65</f>
        <v>1</v>
      </c>
    </row>
    <row r="275" spans="1:4">
      <c r="A275" t="s">
        <v>4275</v>
      </c>
      <c r="B275" s="39" t="str">
        <f>HYPERLINK('references-it1-studies'!$D66,'references-it1-studies'!$B66)</f>
        <v>Analysis of OPC UA performances</v>
      </c>
      <c r="C275">
        <f>'references-it1-studies'!$C66</f>
        <v>2013</v>
      </c>
      <c r="D275">
        <f>'references-it1-studies'!$H66</f>
        <v>13</v>
      </c>
    </row>
    <row r="276" spans="1:4">
      <c r="A276" t="s">
        <v>4275</v>
      </c>
      <c r="B276" s="39" t="str">
        <f>HYPERLINK('references-it1-studies'!$D67,'references-it1-studies'!$B67)</f>
        <v>The Constrained Application Protocol (CoAP)</v>
      </c>
      <c r="C276">
        <f>'references-it1-studies'!$C67</f>
        <v>2014</v>
      </c>
      <c r="D276">
        <f>'references-it1-studies'!$H67</f>
        <v>112</v>
      </c>
    </row>
    <row r="277" spans="1:4">
      <c r="A277" t="s">
        <v>4275</v>
      </c>
      <c r="B277" s="39" t="str">
        <f>HYPERLINK('references-it1-studies'!$D68,'references-it1-studies'!$B68)</f>
        <v>An integrated outlook of Cyber–Physical Systems for Industry 4.0: Topical practices, architecture, and applications</v>
      </c>
      <c r="C277">
        <f>'references-it1-studies'!$C68</f>
        <v>2023</v>
      </c>
      <c r="D277">
        <f>'references-it1-studies'!$H68</f>
        <v>1</v>
      </c>
    </row>
    <row r="278" spans="1:4">
      <c r="A278" t="s">
        <v>4275</v>
      </c>
      <c r="B278" s="39" t="str">
        <f>HYPERLINK('references-it1-studies'!$D69,'references-it1-studies'!$B69)</f>
        <v>Comparative analysis of the security of configuration protocols for industrial control devices</v>
      </c>
      <c r="C278">
        <f>'references-it1-studies'!$C69</f>
        <v>2017</v>
      </c>
      <c r="D278">
        <f>'references-it1-studies'!$H69</f>
        <v>12</v>
      </c>
    </row>
    <row r="279" spans="1:4">
      <c r="A279" t="s">
        <v>4275</v>
      </c>
      <c r="B279" s="39" t="str">
        <f>HYPERLINK('references-it1-studies'!$D70,'references-it1-studies'!$B70)</f>
        <v>Experimental Characterization of Asynchronous Notification Latency for Subscriptions in OPC UA</v>
      </c>
      <c r="C279">
        <f>'references-it1-studies'!$C70</f>
        <v>2021</v>
      </c>
      <c r="D279">
        <f>'references-it1-studies'!$H70</f>
        <v>8</v>
      </c>
    </row>
    <row r="280" spans="1:4">
      <c r="A280" t="s">
        <v>4275</v>
      </c>
      <c r="B280" s="39" t="str">
        <f>HYPERLINK('references-it1-studies'!$D71,'references-it1-studies'!$B71)</f>
        <v>Assessment of Different OPC UA Implementations for Industrial IoT-Based Measurement Applications</v>
      </c>
      <c r="C280">
        <f>'references-it1-studies'!$C71</f>
        <v>2021</v>
      </c>
      <c r="D280">
        <f>'references-it1-studies'!$H71</f>
        <v>11</v>
      </c>
    </row>
    <row r="281" spans="1:4">
      <c r="A281" t="s">
        <v>4275</v>
      </c>
      <c r="B281" s="39" t="str">
        <f>HYPERLINK('references-it1-studies'!$D72,'references-it1-studies'!$B72)</f>
        <v>ICIT - OPC UA versus ROS, DDS, and MQTT: Performance Evaluation of Industry 4.0 Protocols</v>
      </c>
      <c r="C281">
        <f>'references-it1-studies'!$C72</f>
        <v>2019</v>
      </c>
      <c r="D281">
        <f>'references-it1-studies'!$H72</f>
        <v>8</v>
      </c>
    </row>
    <row r="282" spans="1:4">
      <c r="A282" t="s">
        <v>4275</v>
      </c>
      <c r="B282" s="39" t="str">
        <f>HYPERLINK('references-it1-studies'!$D73,'references-it1-studies'!$B73)</f>
        <v>Cyber-physical systems architectures for industrial internet of things applications in Industry 4.0: A literature review</v>
      </c>
      <c r="C282">
        <f>'references-it1-studies'!$C73</f>
        <v>2021</v>
      </c>
      <c r="D282">
        <f>'references-it1-studies'!$H73</f>
        <v>17</v>
      </c>
    </row>
    <row r="283" spans="1:4">
      <c r="A283" t="s">
        <v>4275</v>
      </c>
      <c r="B283" s="39" t="str">
        <f>HYPERLINK('references-it1-studies'!$D74,'references-it1-studies'!$B74)</f>
        <v>NONLINEAR OPTIMAL EXCITATION CONTROL FOR MULTIMACHINE SYSTEMS</v>
      </c>
      <c r="C283">
        <f>'references-it1-studies'!$C74</f>
        <v>1989</v>
      </c>
      <c r="D283">
        <f>'references-it1-studies'!$H74</f>
        <v>6</v>
      </c>
    </row>
    <row r="284" spans="1:4">
      <c r="A284" t="s">
        <v>4275</v>
      </c>
      <c r="B284" s="39" t="str">
        <f>HYPERLINK('references-it1-studies'!$D75,'references-it1-studies'!$B75)</f>
        <v>The industrial internet of things (IIoT): An analysis framework</v>
      </c>
      <c r="C284">
        <f>'references-it1-studies'!$C75</f>
        <v>2018</v>
      </c>
      <c r="D284">
        <f>'references-it1-studies'!$H75</f>
        <v>12</v>
      </c>
    </row>
    <row r="285" spans="1:4">
      <c r="A285" t="s">
        <v>4275</v>
      </c>
      <c r="B285" s="39" t="str">
        <f>HYPERLINK('references-it1-studies'!$D76,'references-it1-studies'!$B76)</f>
        <v>Address resolution protocol spoofing attacks and security approaches: A survey</v>
      </c>
      <c r="C285">
        <f>'references-it1-studies'!$C76</f>
        <v>2018</v>
      </c>
      <c r="D285">
        <f>'references-it1-studies'!$H76</f>
        <v>0</v>
      </c>
    </row>
    <row r="286" spans="1:4">
      <c r="A286" t="s">
        <v>4275</v>
      </c>
      <c r="B286" s="39" t="str">
        <f>HYPERLINK('references-it1-studies'!$D77,'references-it1-studies'!$B77)</f>
        <v>A comparison of AMQP and MQTT protocols for Internet of Things</v>
      </c>
      <c r="C286">
        <f>'references-it1-studies'!$C77</f>
        <v>2019</v>
      </c>
      <c r="D286">
        <f>'references-it1-studies'!$H77</f>
        <v>6</v>
      </c>
    </row>
    <row r="287" spans="1:4">
      <c r="A287" t="s">
        <v>4275</v>
      </c>
      <c r="B287" s="39" t="str">
        <f>HYPERLINK('references-it1-studies'!$D78,'references-it1-studies'!$B78)</f>
        <v>End-to-End Framework for Identifying Vulnerabilities of Operational Technology Protocols and Their Implementations in Industrial IoT</v>
      </c>
      <c r="C287">
        <f>'references-it1-studies'!$C78</f>
        <v>2025</v>
      </c>
      <c r="D287">
        <f>'references-it1-studies'!$H78</f>
        <v>1</v>
      </c>
    </row>
    <row r="288" spans="1:4">
      <c r="A288" t="s">
        <v>4275</v>
      </c>
      <c r="B288" s="39" t="str">
        <f>HYPERLINK('references-it1-studies'!$D79,'references-it1-studies'!$B79)</f>
        <v>ASP-DAC - Security analysis on consumer and industrial IoT devices</v>
      </c>
      <c r="C288">
        <f>'references-it1-studies'!$C79</f>
        <v>2016</v>
      </c>
      <c r="D288">
        <f>'references-it1-studies'!$H79</f>
        <v>6</v>
      </c>
    </row>
    <row r="289" spans="1:4">
      <c r="A289" t="s">
        <v>4275</v>
      </c>
      <c r="B289" s="39" t="str">
        <f>HYPERLINK('references-it1-studies'!$D80,'references-it1-studies'!$B80)</f>
        <v>GLOBECOM Workshops - Exploiting the GOOSE protocol: A practical attack on cyber-infrastructure</v>
      </c>
      <c r="C289">
        <f>'references-it1-studies'!$C80</f>
        <v>2012</v>
      </c>
      <c r="D289">
        <f>'references-it1-studies'!$H80</f>
        <v>6</v>
      </c>
    </row>
    <row r="290" spans="1:4">
      <c r="A290" t="s">
        <v>4275</v>
      </c>
      <c r="B290" s="39" t="str">
        <f>HYPERLINK('references-it1-studies'!$D81,'references-it1-studies'!$B81)</f>
        <v>A Comprehensive Survey on Interoperability for IIoT: Taxonomy, Standards, and Future Directions</v>
      </c>
      <c r="C290">
        <f>'references-it1-studies'!$C81</f>
        <v>2021</v>
      </c>
      <c r="D290">
        <f>'references-it1-studies'!$H81</f>
        <v>35</v>
      </c>
    </row>
    <row r="291" spans="1:4">
      <c r="A291" t="s">
        <v>4275</v>
      </c>
      <c r="B291" s="39" t="str">
        <f>HYPERLINK('references-it1-studies'!$D82,'references-it1-studies'!$B82)</f>
        <v>Ubiquitous Sensing Intelligent Gateway for Power IoT based on IEC61850 Standard</v>
      </c>
      <c r="C291">
        <f>'references-it1-studies'!$C82</f>
        <v>2021</v>
      </c>
      <c r="D291">
        <f>'references-it1-studies'!$H82</f>
        <v>4</v>
      </c>
    </row>
    <row r="292" spans="1:4">
      <c r="A292" t="s">
        <v>4275</v>
      </c>
      <c r="B292" s="39" t="str">
        <f>HYPERLINK('references-it1-studies'!$D83,'references-it1-studies'!$B83)</f>
        <v>Real Time Ethernet networks evaluation using performance indicators</v>
      </c>
      <c r="C292">
        <f>'references-it1-studies'!$C83</f>
        <v>2009</v>
      </c>
      <c r="D292">
        <f>'references-it1-studies'!$H83</f>
        <v>8</v>
      </c>
    </row>
    <row r="293" spans="1:4">
      <c r="A293" t="s">
        <v>4275</v>
      </c>
      <c r="B293" s="39" t="str">
        <f>HYPERLINK('references-it1-studies'!$D84,'references-it1-studies'!$B84)</f>
        <v>Industrial Internet of Things: Challenges, Opportunities, and Directions</v>
      </c>
      <c r="C293">
        <f>'references-it1-studies'!$C84</f>
        <v>2018</v>
      </c>
      <c r="D293">
        <f>'references-it1-studies'!$H84</f>
        <v>11</v>
      </c>
    </row>
    <row r="294" spans="1:4">
      <c r="A294" t="s">
        <v>4275</v>
      </c>
      <c r="B294" s="39" t="str">
        <f>HYPERLINK('references-it1-studies'!$D85,'references-it1-studies'!$B85)</f>
        <v>URAI - An EtherCAT-based real-time motion control system in mobile robot application</v>
      </c>
      <c r="C294">
        <f>'references-it1-studies'!$C85</f>
        <v>2016</v>
      </c>
      <c r="D294">
        <f>'references-it1-studies'!$H85</f>
        <v>6</v>
      </c>
    </row>
    <row r="295" spans="1:4">
      <c r="A295" t="s">
        <v>4275</v>
      </c>
      <c r="B295" s="39" t="str">
        <f>HYPERLINK('references-it1-studies'!$D86,'references-it1-studies'!$B86)</f>
        <v>ETFA - Limits of increasing the performance of Industrial Ethernet protocols</v>
      </c>
      <c r="C295">
        <f>'references-it1-studies'!$C86</f>
        <v>2007</v>
      </c>
      <c r="D295">
        <f>'references-it1-studies'!$H86</f>
        <v>8</v>
      </c>
    </row>
    <row r="296" spans="1:4">
      <c r="A296" t="s">
        <v>4275</v>
      </c>
      <c r="B296" s="39" t="str">
        <f>HYPERLINK('references-it1-studies'!$D87,'references-it1-studies'!$B87)</f>
        <v>Assessment of Time Performance of Lightweight Virtualization for Edge Computing Applications</v>
      </c>
      <c r="C296">
        <f>'references-it1-studies'!$C87</f>
        <v>2023</v>
      </c>
      <c r="D296">
        <f>'references-it1-studies'!$H87</f>
        <v>4</v>
      </c>
    </row>
    <row r="297" spans="1:4">
      <c r="A297" t="s">
        <v>4275</v>
      </c>
      <c r="B297" s="39" t="str">
        <f>HYPERLINK('references-it1-studies'!$D88,'references-it1-studies'!$B88)</f>
        <v>Trustworthiness in Industrial IoT Systems Based on Artificial Intelligence</v>
      </c>
      <c r="C297">
        <f>'references-it1-studies'!$C88</f>
        <v>2021</v>
      </c>
      <c r="D297">
        <f>'references-it1-studies'!$H88</f>
        <v>9</v>
      </c>
    </row>
    <row r="298" spans="1:4">
      <c r="A298" t="s">
        <v>4275</v>
      </c>
      <c r="B298" s="39" t="str">
        <f>HYPERLINK('references-it1-studies'!$D89,'references-it1-studies'!$B89)</f>
        <v>Processes, Motivations, and Issues for Migrating to Microservices Architectures: An Empirical Investigation</v>
      </c>
      <c r="C298">
        <f>'references-it1-studies'!$C89</f>
        <v>2017</v>
      </c>
      <c r="D298">
        <f>'references-it1-studies'!$H89</f>
        <v>11</v>
      </c>
    </row>
    <row r="299" spans="1:4">
      <c r="A299" t="s">
        <v>4275</v>
      </c>
      <c r="B299" s="39" t="str">
        <f>HYPERLINK('references-it1-studies'!$D90,'references-it1-studies'!$B90)</f>
        <v>Interoperability in Smart Manufacturing: Research Challenges</v>
      </c>
      <c r="C299">
        <f>'references-it1-studies'!$C90</f>
        <v>2019</v>
      </c>
      <c r="D299">
        <f>'references-it1-studies'!$H90</f>
        <v>0</v>
      </c>
    </row>
    <row r="300" spans="1:4">
      <c r="A300" t="s">
        <v>4275</v>
      </c>
      <c r="B300" s="39" t="str">
        <f>HYPERLINK('references-it1-studies'!$D91,'references-it1-studies'!$B91)</f>
        <v>SIGCOMM - The QUIC Transport Protocol: Design and Internet-Scale Deployment</v>
      </c>
      <c r="C300">
        <f>'references-it1-studies'!$C91</f>
        <v>2017</v>
      </c>
      <c r="D300">
        <f>'references-it1-studies'!$H91</f>
        <v>14</v>
      </c>
    </row>
    <row r="301" spans="1:4">
      <c r="A301" t="s">
        <v>4275</v>
      </c>
      <c r="B301" s="39" t="str">
        <f>HYPERLINK('references-it1-studies'!$D92,'references-it1-studies'!$B92)</f>
        <v>INDIN - TSN Traffic Shaping for OPC UA Field Devices</v>
      </c>
      <c r="C301">
        <f>'references-it1-studies'!$C92</f>
        <v>2019</v>
      </c>
      <c r="D301">
        <f>'references-it1-studies'!$H92</f>
        <v>6</v>
      </c>
    </row>
    <row r="302" spans="1:4">
      <c r="A302" t="s">
        <v>4275</v>
      </c>
      <c r="B302" s="39" t="str">
        <f>HYPERLINK('references-it1-studies'!$D93,'references-it1-studies'!$B93)</f>
        <v>Synchronize Your Watches: Part II: Special-Purpose Solutions for Distributed Real-Time Control</v>
      </c>
      <c r="C302">
        <f>'references-it1-studies'!$C93</f>
        <v>2013</v>
      </c>
      <c r="D302">
        <f>'references-it1-studies'!$H93</f>
        <v>13</v>
      </c>
    </row>
    <row r="303" spans="1:4">
      <c r="A303" t="s">
        <v>4275</v>
      </c>
      <c r="B303" s="39" t="str">
        <f>HYPERLINK('references-it1-studies'!$D94,'references-it1-studies'!$B94)</f>
        <v>Information-Centric Networking, A natural design for IoT applications?</v>
      </c>
      <c r="C303">
        <f>'references-it1-studies'!$C94</f>
        <v>2017</v>
      </c>
      <c r="D303">
        <f>'references-it1-studies'!$H94</f>
        <v>0</v>
      </c>
    </row>
    <row r="304" spans="1:4">
      <c r="A304" t="s">
        <v>4275</v>
      </c>
      <c r="B304" s="39" t="str">
        <f>HYPERLINK('references-it1-studies'!$D95,'references-it1-studies'!$B95)</f>
        <v>Trends in Smart Grid Cyber-Physical Security: Components, Threats, and Solutions</v>
      </c>
      <c r="C304">
        <f>'references-it1-studies'!$C95</f>
        <v>2024</v>
      </c>
      <c r="D304">
        <f>'references-it1-studies'!$H95</f>
        <v>28</v>
      </c>
    </row>
    <row r="305" spans="1:4">
      <c r="A305" t="s">
        <v>4275</v>
      </c>
      <c r="B305" s="39" t="str">
        <f>HYPERLINK('references-it1-studies'!$D96,'references-it1-studies'!$B96)</f>
        <v>Virtualizing Programmable Logic Controllers: Toward a Convergent Approach</v>
      </c>
      <c r="C305">
        <f>'references-it1-studies'!$C96</f>
        <v>2016</v>
      </c>
      <c r="D305">
        <f>'references-it1-studies'!$H96</f>
        <v>4</v>
      </c>
    </row>
    <row r="306" spans="1:4">
      <c r="A306" t="s">
        <v>4275</v>
      </c>
      <c r="B306" s="39" t="str">
        <f>HYPERLINK('references-it1-studies'!$D97,'references-it1-studies'!$B97)</f>
        <v>INDIN - Scalability of OPC-UA down to the chip level enables “Internet of Things”</v>
      </c>
      <c r="C306">
        <f>'references-it1-studies'!$C97</f>
        <v>2013</v>
      </c>
      <c r="D306">
        <f>'references-it1-studies'!$H97</f>
        <v>6</v>
      </c>
    </row>
    <row r="307" spans="1:4">
      <c r="A307" t="s">
        <v>4275</v>
      </c>
      <c r="B307" s="39" t="str">
        <f>HYPERLINK('references-it1-studies'!$D98,'references-it1-studies'!$B98)</f>
        <v>ICNC - Analysis of the multi-finger dynamics for robot hand system based on EtherCAT</v>
      </c>
      <c r="C307">
        <f>'references-it1-studies'!$C98</f>
        <v>2014</v>
      </c>
      <c r="D307">
        <f>'references-it1-studies'!$H98</f>
        <v>5</v>
      </c>
    </row>
    <row r="308" spans="1:4">
      <c r="A308" t="s">
        <v>4275</v>
      </c>
      <c r="B308" s="39" t="str">
        <f>HYPERLINK('references-it1-studies'!$D99,'references-it1-studies'!$B99)</f>
        <v>SmartCity - Moving SCADA Systems to IaaS Clouds</v>
      </c>
      <c r="C308">
        <f>'references-it1-studies'!$C99</f>
        <v>2015</v>
      </c>
      <c r="D308">
        <f>'references-it1-studies'!$H99</f>
        <v>7</v>
      </c>
    </row>
    <row r="309" spans="1:4">
      <c r="A309" t="s">
        <v>4275</v>
      </c>
      <c r="B309" s="39" t="str">
        <f>HYPERLINK('references-it1-studies'!$D100,'references-it1-studies'!$B100)</f>
        <v>WFCS - Design of communication systems for networked control system running on PROFINET</v>
      </c>
      <c r="C309">
        <f>'references-it1-studies'!$C100</f>
        <v>2014</v>
      </c>
      <c r="D309">
        <f>'references-it1-studies'!$H100</f>
        <v>8</v>
      </c>
    </row>
    <row r="310" spans="1:4">
      <c r="A310" t="s">
        <v>4275</v>
      </c>
      <c r="B310" s="39" t="str">
        <f>HYPERLINK('references-it1-studies'!$D101,'references-it1-studies'!$B101)</f>
        <v>CCS - Principled Unearthing of TCP Side Channel Vulnerabilities</v>
      </c>
      <c r="C310">
        <f>'references-it1-studies'!$C101</f>
        <v>2019</v>
      </c>
      <c r="D310">
        <f>'references-it1-studies'!$H101</f>
        <v>14</v>
      </c>
    </row>
    <row r="311" spans="1:4">
      <c r="A311" t="s">
        <v>4275</v>
      </c>
      <c r="B311" s="39" t="str">
        <f>HYPERLINK('references-it1-studies'!$D102,'references-it1-studies'!$B102)</f>
        <v>Communication Systems for Industry 4.0 and the IIoT</v>
      </c>
      <c r="C311">
        <f>'references-it1-studies'!$C102</f>
        <v>2018</v>
      </c>
      <c r="D311">
        <f>'references-it1-studies'!$H102</f>
        <v>6</v>
      </c>
    </row>
    <row r="312" spans="1:4">
      <c r="A312" t="s">
        <v>4275</v>
      </c>
      <c r="B312" s="39" t="str">
        <f>HYPERLINK('references-it1-studies'!$D104,'references-it1-studies'!$B104)</f>
        <v>ICN - NDN, CoAP, and MQTT: a comparative measurement study in the IoT</v>
      </c>
      <c r="C312">
        <f>'references-it1-studies'!$C104</f>
        <v>2018</v>
      </c>
      <c r="D312">
        <f>'references-it1-studies'!$H104</f>
        <v>13</v>
      </c>
    </row>
    <row r="313" spans="1:4">
      <c r="A313" t="s">
        <v>4275</v>
      </c>
      <c r="B313" s="39" t="str">
        <f>HYPERLINK('references-it1-studies'!$D105,'references-it1-studies'!$B105)</f>
        <v>Energy Management Systems</v>
      </c>
      <c r="C313">
        <f>'references-it1-studies'!$C105</f>
        <v>1991</v>
      </c>
      <c r="D313">
        <f>'references-it1-studies'!$H105</f>
        <v>0</v>
      </c>
    </row>
    <row r="314" spans="1:4">
      <c r="A314" t="s">
        <v>4275</v>
      </c>
      <c r="B314" s="39" t="str">
        <f>HYPERLINK('references-it1-studies'!$D106,'references-it1-studies'!$B106)</f>
        <v>Integration of WirelessHART and ISA100.11a field devices into condition monitoring system for starting IIoT implementation</v>
      </c>
      <c r="C314">
        <f>'references-it1-studies'!$C106</f>
        <v>2017</v>
      </c>
      <c r="D314">
        <f>'references-it1-studies'!$H106</f>
        <v>6</v>
      </c>
    </row>
    <row r="315" spans="1:4">
      <c r="A315" t="s">
        <v>4275</v>
      </c>
      <c r="B315" s="39" t="str">
        <f>HYPERLINK('references-it1-studies'!$D107,'references-it1-studies'!$B107)</f>
        <v>JOSE: An Open Testbed for Field Trials of Large-scale IoT Services</v>
      </c>
      <c r="C315">
        <f>'references-it1-studies'!$C107</f>
        <v>2016</v>
      </c>
      <c r="D315">
        <f>'references-it1-studies'!$H107</f>
        <v>9</v>
      </c>
    </row>
    <row r="316" spans="1:4">
      <c r="A316" t="s">
        <v>4275</v>
      </c>
      <c r="B316" s="39" t="str">
        <f>HYPERLINK('references-it1-studies'!$D108,'references-it1-studies'!$B108)</f>
        <v>Open-Source Implementierung von OPC UA PubSub für echtzeitfähige Kommunikation mit Time-Sensitive Networking</v>
      </c>
      <c r="C316">
        <f>'references-it1-studies'!$C108</f>
        <v>2020</v>
      </c>
      <c r="D316">
        <f>'references-it1-studies'!$H108</f>
        <v>10</v>
      </c>
    </row>
    <row r="317" spans="1:4">
      <c r="A317" t="s">
        <v>4275</v>
      </c>
      <c r="B317" s="39" t="str">
        <f>HYPERLINK('references-it1-studies'!$D109,'references-it1-studies'!$B109)</f>
        <v>Communication Architecture of the IEC 61850-based Micro Grid System</v>
      </c>
      <c r="C317">
        <f>'references-it1-studies'!$C109</f>
        <v>2011</v>
      </c>
      <c r="D317">
        <f>'references-it1-studies'!$H109</f>
        <v>8</v>
      </c>
    </row>
    <row r="318" spans="1:4">
      <c r="A318" t="s">
        <v>4275</v>
      </c>
      <c r="B318" s="39" t="str">
        <f>HYPERLINK('references-it1-studies'!$D110,'references-it1-studies'!$B110)</f>
        <v>A performance analysis of three potential control network for monitoring and control in Power Electronics converter</v>
      </c>
      <c r="C318">
        <f>'references-it1-studies'!$C110</f>
        <v>2012</v>
      </c>
      <c r="D318">
        <f>'references-it1-studies'!$H110</f>
        <v>6</v>
      </c>
    </row>
    <row r="319" spans="1:4">
      <c r="A319" t="s">
        <v>4275</v>
      </c>
      <c r="B319" s="39" t="str">
        <f>HYPERLINK('references-it1-studies'!$D111,'references-it1-studies'!$B111)</f>
        <v>IECON - Network delay analysis of EtherCAT and PROFINET IRT protocols</v>
      </c>
      <c r="C319">
        <f>'references-it1-studies'!$C111</f>
        <v>2014</v>
      </c>
      <c r="D319">
        <f>'references-it1-studies'!$H111</f>
        <v>7</v>
      </c>
    </row>
    <row r="320" spans="1:4">
      <c r="A320" t="s">
        <v>4275</v>
      </c>
      <c r="B320" s="39" t="str">
        <f>HYPERLINK('references-it1-studies'!$D112,'references-it1-studies'!$B112)</f>
        <v>Concept and engineering development of cyber physical production systems: a systematic literature review</v>
      </c>
      <c r="C320">
        <f>'references-it1-studies'!$C112</f>
        <v>2020</v>
      </c>
      <c r="D320">
        <f>'references-it1-studies'!$H112</f>
        <v>19</v>
      </c>
    </row>
    <row r="321" spans="1:4">
      <c r="A321" t="s">
        <v>4275</v>
      </c>
      <c r="B321" s="39" t="str">
        <f>HYPERLINK('references-it1-studies'!$D113,'references-it1-studies'!$B113)</f>
        <v>Real-Time Hardware-in-the-Loop Testing of IEC 61850 GOOSE-Based Logically Selective Adaptive Protection of AC Microgrid</v>
      </c>
      <c r="C321">
        <f>'references-it1-studies'!$C113</f>
        <v>2021</v>
      </c>
      <c r="D321">
        <f>'references-it1-studies'!$H113</f>
        <v>28</v>
      </c>
    </row>
    <row r="322" spans="1:4">
      <c r="A322" t="s">
        <v>4275</v>
      </c>
      <c r="B322" s="39" t="str">
        <f>HYPERLINK('references-it1-studies'!$D114,'references-it1-studies'!$B114)</f>
        <v>Container-based Virtualization for Real-time Industrial Systems—A Systematic Review</v>
      </c>
      <c r="C322">
        <f>'references-it1-studies'!$C114</f>
        <v>2023</v>
      </c>
      <c r="D322">
        <f>'references-it1-studies'!$H114</f>
        <v>38</v>
      </c>
    </row>
    <row r="323" spans="1:4">
      <c r="A323" t="s">
        <v>4275</v>
      </c>
      <c r="B323" s="39" t="str">
        <f>HYPERLINK('references-it1-studies'!$D115,'references-it1-studies'!$B115)</f>
        <v>Industry 4.0 for SMEs</v>
      </c>
      <c r="C323">
        <f>'references-it1-studies'!$C115</f>
        <v>2020</v>
      </c>
      <c r="D323">
        <f>'references-it1-studies'!$H115</f>
        <v>0</v>
      </c>
    </row>
    <row r="324" spans="1:4">
      <c r="A324" t="s">
        <v>4275</v>
      </c>
      <c r="B324" s="39" t="str">
        <f>HYPERLINK('references-it1-studies'!$D116,'references-it1-studies'!$B116)</f>
        <v>ICIT - Real-time control of a force feedback haptic interface via EtherCAT fieldbus</v>
      </c>
      <c r="C324">
        <f>'references-it1-studies'!$C116</f>
        <v>2015</v>
      </c>
      <c r="D324">
        <f>'references-it1-studies'!$H116</f>
        <v>6</v>
      </c>
    </row>
    <row r="325" spans="1:4">
      <c r="A325" t="s">
        <v>4275</v>
      </c>
      <c r="B325" s="39" t="str">
        <f>HYPERLINK('references-it1-studies'!$D117,'references-it1-studies'!$B117)</f>
        <v>An anomaly-based approach for DDoS attack detection in cloud environment</v>
      </c>
      <c r="C325">
        <f>'references-it1-studies'!$C117</f>
        <v>2018</v>
      </c>
      <c r="D325">
        <f>'references-it1-studies'!$H117</f>
        <v>13</v>
      </c>
    </row>
    <row r="326" spans="1:4">
      <c r="A326" t="s">
        <v>4275</v>
      </c>
      <c r="B326" s="39" t="str">
        <f>HYPERLINK('references-it1-studies'!$D118,'references-it1-studies'!$B118)</f>
        <v>ICETE (2) - Side Channel Attacks over Encrypted TCP/IP Modbus Reveal Functionality Leaks.</v>
      </c>
      <c r="C326">
        <f>'references-it1-studies'!$C118</f>
        <v>2018</v>
      </c>
      <c r="D326">
        <f>'references-it1-studies'!$H118</f>
        <v>11</v>
      </c>
    </row>
    <row r="327" spans="1:4">
      <c r="A327" t="s">
        <v>4275</v>
      </c>
      <c r="B327" s="39" t="str">
        <f>HYPERLINK('references-it1-studies'!$D119,'references-it1-studies'!$B119)</f>
        <v>Communication and Control of an Assembly, Disassembly and Repair Flexible Manufacturing Technology on a Mechatronics Line Assisted by an Autonomous Robotic System</v>
      </c>
      <c r="C327">
        <f>'references-it1-studies'!$C119</f>
        <v>2022</v>
      </c>
      <c r="D327">
        <f>'references-it1-studies'!$H119</f>
        <v>1</v>
      </c>
    </row>
    <row r="328" spans="1:4">
      <c r="A328" t="s">
        <v>4275</v>
      </c>
      <c r="B328" s="39" t="str">
        <f>HYPERLINK('references-it1-studies'!$D120,'references-it1-studies'!$B120)</f>
        <v>ICC - QoS-FS: A new forwarding strategy with QoS for routing in Named Data Networking</v>
      </c>
      <c r="C328">
        <f>'references-it1-studies'!$C120</f>
        <v>2016</v>
      </c>
      <c r="D328">
        <f>'references-it1-studies'!$H120</f>
        <v>7</v>
      </c>
    </row>
    <row r="329" spans="1:4">
      <c r="A329" t="s">
        <v>4275</v>
      </c>
      <c r="B329" s="39" t="str">
        <f>HYPERLINK('references-it1-studies'!$D121,'references-it1-studies'!$B121)</f>
        <v>Critical Infrastructure Protection VIII - Critical Infrastructure Protection VIII</v>
      </c>
      <c r="C329">
        <f>'references-it1-studies'!$C121</f>
        <v>2014</v>
      </c>
      <c r="D329">
        <f>'references-it1-studies'!$H121</f>
        <v>0</v>
      </c>
    </row>
    <row r="330" spans="1:4">
      <c r="A330" t="s">
        <v>4275</v>
      </c>
      <c r="B330" s="39" t="str">
        <f>HYPERLINK('references-it1-studies'!$D122,'references-it1-studies'!$B122)</f>
        <v>ETFA - Open Source OPC UA PubSub Over TSN for Realtime Industrial Communication</v>
      </c>
      <c r="C330">
        <f>'references-it1-studies'!$C122</f>
        <v>2018</v>
      </c>
      <c r="D330">
        <f>'references-it1-studies'!$H122</f>
        <v>4</v>
      </c>
    </row>
    <row r="331" spans="1:4">
      <c r="A331" t="s">
        <v>4275</v>
      </c>
      <c r="B331" s="39" t="str">
        <f>HYPERLINK('references-it1-studies'!$D123,'references-it1-studies'!$B123)</f>
        <v>ICIA - Experimental investigation of the packet loss rate of wireless industrial networks in real industrial environments</v>
      </c>
      <c r="C331">
        <f>'references-it1-studies'!$C123</f>
        <v>2015</v>
      </c>
      <c r="D331">
        <f>'references-it1-studies'!$H123</f>
        <v>6</v>
      </c>
    </row>
    <row r="332" spans="1:4">
      <c r="A332" t="s">
        <v>4275</v>
      </c>
      <c r="B332" s="39" t="str">
        <f>HYPERLINK('references-it1-studies'!$D124,'references-it1-studies'!$B124)</f>
        <v>I2MTC - Assessment of Different OPC UA Industrial IoT solutions for Distributed Measurement Applications</v>
      </c>
      <c r="C332">
        <f>'references-it1-studies'!$C124</f>
        <v>2020</v>
      </c>
      <c r="D332">
        <f>'references-it1-studies'!$H124</f>
        <v>6</v>
      </c>
    </row>
    <row r="333" spans="1:4">
      <c r="A333" t="s">
        <v>4275</v>
      </c>
      <c r="B333" s="39" t="str">
        <f>HYPERLINK('references-it1-studies'!$D125,'references-it1-studies'!$B125)</f>
        <v>Toward a Holistic Delay Analysis of EtherCAT Synchronized Control Processes</v>
      </c>
      <c r="C333">
        <f>'references-it1-studies'!$C125</f>
        <v>2013</v>
      </c>
      <c r="D333">
        <f>'references-it1-studies'!$H125</f>
        <v>14</v>
      </c>
    </row>
    <row r="334" spans="1:4">
      <c r="A334" t="s">
        <v>4275</v>
      </c>
      <c r="B334" s="39" t="str">
        <f>HYPERLINK('references-it1-studies'!$D126,'references-it1-studies'!$B126)</f>
        <v>ICIA - EtherCAT based robot modular joint controller</v>
      </c>
      <c r="C334">
        <f>'references-it1-studies'!$C126</f>
        <v>2015</v>
      </c>
      <c r="D334">
        <f>'references-it1-studies'!$H126</f>
        <v>6</v>
      </c>
    </row>
    <row r="335" spans="1:4">
      <c r="A335" t="s">
        <v>4275</v>
      </c>
      <c r="B335" s="39" t="str">
        <f>HYPERLINK('references-it1-studies'!$D127,'references-it1-studies'!$B127)</f>
        <v>Advanced Message Queuing Protocol</v>
      </c>
      <c r="C335">
        <f>'references-it1-studies'!$C127</f>
        <v>2006</v>
      </c>
      <c r="D335">
        <f>'references-it1-studies'!$H127</f>
        <v>3</v>
      </c>
    </row>
    <row r="336" spans="1:4">
      <c r="A336" t="s">
        <v>4275</v>
      </c>
      <c r="B336" s="39" t="str">
        <f>HYPERLINK('references-it1-studies'!$D128,'references-it1-studies'!$B128)</f>
        <v>Analysis and application of Wireshark in TCP/IP protocol teaching</v>
      </c>
      <c r="C336">
        <f>'references-it1-studies'!$C128</f>
        <v>2010</v>
      </c>
      <c r="D336">
        <f>'references-it1-studies'!$H128</f>
        <v>4</v>
      </c>
    </row>
    <row r="337" spans="1:4">
      <c r="A337" t="s">
        <v>4275</v>
      </c>
      <c r="B337" s="39" t="str">
        <f>HYPERLINK('references-it1-studies'!$D129,'references-it1-studies'!$B129)</f>
        <v>Industrial Automation using IoT with Raspberry Pi</v>
      </c>
      <c r="C337">
        <f>'references-it1-studies'!$C129</f>
        <v>2017</v>
      </c>
      <c r="D337">
        <f>'references-it1-studies'!$H129</f>
        <v>5</v>
      </c>
    </row>
    <row r="338" spans="1:4">
      <c r="A338" t="s">
        <v>4275</v>
      </c>
      <c r="B338" s="39" t="str">
        <f>HYPERLINK('references-it1-studies'!$D130,'references-it1-studies'!$B130)</f>
        <v>ISIE - Identifying vulnerabilities in smart gric communication networks of electrical substations using GEESE 2.0</v>
      </c>
      <c r="C338">
        <f>'references-it1-studies'!$C130</f>
        <v>2017</v>
      </c>
      <c r="D338">
        <f>'references-it1-studies'!$H130</f>
        <v>6</v>
      </c>
    </row>
    <row r="339" spans="1:4">
      <c r="A339" t="s">
        <v>4275</v>
      </c>
      <c r="B339" s="39" t="str">
        <f>HYPERLINK('references-it1-studies'!$D131,'references-it1-studies'!$B131)</f>
        <v>A Comparative Evaluation of AMQP, MQTT and HTTP Protocols Using Real-Time Public Smart City Data</v>
      </c>
      <c r="C339">
        <f>'references-it1-studies'!$C131</f>
        <v>2021</v>
      </c>
      <c r="D339">
        <f>'references-it1-studies'!$H131</f>
        <v>6</v>
      </c>
    </row>
    <row r="340" spans="1:4">
      <c r="A340" t="s">
        <v>4275</v>
      </c>
      <c r="B340" s="39" t="str">
        <f>HYPERLINK('references-it1-studies'!$D132,'references-it1-studies'!$B132)</f>
        <v>An Overview on Push-Based Communication Models for Information-Centric Networking</v>
      </c>
      <c r="C340">
        <f>'references-it1-studies'!$C132</f>
        <v>2019</v>
      </c>
      <c r="D340">
        <f>'references-it1-studies'!$H132</f>
        <v>0</v>
      </c>
    </row>
    <row r="341" spans="1:4">
      <c r="A341" t="s">
        <v>4275</v>
      </c>
      <c r="B341" s="39" t="str">
        <f>HYPERLINK('references-it1-studies'!$D133,'references-it1-studies'!$B133)</f>
        <v>Vulnerability Identification of Operational Technology Protocol Specifications Through Formal Modeling</v>
      </c>
      <c r="C341">
        <f>'references-it1-studies'!$C133</f>
        <v>2023</v>
      </c>
      <c r="D341">
        <f>'references-it1-studies'!$H133</f>
        <v>6</v>
      </c>
    </row>
    <row r="342" spans="1:4">
      <c r="A342" t="s">
        <v>4275</v>
      </c>
      <c r="B342" s="39" t="str">
        <f>HYPERLINK('references-it1-studies'!$D134,'references-it1-studies'!$B134)</f>
        <v>Network Architecture for IEC61850-90-5 Communication: Case Study of Evaluating R-GOOSE over 5G for Communication-Based Protection</v>
      </c>
      <c r="C342">
        <f>'references-it1-studies'!$C134</f>
        <v>2022</v>
      </c>
      <c r="D342">
        <f>'references-it1-studies'!$H134</f>
        <v>1</v>
      </c>
    </row>
    <row r="343" spans="1:4">
      <c r="A343" t="s">
        <v>4275</v>
      </c>
      <c r="B343" s="39" t="str">
        <f>HYPERLINK('references-it1-studies'!$D135,'references-it1-studies'!$B135)</f>
        <v>ETFA - EtherCAT-enabled next generation Baggage Handling Systems</v>
      </c>
      <c r="C343">
        <f>'references-it1-studies'!$C135</f>
        <v>2013</v>
      </c>
      <c r="D343">
        <f>'references-it1-studies'!$H135</f>
        <v>6</v>
      </c>
    </row>
    <row r="344" spans="1:4">
      <c r="A344" t="s">
        <v>4275</v>
      </c>
      <c r="B344" s="39" t="str">
        <f>HYPERLINK('references-it1-studies'!$D136,'references-it1-studies'!$B136)</f>
        <v>The development of a novel servo motor controller based on EtherCAT and FPGA</v>
      </c>
      <c r="C344">
        <f>'references-it1-studies'!$C136</f>
        <v>2016</v>
      </c>
      <c r="D344">
        <f>'references-it1-studies'!$H136</f>
        <v>6</v>
      </c>
    </row>
    <row r="345" spans="1:4">
      <c r="A345" t="s">
        <v>4275</v>
      </c>
      <c r="B345" s="39" t="str">
        <f>HYPERLINK('references-it1-studies'!$D137,'references-it1-studies'!$B137)</f>
        <v>On the Use of LoRaWAN and Cloud Platforms for Diversification of Mobility-as-a-Service Infrastructure in Smart City Scenarios</v>
      </c>
      <c r="C345">
        <f>'references-it1-studies'!$C137</f>
        <v>2022</v>
      </c>
      <c r="D345">
        <f>'references-it1-studies'!$H137</f>
        <v>9</v>
      </c>
    </row>
    <row r="346" spans="1:4">
      <c r="A346" t="s">
        <v>4275</v>
      </c>
      <c r="B346" s="39" t="str">
        <f>HYPERLINK('references-it1-studies'!$D138,'references-it1-studies'!$B138)</f>
        <v>Integration of IEC 61850 SCL and OPC UA to improve interoperability in Smart Grid environment</v>
      </c>
      <c r="C346">
        <f>'references-it1-studies'!$C138</f>
        <v>2016</v>
      </c>
      <c r="D346">
        <f>'references-it1-studies'!$H138</f>
        <v>23</v>
      </c>
    </row>
    <row r="347" spans="1:4">
      <c r="A347" t="s">
        <v>4275</v>
      </c>
      <c r="B347" s="39" t="str">
        <f>HYPERLINK('references-it1-studies'!$D139,'references-it1-studies'!$B139)</f>
        <v>When Operation Technology Meets Information Technology: Challenges and Opportunities</v>
      </c>
      <c r="C347">
        <f>'references-it1-studies'!$C139</f>
        <v>2023</v>
      </c>
      <c r="D347">
        <f>'references-it1-studies'!$H139</f>
        <v>1</v>
      </c>
    </row>
    <row r="348" spans="1:4">
      <c r="A348" t="s">
        <v>4275</v>
      </c>
      <c r="B348" s="39" t="str">
        <f>HYPERLINK('references-it1-studies'!$D140,'references-it1-studies'!$B140)</f>
        <v>End System TSN Enablement Using OPC UA</v>
      </c>
      <c r="C348">
        <f>'references-it1-studies'!$C140</f>
        <v>2021</v>
      </c>
      <c r="D348">
        <f>'references-it1-studies'!$H140</f>
        <v>7</v>
      </c>
    </row>
    <row r="349" spans="1:4">
      <c r="A349" t="s">
        <v>4275</v>
      </c>
      <c r="B349" s="39" t="str">
        <f>HYPERLINK('references-it1-studies'!$D141,'references-it1-studies'!$B141)</f>
        <v>An integrated testbed IEC61850-IIoT for Gas Insulated SF6 Monitoring in SCADA systems</v>
      </c>
      <c r="C349">
        <f>'references-it1-studies'!$C141</f>
        <v>2022</v>
      </c>
      <c r="D349">
        <f>'references-it1-studies'!$H141</f>
        <v>6</v>
      </c>
    </row>
    <row r="350" spans="1:4">
      <c r="A350" t="s">
        <v>4275</v>
      </c>
      <c r="B350" s="39" t="str">
        <f>HYPERLINK('references-it1-studies'!$D142,'references-it1-studies'!$B142)</f>
        <v>Industrial Control System-Anomaly Detection Dataset (ICS-ADD) for Cyber-Physical Security Monitoring in Smart Industry Environments</v>
      </c>
      <c r="C350">
        <f>'references-it1-studies'!$C142</f>
        <v>2024</v>
      </c>
      <c r="D350">
        <f>'references-it1-studies'!$H142</f>
        <v>10</v>
      </c>
    </row>
    <row r="351" spans="1:4">
      <c r="A351" t="s">
        <v>4275</v>
      </c>
      <c r="B351" s="39" t="str">
        <f>HYPERLINK('references-it1-studies'!$D143,'references-it1-studies'!$B143)</f>
        <v>Survey of Cybersecurity Governance, Threats, and Countermeasures for the Power Grid</v>
      </c>
      <c r="C351">
        <f>'references-it1-studies'!$C143</f>
        <v>2022</v>
      </c>
      <c r="D351">
        <f>'references-it1-studies'!$H143</f>
        <v>1</v>
      </c>
    </row>
    <row r="352" spans="1:4">
      <c r="A352" t="s">
        <v>4275</v>
      </c>
      <c r="B352" s="39" t="str">
        <f>HYPERLINK('references-it1-studies'!$D144,'references-it1-studies'!$B144)</f>
        <v>RTSI - Comparing application layer protocols for the Internet of Things via experimentation</v>
      </c>
      <c r="C352">
        <f>'references-it1-studies'!$C144</f>
        <v>2016</v>
      </c>
      <c r="D352">
        <f>'references-it1-studies'!$H144</f>
        <v>5</v>
      </c>
    </row>
    <row r="353" spans="1:4">
      <c r="A353" t="s">
        <v>4275</v>
      </c>
      <c r="B353" s="39" t="str">
        <f>HYPERLINK('references-it1-studies'!$D145,'references-it1-studies'!$B145)</f>
        <v>Evaluation of EtherCAT Distributed Clock Performance</v>
      </c>
      <c r="C353">
        <f>'references-it1-studies'!$C145</f>
        <v>2012</v>
      </c>
      <c r="D353">
        <f>'references-it1-studies'!$H145</f>
        <v>10</v>
      </c>
    </row>
    <row r="354" spans="1:4">
      <c r="A354" t="s">
        <v>4275</v>
      </c>
      <c r="B354" s="39" t="str">
        <f>HYPERLINK('references-it1-studies'!$D146,'references-it1-studies'!$B146)</f>
        <v>Networking - Performance Comparison of Messaging Protocols and Serialization Formats for Digital Twins in IoV</v>
      </c>
      <c r="C354">
        <f>'references-it1-studies'!$C146</f>
        <v>2020</v>
      </c>
      <c r="D354">
        <f>'references-it1-studies'!$H146</f>
        <v>9</v>
      </c>
    </row>
    <row r="355" spans="1:4">
      <c r="A355" t="s">
        <v>4275</v>
      </c>
      <c r="B355" s="39" t="str">
        <f>HYPERLINK('references-it1-studies'!$D147,'references-it1-studies'!$B147)</f>
        <v>Performance analysis of substation automation systems architecture based on IEC 61850</v>
      </c>
      <c r="C355">
        <f>'references-it1-studies'!$C147</f>
        <v>2014</v>
      </c>
      <c r="D355">
        <f>'references-it1-studies'!$H147</f>
        <v>6</v>
      </c>
    </row>
    <row r="356" spans="1:4">
      <c r="A356" t="s">
        <v>4275</v>
      </c>
      <c r="B356" s="39" t="str">
        <f>HYPERLINK('references-it1-studies'!$D148,'references-it1-studies'!$B148)</f>
        <v>Analysis of relevant standards for industrial systems to support zero defects manufacturing process</v>
      </c>
      <c r="C356">
        <f>'references-it1-studies'!$C148</f>
        <v>2021</v>
      </c>
      <c r="D356">
        <f>'references-it1-studies'!$H148</f>
        <v>0</v>
      </c>
    </row>
    <row r="357" spans="1:4">
      <c r="A357" t="s">
        <v>4275</v>
      </c>
      <c r="B357" s="39" t="str">
        <f>HYPERLINK('references-it1-studies'!$D149,'references-it1-studies'!$B149)</f>
        <v>Cybersecurity Analysis for the Communication Protocol in Smart Grids</v>
      </c>
      <c r="C357">
        <f>'references-it1-studies'!$C149</f>
        <v>2020</v>
      </c>
      <c r="D357">
        <f>'references-it1-studies'!$H149</f>
        <v>6</v>
      </c>
    </row>
    <row r="358" spans="1:4">
      <c r="A358" t="s">
        <v>4275</v>
      </c>
      <c r="B358" s="39" t="str">
        <f>HYPERLINK('references-it1-studies'!$D150,'references-it1-studies'!$B150)</f>
        <v>A Survey on SCADA Systems: Secure Protocols, Incidents, Threats and Tactics</v>
      </c>
      <c r="C358">
        <f>'references-it1-studies'!$C150</f>
        <v>2020</v>
      </c>
      <c r="D358">
        <f>'references-it1-studies'!$H150</f>
        <v>35</v>
      </c>
    </row>
    <row r="359" spans="1:4">
      <c r="A359" t="s">
        <v>4275</v>
      </c>
      <c r="B359" s="39" t="str">
        <f>HYPERLINK('references-it1-studies'!$D151,'references-it1-studies'!$B151)</f>
        <v>EDGE - Edge Powered Industrial Control: Concept for Combining Cloud and Automation Technologies</v>
      </c>
      <c r="C359">
        <f>'references-it1-studies'!$C151</f>
        <v>2018</v>
      </c>
      <c r="D359">
        <f>'references-it1-studies'!$H151</f>
        <v>5</v>
      </c>
    </row>
    <row r="360" spans="1:4">
      <c r="A360" t="s">
        <v>4275</v>
      </c>
      <c r="B360" s="39" t="str">
        <f>HYPERLINK('references-it1-studies'!$D152,'references-it1-studies'!$B152)</f>
        <v>SITA - Analysis and evaluation of communication Protocols for IoT Applications</v>
      </c>
      <c r="C360">
        <f>'references-it1-studies'!$C152</f>
        <v>2020</v>
      </c>
      <c r="D360">
        <f>'references-it1-studies'!$H152</f>
        <v>6</v>
      </c>
    </row>
    <row r="361" spans="1:4">
      <c r="A361" t="s">
        <v>4275</v>
      </c>
      <c r="B361" s="39" t="str">
        <f>HYPERLINK('references-it1-studies'!$D153,'references-it1-studies'!$B153)</f>
        <v>An effective intrusion detection scheme for Distributed Network Protocol 3 (DNP3) applied in SCADA-enabled IoT applications</v>
      </c>
      <c r="C361">
        <f>'references-it1-studies'!$C153</f>
        <v>2024</v>
      </c>
      <c r="D361">
        <f>'references-it1-studies'!$H153</f>
        <v>1</v>
      </c>
    </row>
    <row r="362" spans="1:4">
      <c r="A362" t="s">
        <v>4275</v>
      </c>
      <c r="B362" s="39" t="str">
        <f>HYPERLINK('references-it1-studies'!$D154,'references-it1-studies'!$B154)</f>
        <v>Integrating Electrical Substations Within the IoT Using IEC 61850, CoAP, and CBOR</v>
      </c>
      <c r="C362">
        <f>'references-it1-studies'!$C154</f>
        <v>2019</v>
      </c>
      <c r="D362">
        <f>'references-it1-studies'!$H154</f>
        <v>13</v>
      </c>
    </row>
    <row r="363" spans="1:4">
      <c r="A363" t="s">
        <v>4275</v>
      </c>
      <c r="B363" s="39" t="str">
        <f>HYPERLINK('references-it1-studies'!$D155,'references-it1-studies'!$B155)</f>
        <v>Utilisation of a compressed air test bed to assess the effects of pneumatic parameters on energy consumption</v>
      </c>
      <c r="C363">
        <f>'references-it1-studies'!$C155</f>
        <v>2020</v>
      </c>
      <c r="D363">
        <f>'references-it1-studies'!$H155</f>
        <v>6</v>
      </c>
    </row>
    <row r="364" spans="1:4">
      <c r="A364" t="s">
        <v>4275</v>
      </c>
      <c r="B364" s="39" t="str">
        <f>HYPERLINK('references-it1-studies'!$D156,'references-it1-studies'!$B156)</f>
        <v>Requirement bottlenecks in a cloud based SCADA system</v>
      </c>
      <c r="C364">
        <f>'references-it1-studies'!$C156</f>
        <v>2013</v>
      </c>
      <c r="D364">
        <f>'references-it1-studies'!$H156</f>
        <v>6</v>
      </c>
    </row>
    <row r="365" spans="1:4">
      <c r="A365" t="s">
        <v>4275</v>
      </c>
      <c r="B365" s="39" t="str">
        <f>HYPERLINK('references-it1-studies'!$D157,'references-it1-studies'!$B157)</f>
        <v>SCVT - Comparison of two lightweight protocols for smartphone-based sensing</v>
      </c>
      <c r="C365">
        <f>'references-it1-studies'!$C157</f>
        <v>2013</v>
      </c>
      <c r="D365">
        <f>'references-it1-studies'!$H157</f>
        <v>6</v>
      </c>
    </row>
    <row r="366" spans="1:4">
      <c r="A366" t="s">
        <v>4275</v>
      </c>
      <c r="B366" s="39" t="str">
        <f>HYPERLINK('references-it1-studies'!$D158,'references-it1-studies'!$B158)</f>
        <v>Security Testbed for Internet-of-Things Devices</v>
      </c>
      <c r="C366">
        <f>'references-it1-studies'!$C158</f>
        <v>2019</v>
      </c>
      <c r="D366">
        <f>'references-it1-studies'!$H158</f>
        <v>22</v>
      </c>
    </row>
    <row r="367" spans="1:4">
      <c r="A367" t="s">
        <v>4275</v>
      </c>
      <c r="B367" s="39" t="str">
        <f>HYPERLINK('references-it1-studies'!$D159,'references-it1-studies'!$B159)</f>
        <v>ASPI@UbiComp - A testbed for adaptive security for IoT in eHealth</v>
      </c>
      <c r="C367">
        <f>'references-it1-studies'!$C159</f>
        <v>2013</v>
      </c>
      <c r="D367">
        <f>'references-it1-studies'!$H159</f>
        <v>4</v>
      </c>
    </row>
    <row r="368" spans="1:4">
      <c r="A368" t="s">
        <v>4275</v>
      </c>
      <c r="B368" s="39" t="str">
        <f>HYPERLINK('references-it1-studies'!$D160,'references-it1-studies'!$B160)</f>
        <v>Converging IoT protocols for the data integration of automation systems in the electrical industry</v>
      </c>
      <c r="C368">
        <f>'references-it1-studies'!$C160</f>
        <v>2022</v>
      </c>
      <c r="D368">
        <f>'references-it1-studies'!$H160</f>
        <v>0</v>
      </c>
    </row>
    <row r="369" spans="1:4">
      <c r="A369" t="s">
        <v>4275</v>
      </c>
      <c r="B369" s="39" t="str">
        <f>HYPERLINK('references-it1-studies'!$D161,'references-it1-studies'!$B161)</f>
        <v>Design of an IoT-PLC: A containerized programmable logical controller for the industry 4.0</v>
      </c>
      <c r="C369">
        <f>'references-it1-studies'!$C161</f>
        <v>2022</v>
      </c>
      <c r="D369">
        <f>'references-it1-studies'!$H161</f>
        <v>0</v>
      </c>
    </row>
    <row r="370" spans="1:4">
      <c r="A370" t="s">
        <v>4275</v>
      </c>
      <c r="B370" s="39" t="str">
        <f>HYPERLINK('references-it1-studies'!$D162,'references-it1-studies'!$B162)</f>
        <v>ICIN - Performance evaluation of M2M protocols over cellular networks in a lab environment</v>
      </c>
      <c r="C370">
        <f>'references-it1-studies'!$C162</f>
        <v>2015</v>
      </c>
      <c r="D370">
        <f>'references-it1-studies'!$H162</f>
        <v>6</v>
      </c>
    </row>
    <row r="371" spans="1:4">
      <c r="A371" t="s">
        <v>4275</v>
      </c>
      <c r="B371" s="39" t="str">
        <f>HYPERLINK('references-it1-studies'!$D163,'references-it1-studies'!$B163)</f>
        <v>Scalability Evaluation of a Modbus TCP Control and Monitoring System for Distributed Energy Resources</v>
      </c>
      <c r="C371">
        <f>'references-it1-studies'!$C163</f>
        <v>2022</v>
      </c>
      <c r="D371">
        <f>'references-it1-studies'!$H163</f>
        <v>6</v>
      </c>
    </row>
    <row r="372" spans="1:4">
      <c r="A372" t="s">
        <v>4275</v>
      </c>
      <c r="B372" s="39" t="str">
        <f>HYPERLINK('references-it1-studies'!$D164,'references-it1-studies'!$B164)</f>
        <v>Minimum Cycle Time Analysis of Ethernet-Based Real-Time Protocols</v>
      </c>
      <c r="C372">
        <f>'references-it1-studies'!$C164</f>
        <v>2014</v>
      </c>
      <c r="D372">
        <f>'references-it1-studies'!$H164</f>
        <v>15</v>
      </c>
    </row>
    <row r="373" spans="1:4">
      <c r="A373" t="s">
        <v>4275</v>
      </c>
      <c r="B373" s="39" t="str">
        <f>HYPERLINK('references-it1-studies'!$D165,'references-it1-studies'!$B165)</f>
        <v>ETFA - Comparative assessment of different OPC UA open–source stacks for embedded systems</v>
      </c>
      <c r="C373">
        <f>'references-it1-studies'!$C165</f>
        <v>2019</v>
      </c>
      <c r="D373">
        <f>'references-it1-studies'!$H165</f>
        <v>8</v>
      </c>
    </row>
    <row r="374" spans="1:4">
      <c r="A374" t="s">
        <v>4275</v>
      </c>
      <c r="B374" s="39" t="str">
        <f>HYPERLINK('references-it1-studies'!$D166,'references-it1-studies'!$B166)</f>
        <v>On the performance of OPC UA and MQTT for data exchange between industrial plants and cloud servers</v>
      </c>
      <c r="C374">
        <f>'references-it1-studies'!$C166</f>
        <v>2019</v>
      </c>
      <c r="D374">
        <f>'references-it1-studies'!$H166</f>
        <v>0</v>
      </c>
    </row>
    <row r="375" spans="1:4">
      <c r="A375" t="s">
        <v>4275</v>
      </c>
      <c r="B375" s="39" t="str">
        <f>HYPERLINK('references-it1-studies'!$D167,'references-it1-studies'!$B167)</f>
        <v>AN EQUIPMENT-ORIENTED VULNERABILITY THREAT ASSESSMENT METHOD FOR ELECTRIC POWER SUPERVISION AND CONTROL SYSTEMS</v>
      </c>
      <c r="C375">
        <f>'references-it1-studies'!$C167</f>
        <v>2021</v>
      </c>
      <c r="D375">
        <f>'references-it1-studies'!$H167</f>
        <v>6</v>
      </c>
    </row>
    <row r="376" spans="1:4">
      <c r="A376" t="s">
        <v>4275</v>
      </c>
      <c r="B376" s="39" t="str">
        <f>HYPERLINK('references-it1-studies'!$D168,'references-it1-studies'!$B168)</f>
        <v>Real-time Power System Simulation with Hardware Devices through DNP3 in Cyber-Physical Testbed</v>
      </c>
      <c r="C376">
        <f>'references-it1-studies'!$C168</f>
        <v>2021</v>
      </c>
      <c r="D376">
        <f>'references-it1-studies'!$H168</f>
        <v>6</v>
      </c>
    </row>
    <row r="377" spans="1:4">
      <c r="A377" t="s">
        <v>4275</v>
      </c>
      <c r="B377" s="39" t="str">
        <f>HYPERLINK('references-it1-studies'!$D169,'references-it1-studies'!$B169)</f>
        <v>Delay Estimation of Industrial IoT Applications Based on Messaging Protocols</v>
      </c>
      <c r="C377">
        <f>'references-it1-studies'!$C169</f>
        <v>2018</v>
      </c>
      <c r="D377">
        <f>'references-it1-studies'!$H169</f>
        <v>12</v>
      </c>
    </row>
    <row r="378" spans="1:4">
      <c r="A378" t="s">
        <v>4275</v>
      </c>
      <c r="B378" s="39" t="str">
        <f>HYPERLINK('references-it1-studies'!$D170,'references-it1-studies'!$B170)</f>
        <v>Protecting Modbus/TCP-Based Industrial Automation and Control Systems Using Message Authentication Codes</v>
      </c>
      <c r="C378">
        <f>'references-it1-studies'!$C170</f>
        <v>2023</v>
      </c>
      <c r="D378">
        <f>'references-it1-studies'!$H170</f>
        <v>17</v>
      </c>
    </row>
    <row r="379" spans="1:4">
      <c r="A379" t="s">
        <v>4275</v>
      </c>
      <c r="B379" s="39" t="str">
        <f>HYPERLINK('references-it1-studies'!$D171,'references-it1-studies'!$B171)</f>
        <v>ETFA - Analysis of the Round Trip Time of OPC UA and TSN based Peer-to-Peer Communication</v>
      </c>
      <c r="C379">
        <f>'references-it1-studies'!$C171</f>
        <v>2019</v>
      </c>
      <c r="D379">
        <f>'references-it1-studies'!$H171</f>
        <v>7</v>
      </c>
    </row>
    <row r="380" spans="1:4">
      <c r="A380" t="s">
        <v>4275</v>
      </c>
      <c r="B380" s="39" t="str">
        <f>HYPERLINK('references-it1-studies'!$D172,'references-it1-studies'!$B172)</f>
        <v>Performance evaluation of modbus and DNP3 protocols in the communication network of a university campus microgrid</v>
      </c>
      <c r="C380">
        <f>'references-it1-studies'!$C172</f>
        <v>2024</v>
      </c>
      <c r="D380">
        <f>'references-it1-studies'!$H172</f>
        <v>1</v>
      </c>
    </row>
    <row r="381" spans="1:4">
      <c r="A381" t="s">
        <v>4275</v>
      </c>
      <c r="B381" s="39" t="str">
        <f>HYPERLINK('references-it1-studies'!$D173,'references-it1-studies'!$B173)</f>
        <v>RESTful Industrial Communication With OPC UA</v>
      </c>
      <c r="C381">
        <f>'references-it1-studies'!$C173</f>
        <v>2016</v>
      </c>
      <c r="D381">
        <f>'references-it1-studies'!$H173</f>
        <v>10</v>
      </c>
    </row>
    <row r="382" spans="1:4">
      <c r="A382" t="s">
        <v>4275</v>
      </c>
      <c r="B382" s="39" t="str">
        <f>HYPERLINK('references-it1-studies'!$D174,'references-it1-studies'!$B174)</f>
        <v>EtherCAT enabled advanced control architecture</v>
      </c>
      <c r="C382">
        <f>'references-it1-studies'!$C174</f>
        <v>2010</v>
      </c>
      <c r="D382">
        <f>'references-it1-studies'!$H174</f>
        <v>6</v>
      </c>
    </row>
    <row r="383" spans="1:4">
      <c r="A383" t="s">
        <v>4275</v>
      </c>
      <c r="B383" s="39" t="str">
        <f>HYPERLINK('references-it1-studies'!$D175,'references-it1-studies'!$B175)</f>
        <v>Development of an Open-Source Testbed Based on the Modbus Protocol for Cybersecurity Analysis of Nuclear Power Plants</v>
      </c>
      <c r="C383">
        <f>'references-it1-studies'!$C175</f>
        <v>2022</v>
      </c>
      <c r="D383">
        <f>'references-it1-studies'!$H175</f>
        <v>1</v>
      </c>
    </row>
    <row r="384" spans="1:4">
      <c r="A384" t="s">
        <v>4275</v>
      </c>
      <c r="B384" s="39" t="str">
        <f>HYPERLINK('references-it1-studies'!$D176,'references-it1-studies'!$B176)</f>
        <v>How Real (Time) Are Virtual PLCs?</v>
      </c>
      <c r="C384">
        <f>'references-it1-studies'!$C176</f>
        <v>2022</v>
      </c>
      <c r="D384">
        <f>'references-it1-studies'!$H176</f>
        <v>0</v>
      </c>
    </row>
    <row r="385" spans="1:4">
      <c r="A385" t="s">
        <v>4275</v>
      </c>
      <c r="B385" s="39" t="str">
        <f>HYPERLINK('references-it1-studies'!$D177,'references-it1-studies'!$B177)</f>
        <v>Off-Path TCP Hijacking Attacks via the Side Channel of Downgraded IPID</v>
      </c>
      <c r="C385">
        <f>'references-it1-studies'!$C177</f>
        <v>2022</v>
      </c>
      <c r="D385">
        <f>'references-it1-studies'!$H177</f>
        <v>14</v>
      </c>
    </row>
    <row r="386" spans="1:4">
      <c r="A386" t="s">
        <v>4275</v>
      </c>
      <c r="B386" s="39" t="str">
        <f>HYPERLINK('references-it1-studies'!$D178,'references-it1-studies'!$B178)</f>
        <v>BDIOT - An Efficient Intrusion Detection Model for Edge System in Brownfield Industrial Internet of Things</v>
      </c>
      <c r="C386">
        <f>'references-it1-studies'!$C178</f>
        <v>2019</v>
      </c>
      <c r="D386">
        <f>'references-it1-studies'!$H178</f>
        <v>5</v>
      </c>
    </row>
    <row r="387" spans="1:4">
      <c r="A387" t="s">
        <v>4275</v>
      </c>
      <c r="B387" s="39" t="str">
        <f>HYPERLINK('references-it1-studies'!$D179,'references-it1-studies'!$B179)</f>
        <v>Edge Computing: Vision and Challenges</v>
      </c>
      <c r="C387">
        <f>'references-it1-studies'!$C179</f>
        <v>2016</v>
      </c>
      <c r="D387">
        <f>'references-it1-studies'!$H179</f>
        <v>10</v>
      </c>
    </row>
    <row r="388" spans="1:4">
      <c r="A388" t="s">
        <v>4275</v>
      </c>
      <c r="B388" s="39" t="str">
        <f>HYPERLINK('references-it1-studies'!$D180,'references-it1-studies'!$B180)</f>
        <v>GOOSE Protocol: IED's Smart Solution for Victoria University Zone Substation (VUZS) Simulator Based on IEC61850 Standard</v>
      </c>
      <c r="C388">
        <f>'references-it1-studies'!$C180</f>
        <v>2018</v>
      </c>
      <c r="D388">
        <f>'references-it1-studies'!$H180</f>
        <v>6</v>
      </c>
    </row>
    <row r="389" spans="1:4">
      <c r="A389" t="s">
        <v>4275</v>
      </c>
      <c r="B389" s="39" t="str">
        <f>HYPERLINK('references-it1-studies'!$D181,'references-it1-studies'!$B181)</f>
        <v>Communication Requirements for a Hybrid VSC Based HVDC/AC Transmission Networks State Estimation</v>
      </c>
      <c r="C389">
        <f>'references-it1-studies'!$C181</f>
        <v>2021</v>
      </c>
      <c r="D389">
        <f>'references-it1-studies'!$H181</f>
        <v>0</v>
      </c>
    </row>
    <row r="390" spans="1:4">
      <c r="A390" t="s">
        <v>4275</v>
      </c>
      <c r="B390" s="39" t="str">
        <f>HYPERLINK('references-it1-studies'!$D182,'references-it1-studies'!$B182)</f>
        <v>DNP3 Implementation in a High DER Penetration Distribution System</v>
      </c>
      <c r="C390">
        <f>'references-it1-studies'!$C182</f>
        <v>2024</v>
      </c>
      <c r="D390">
        <f>'references-it1-studies'!$H182</f>
        <v>5</v>
      </c>
    </row>
    <row r="391" spans="1:4">
      <c r="A391" t="s">
        <v>4275</v>
      </c>
      <c r="B391" s="39" t="str">
        <f>HYPERLINK('references-it1-studies'!$D183,'references-it1-studies'!$B183)</f>
        <v>ETFA - Data Distribution Service for industrial automation</v>
      </c>
      <c r="C391">
        <f>'references-it1-studies'!$C183</f>
        <v>2012</v>
      </c>
      <c r="D391">
        <f>'references-it1-studies'!$H183</f>
        <v>8</v>
      </c>
    </row>
    <row r="392" spans="1:4">
      <c r="A392" t="s">
        <v>4275</v>
      </c>
      <c r="B392" s="39" t="str">
        <f>HYPERLINK('references-it1-studies'!$D184,'references-it1-studies'!$B184)</f>
        <v>Docker container based analytics at IoT edge Video analytics usecase</v>
      </c>
      <c r="C392">
        <f>'references-it1-studies'!$C184</f>
        <v>2018</v>
      </c>
      <c r="D392">
        <f>'references-it1-studies'!$H184</f>
        <v>0</v>
      </c>
    </row>
    <row r="393" spans="1:4">
      <c r="A393" t="s">
        <v>4275</v>
      </c>
      <c r="B393" s="39" t="str">
        <f>HYPERLINK('references-it1-studies'!$D185,'references-it1-studies'!$B185)</f>
        <v>A Testbed for Experimenting Internet of Things Applications.</v>
      </c>
      <c r="C393">
        <f>'references-it1-studies'!$C185</f>
        <v>2017</v>
      </c>
      <c r="D393">
        <f>'references-it1-studies'!$H185</f>
        <v>0</v>
      </c>
    </row>
    <row r="394" spans="1:4">
      <c r="A394" t="s">
        <v>4275</v>
      </c>
      <c r="B394" s="39" t="str">
        <f>HYPERLINK('references-it1-studies'!$D186,'references-it1-studies'!$B186)</f>
        <v>Targeted Ransomware: A New Cyber Threat to Edge System of Brownfield Industrial Internet of Things</v>
      </c>
      <c r="C394">
        <f>'references-it1-studies'!$C186</f>
        <v>2019</v>
      </c>
      <c r="D394">
        <f>'references-it1-studies'!$H186</f>
        <v>15</v>
      </c>
    </row>
    <row r="395" spans="1:4">
      <c r="A395" t="s">
        <v>4275</v>
      </c>
      <c r="B395" s="39" t="str">
        <f>HYPERLINK('references-it1-studies'!$D187,'references-it1-studies'!$B187)</f>
        <v>Implementation of an intelligence-based framework for anomaly detection on the demand-side of sustainable compressed air systems</v>
      </c>
      <c r="C395">
        <f>'references-it1-studies'!$C187</f>
        <v>2024</v>
      </c>
      <c r="D395">
        <f>'references-it1-studies'!$H187</f>
        <v>10</v>
      </c>
    </row>
    <row r="396" spans="1:4">
      <c r="A396" t="s">
        <v>4275</v>
      </c>
      <c r="B396" s="39" t="str">
        <f>HYPERLINK('references-it1-studies'!$D188,'references-it1-studies'!$B188)</f>
        <v>ETFA - Performance evaluation of OPC UA</v>
      </c>
      <c r="C396">
        <f>'references-it1-studies'!$C188</f>
        <v>2010</v>
      </c>
      <c r="D396">
        <f>'references-it1-studies'!$H188</f>
        <v>8</v>
      </c>
    </row>
    <row r="397" spans="1:4">
      <c r="A397" t="s">
        <v>4275</v>
      </c>
      <c r="B397" s="39" t="str">
        <f>HYPERLINK('references-it1-studies'!$D189,'references-it1-studies'!$B189)</f>
        <v>Attacking and Defending DNP3 ICS/SCADA Systems</v>
      </c>
      <c r="C397">
        <f>'references-it1-studies'!$C189</f>
        <v>2022</v>
      </c>
      <c r="D397">
        <f>'references-it1-studies'!$H189</f>
        <v>8</v>
      </c>
    </row>
    <row r="398" spans="1:4">
      <c r="A398" t="s">
        <v>4275</v>
      </c>
      <c r="B398" s="39" t="str">
        <f>HYPERLINK('references-it1-studies'!$D190,'references-it1-studies'!$B190)</f>
        <v>CPS Testbed Architectures for WAMPAC using Industrial Substation and Control Center Platforms and Attack-Defense Evaluation</v>
      </c>
      <c r="C398">
        <f>'references-it1-studies'!$C190</f>
        <v>2021</v>
      </c>
      <c r="D398">
        <f>'references-it1-studies'!$H190</f>
        <v>5</v>
      </c>
    </row>
    <row r="399" spans="1:4">
      <c r="A399" t="s">
        <v>4275</v>
      </c>
      <c r="B399" s="39" t="str">
        <f>HYPERLINK('references-it1-studies'!$D191,'references-it1-studies'!$B191)</f>
        <v>Supporting vPLC Networking over TSN with Kubernetes in Industry 4.0</v>
      </c>
      <c r="C399">
        <f>'references-it1-studies'!$C191</f>
        <v>2023</v>
      </c>
      <c r="D399">
        <f>'references-it1-studies'!$H191</f>
        <v>7</v>
      </c>
    </row>
    <row r="400" spans="1:4">
      <c r="A400" t="s">
        <v>4275</v>
      </c>
      <c r="B400" s="39" t="str">
        <f>HYPERLINK('references-it1-studies'!$D192,'references-it1-studies'!$B192)</f>
        <v>ETFA - Real Time Ethernet networks evaluation using performance indicators</v>
      </c>
      <c r="C400">
        <f>'references-it1-studies'!$C192</f>
        <v>2009</v>
      </c>
      <c r="D400">
        <f>'references-it1-studies'!$H192</f>
        <v>8</v>
      </c>
    </row>
    <row r="401" spans="1:4">
      <c r="A401" t="s">
        <v>4275</v>
      </c>
      <c r="B401" s="39" t="str">
        <f>HYPERLINK('references-it1-studies'!$D194,'references-it1-studies'!$B194)</f>
        <v>Wireless Technologies for Industry 4.0 Applications</v>
      </c>
      <c r="C401">
        <f>'references-it1-studies'!$C194</f>
        <v>2023</v>
      </c>
      <c r="D401">
        <f>'references-it1-studies'!$H194</f>
        <v>1</v>
      </c>
    </row>
    <row r="402" spans="1:4">
      <c r="A402" t="s">
        <v>4275</v>
      </c>
      <c r="B402" s="39" t="str">
        <f>HYPERLINK('references-it1-studies'!$D195,'references-it1-studies'!$B195)</f>
        <v>Anomaly Detection and its Adaptation: Studies on Cyber-Physical Systems</v>
      </c>
      <c r="C402">
        <f>'references-it1-studies'!$C195</f>
        <v>2013</v>
      </c>
      <c r="D402">
        <f>'references-it1-studies'!$H195</f>
        <v>0</v>
      </c>
    </row>
    <row r="403" spans="1:4">
      <c r="A403" t="s">
        <v>4275</v>
      </c>
      <c r="B403" s="39" t="str">
        <f>HYPERLINK('references-it1-studies'!$D196,'references-it1-studies'!$B196)</f>
        <v>RESTful information-centric networking</v>
      </c>
      <c r="C403">
        <f>'references-it1-studies'!$C196</f>
        <v>2022</v>
      </c>
      <c r="D403">
        <f>'references-it1-studies'!$H196</f>
        <v>3</v>
      </c>
    </row>
    <row r="404" spans="1:4">
      <c r="A404" t="s">
        <v>4275</v>
      </c>
      <c r="B404" s="39" t="str">
        <f>HYPERLINK('references-it1-studies'!$D197,'references-it1-studies'!$B197)</f>
        <v>Key Challenges and Emerging Technologies in Industrial IoT Architectures: A Review.</v>
      </c>
      <c r="C404">
        <f>'references-it1-studies'!$C197</f>
        <v>2022</v>
      </c>
      <c r="D404">
        <f>'references-it1-studies'!$H197</f>
        <v>1</v>
      </c>
    </row>
    <row r="405" spans="1:4">
      <c r="A405" t="s">
        <v>4275</v>
      </c>
      <c r="B405" s="39" t="str">
        <f>HYPERLINK('references-it1-studies'!$D198,'references-it1-studies'!$B198)</f>
        <v>A survey on communication protocols and performance evaluations for Internet of Things</v>
      </c>
      <c r="C405">
        <f>'references-it1-studies'!$C198</f>
        <v>2022</v>
      </c>
      <c r="D405">
        <f>'references-it1-studies'!$H198</f>
        <v>11</v>
      </c>
    </row>
    <row r="406" spans="1:4">
      <c r="A406" t="s">
        <v>4275</v>
      </c>
      <c r="B406" s="39" t="str">
        <f>HYPERLINK('references-it1-studies'!$D199,'references-it1-studies'!$B199)</f>
        <v>Performance Tuning Towards a KVM-based Embedded Real-time Virtualization System</v>
      </c>
      <c r="C406">
        <f>'references-it1-studies'!$C199</f>
        <v>2013</v>
      </c>
      <c r="D406">
        <f>'references-it1-studies'!$H199</f>
        <v>15</v>
      </c>
    </row>
    <row r="407" spans="1:4">
      <c r="A407" t="s">
        <v>4275</v>
      </c>
      <c r="B407" s="39" t="str">
        <f>HYPERLINK('references-it1-studies'!$D200,'references-it1-studies'!$B200)</f>
        <v>IoT Fundamentals: Networking Technologies, Protocols, and Use Cases for the Internet of Things</v>
      </c>
      <c r="C407">
        <f>'references-it1-studies'!$C200</f>
        <v>2017</v>
      </c>
      <c r="D407">
        <f>'references-it1-studies'!$H200</f>
        <v>0</v>
      </c>
    </row>
    <row r="412" spans="1:4">
      <c r="A412" s="39"/>
    </row>
    <row r="413" spans="1:4">
      <c r="A413" s="39"/>
    </row>
    <row r="414" spans="1:4">
      <c r="A414" s="39"/>
    </row>
    <row r="415" spans="1:4">
      <c r="A415" s="39"/>
    </row>
    <row r="416" spans="1:4">
      <c r="A416" s="39"/>
    </row>
    <row r="417" spans="1:1">
      <c r="A417" s="39"/>
    </row>
    <row r="418" spans="1:1">
      <c r="A418" s="39"/>
    </row>
    <row r="419" spans="1:1">
      <c r="A419" s="39"/>
    </row>
    <row r="420" spans="1:1">
      <c r="A420" s="39"/>
    </row>
    <row r="421" spans="1:1">
      <c r="A421" s="39"/>
    </row>
    <row r="422" spans="1:1">
      <c r="A422" s="39"/>
    </row>
    <row r="423" spans="1:1">
      <c r="A423" s="39"/>
    </row>
    <row r="424" spans="1:1">
      <c r="A424" s="39"/>
    </row>
    <row r="425" spans="1:1">
      <c r="A425" s="39"/>
    </row>
    <row r="426" spans="1:1">
      <c r="A426" s="39"/>
    </row>
    <row r="427" spans="1:1">
      <c r="A427" s="39"/>
    </row>
    <row r="428" spans="1:1">
      <c r="A428" s="39"/>
    </row>
    <row r="429" spans="1:1">
      <c r="A429" s="39"/>
    </row>
    <row r="430" spans="1:1">
      <c r="A430" s="39"/>
    </row>
    <row r="431" spans="1:1">
      <c r="A431" s="39"/>
    </row>
    <row r="432" spans="1:1">
      <c r="A432" s="39"/>
    </row>
    <row r="433" spans="1:1">
      <c r="A433" s="39"/>
    </row>
    <row r="434" spans="1:1">
      <c r="A434" s="39"/>
    </row>
    <row r="435" spans="1:1">
      <c r="A435" s="39"/>
    </row>
    <row r="436" spans="1:1">
      <c r="A436" s="39"/>
    </row>
    <row r="437" spans="1:1">
      <c r="A437" s="39"/>
    </row>
    <row r="438" spans="1:1">
      <c r="A438" s="39"/>
    </row>
    <row r="439" spans="1:1">
      <c r="A439" s="39"/>
    </row>
    <row r="440" spans="1:1">
      <c r="A440" s="39"/>
    </row>
    <row r="441" spans="1:1">
      <c r="A441" s="39"/>
    </row>
    <row r="442" spans="1:1">
      <c r="A442" s="39"/>
    </row>
    <row r="443" spans="1:1">
      <c r="A443" s="39"/>
    </row>
    <row r="444" spans="1:1">
      <c r="A444" s="39"/>
    </row>
    <row r="445" spans="1:1">
      <c r="A445" s="39"/>
    </row>
    <row r="446" spans="1:1">
      <c r="A446" s="39"/>
    </row>
    <row r="447" spans="1:1">
      <c r="A447" s="39"/>
    </row>
    <row r="448" spans="1:1">
      <c r="A448" s="39"/>
    </row>
    <row r="449" spans="1:1">
      <c r="A449" s="39"/>
    </row>
    <row r="450" spans="1:1">
      <c r="A450" s="39"/>
    </row>
    <row r="451" spans="1:1">
      <c r="A451" s="39"/>
    </row>
    <row r="452" spans="1:1">
      <c r="A452" s="39"/>
    </row>
    <row r="453" spans="1:1">
      <c r="A453" s="39"/>
    </row>
    <row r="454" spans="1:1">
      <c r="A454" s="39"/>
    </row>
    <row r="455" spans="1:1">
      <c r="A455" s="39"/>
    </row>
    <row r="456" spans="1:1">
      <c r="A456" s="39"/>
    </row>
    <row r="457" spans="1:1">
      <c r="A457" s="39"/>
    </row>
    <row r="458" spans="1:1">
      <c r="A458" s="39"/>
    </row>
    <row r="459" spans="1:1">
      <c r="A459" s="39"/>
    </row>
    <row r="460" spans="1:1">
      <c r="A460" s="39"/>
    </row>
    <row r="461" spans="1:1">
      <c r="A461" s="39"/>
    </row>
    <row r="462" spans="1:1">
      <c r="A462" s="39"/>
    </row>
    <row r="463" spans="1:1">
      <c r="A463" s="39"/>
    </row>
    <row r="464" spans="1:1">
      <c r="A464" s="39"/>
    </row>
    <row r="465" spans="1:1">
      <c r="A465" s="39"/>
    </row>
    <row r="466" spans="1:1">
      <c r="A466" s="39"/>
    </row>
    <row r="467" spans="1:1">
      <c r="A467" s="39"/>
    </row>
    <row r="468" spans="1:1">
      <c r="A468" s="39"/>
    </row>
    <row r="469" spans="1:1">
      <c r="A469" s="39"/>
    </row>
    <row r="470" spans="1:1">
      <c r="A470" s="39"/>
    </row>
    <row r="471" spans="1:1">
      <c r="A471" s="39"/>
    </row>
    <row r="472" spans="1:1">
      <c r="A472" s="39"/>
    </row>
    <row r="473" spans="1:1">
      <c r="A473" s="39"/>
    </row>
    <row r="474" spans="1:1">
      <c r="A474" s="39"/>
    </row>
    <row r="475" spans="1:1">
      <c r="A475" s="39"/>
    </row>
  </sheetData>
  <dataValidations count="1">
    <dataValidation type="whole" operator="greaterThan" allowBlank="1" showInputMessage="1" showErrorMessage="1" sqref="D1:D1048576" xr:uid="{9545872A-253B-4FBB-880C-15A7332168EB}">
      <formula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4AD9-9E54-4062-B923-2D96A863B3D0}">
  <dimension ref="A1:O336"/>
  <sheetViews>
    <sheetView topLeftCell="A292" workbookViewId="0">
      <selection activeCell="E324" sqref="E324"/>
    </sheetView>
  </sheetViews>
  <sheetFormatPr defaultRowHeight="12.75"/>
  <cols>
    <col min="2" max="2" width="65" customWidth="1"/>
  </cols>
  <sheetData>
    <row r="1" spans="1:15">
      <c r="A1" t="s">
        <v>47</v>
      </c>
      <c r="B1" t="s">
        <v>2</v>
      </c>
      <c r="C1" t="s">
        <v>32</v>
      </c>
      <c r="D1" t="s">
        <v>327</v>
      </c>
      <c r="E1" s="2"/>
      <c r="F1" s="2"/>
      <c r="G1" s="2"/>
      <c r="H1" s="2"/>
      <c r="I1" s="2"/>
      <c r="J1" s="2"/>
      <c r="K1" s="2"/>
      <c r="L1" s="2"/>
      <c r="M1" s="2"/>
      <c r="N1" s="2"/>
      <c r="O1" s="2"/>
    </row>
    <row r="2" spans="1:15">
      <c r="A2" t="s">
        <v>4274</v>
      </c>
      <c r="B2" s="39" t="str">
        <f>HYPERLINK('citations-it1-studies'!$D2,'citations-it1-studies'!$B2)</f>
        <v>Practical approaches towards IoT dataset generation for security experiments</v>
      </c>
      <c r="C2">
        <f>'citations-it1-studies'!$C2</f>
        <v>2025</v>
      </c>
      <c r="D2">
        <f>'citations-it1-studies'!$H2</f>
        <v>65</v>
      </c>
    </row>
    <row r="3" spans="1:15">
      <c r="A3" t="s">
        <v>4274</v>
      </c>
      <c r="B3" s="39" t="str">
        <f>HYPERLINK('citations-it1-studies'!$D3,'citations-it1-studies'!$B3)</f>
        <v>Performance Evaluation of IoT-Enabled Edge Computing Infrastructure for mHealth Services</v>
      </c>
      <c r="C3">
        <f>'citations-it1-studies'!$C3</f>
        <v>2025</v>
      </c>
      <c r="D3">
        <f>'citations-it1-studies'!$H3</f>
        <v>12</v>
      </c>
    </row>
    <row r="4" spans="1:15">
      <c r="A4" t="s">
        <v>4274</v>
      </c>
      <c r="B4" s="39" t="str">
        <f>HYPERLINK('citations-it1-studies'!$D4,'citations-it1-studies'!$B4)</f>
        <v>Learning Temporal and Spatial Features Jointly: A Unified Framework for Space-Time Data Prediction in Industrial IoT Networks</v>
      </c>
      <c r="C4">
        <f>'citations-it1-studies'!$C4</f>
        <v>2023</v>
      </c>
      <c r="D4">
        <f>'citations-it1-studies'!$H4</f>
        <v>13</v>
      </c>
    </row>
    <row r="5" spans="1:15">
      <c r="A5" t="s">
        <v>4274</v>
      </c>
      <c r="B5" s="39" t="str">
        <f>HYPERLINK('citations-it1-studies'!$D5,'citations-it1-studies'!$B5)</f>
        <v>Design of 5G private network quality monitoring System based on edge computing</v>
      </c>
      <c r="C5">
        <f>'citations-it1-studies'!$C5</f>
        <v>2023</v>
      </c>
      <c r="D5">
        <f>'citations-it1-studies'!$H5</f>
        <v>5</v>
      </c>
    </row>
    <row r="6" spans="1:15">
      <c r="A6" t="s">
        <v>4274</v>
      </c>
      <c r="B6" s="39" t="str">
        <f>HYPERLINK('citations-it1-studies'!$D7,'citations-it1-studies'!$B7)</f>
        <v>Challenges in Resource-Constrained IoT Devices: Energy and Communication as Critical Success Factors for Future IoT Deployment.</v>
      </c>
      <c r="C6">
        <f>'citations-it1-studies'!$C7</f>
        <v>2020</v>
      </c>
      <c r="D6">
        <f>'citations-it1-studies'!$H7</f>
        <v>0</v>
      </c>
    </row>
    <row r="7" spans="1:15">
      <c r="A7" t="s">
        <v>4274</v>
      </c>
      <c r="B7" s="39" t="str">
        <f>HYPERLINK('citations-it1-studies'!$D9,'citations-it1-studies'!$B9)</f>
        <v>Construction of intelligent integrated model framework for the workshop manufacturing system via digital twin</v>
      </c>
      <c r="C7">
        <f>'citations-it1-studies'!$C9</f>
        <v>2021</v>
      </c>
      <c r="D7">
        <f>'citations-it1-studies'!$H9</f>
        <v>14</v>
      </c>
    </row>
    <row r="8" spans="1:15">
      <c r="A8" t="s">
        <v>4274</v>
      </c>
      <c r="B8" s="39" t="str">
        <f>HYPERLINK('citations-it1-studies'!$D10,'citations-it1-studies'!$B10)</f>
        <v>Communication and Coordination for Multi AGVs Based on MQTT Protocol</v>
      </c>
      <c r="C8">
        <f>'citations-it1-studies'!$C10</f>
        <v>2023</v>
      </c>
      <c r="D8">
        <f>'citations-it1-studies'!$H10</f>
        <v>6</v>
      </c>
    </row>
    <row r="9" spans="1:15">
      <c r="A9" t="s">
        <v>4274</v>
      </c>
      <c r="B9" s="39" t="str">
        <f>HYPERLINK('citations-it1-studies'!$D11,'citations-it1-studies'!$B11)</f>
        <v>QoSmart-IoT: Secure QoS-Based Reconfiguration and Protocol Adaptation for Hybrid Clustered IoT Systems in Constrained Environments</v>
      </c>
      <c r="C9">
        <f>'citations-it1-studies'!$C11</f>
        <v>2025</v>
      </c>
      <c r="D9">
        <f>'citations-it1-studies'!$H11</f>
        <v>13</v>
      </c>
    </row>
    <row r="10" spans="1:15">
      <c r="A10" t="s">
        <v>4274</v>
      </c>
      <c r="B10" s="39" t="str">
        <f>HYPERLINK('citations-it1-studies'!$D12,'citations-it1-studies'!$B12)</f>
        <v>APT Adversarial Defence Mechanism for Industrial IoT Enabled Cyber-Physical System</v>
      </c>
      <c r="C10">
        <f>'citations-it1-studies'!$C12</f>
        <v>2023</v>
      </c>
      <c r="D10">
        <f>'citations-it1-studies'!$H12</f>
        <v>21</v>
      </c>
    </row>
    <row r="11" spans="1:15">
      <c r="A11" t="s">
        <v>4274</v>
      </c>
      <c r="B11" s="39" t="str">
        <f>HYPERLINK('citations-it1-studies'!$D13,'citations-it1-studies'!$B13)</f>
        <v>Secure Communication Protocols: Safeguarding Information in The Digital Age</v>
      </c>
      <c r="C11">
        <f>'citations-it1-studies'!$C13</f>
        <v>2025</v>
      </c>
      <c r="D11">
        <f>'citations-it1-studies'!$H13</f>
        <v>65</v>
      </c>
    </row>
    <row r="12" spans="1:15">
      <c r="A12" t="s">
        <v>4274</v>
      </c>
      <c r="B12" s="39" t="str">
        <f>HYPERLINK('citations-it1-studies'!$D14,'citations-it1-studies'!$B14)</f>
        <v>IBAM: IPFS and Blockchain based Authentication for MQTT protocol in IoT</v>
      </c>
      <c r="C12">
        <f>'citations-it1-studies'!$C14</f>
        <v>2023</v>
      </c>
      <c r="D12">
        <f>'citations-it1-studies'!$H14</f>
        <v>6</v>
      </c>
    </row>
    <row r="13" spans="1:15">
      <c r="A13" t="s">
        <v>4274</v>
      </c>
      <c r="B13" s="39" t="str">
        <f>HYPERLINK('citations-it1-studies'!$D15,'citations-it1-studies'!$B15)</f>
        <v>Integration of MQTT and CoAP Protocols in OneM2M for IoT Applications</v>
      </c>
      <c r="C13">
        <f>'citations-it1-studies'!$C15</f>
        <v>2025</v>
      </c>
      <c r="D13">
        <f>'citations-it1-studies'!$H15</f>
        <v>11</v>
      </c>
    </row>
    <row r="14" spans="1:15">
      <c r="A14" t="s">
        <v>4274</v>
      </c>
      <c r="B14" s="39" t="str">
        <f>HYPERLINK('citations-it1-studies'!$D16,'citations-it1-studies'!$B16)</f>
        <v>MECInOT: a multi-access edge computing and industrial internet of things emulator for the modelling and study of cybersecurity threats</v>
      </c>
      <c r="C14">
        <f>'citations-it1-studies'!$C16</f>
        <v>2023</v>
      </c>
      <c r="D14">
        <f>'citations-it1-studies'!$H16</f>
        <v>39</v>
      </c>
    </row>
    <row r="15" spans="1:15">
      <c r="A15" t="s">
        <v>4274</v>
      </c>
      <c r="B15" s="39" t="str">
        <f>HYPERLINK('citations-it1-studies'!$D17,'citations-it1-studies'!$B17)</f>
        <v>Implementing Dead Letter Exchanges in MQTT and Proposing a Broker Failure Algorithm Utilizing Blockchain DNS</v>
      </c>
      <c r="C15">
        <f>'citations-it1-studies'!$C17</f>
        <v>2023</v>
      </c>
      <c r="D15">
        <f>'citations-it1-studies'!$H17</f>
        <v>6</v>
      </c>
    </row>
    <row r="16" spans="1:15">
      <c r="A16" t="s">
        <v>4274</v>
      </c>
      <c r="B16" s="39" t="str">
        <f>HYPERLINK('citations-it1-studies'!$D18,'citations-it1-studies'!$B18)</f>
        <v>X-IIoTID: A Connectivity-Agnostic and Device-Agnostic Intrusion Data Set for Industrial Internet of Things</v>
      </c>
      <c r="C16">
        <f>'citations-it1-studies'!$C18</f>
        <v>2022</v>
      </c>
      <c r="D16">
        <f>'citations-it1-studies'!$H18</f>
        <v>16</v>
      </c>
    </row>
    <row r="17" spans="1:4">
      <c r="A17" t="s">
        <v>4274</v>
      </c>
      <c r="B17" s="39" t="str">
        <f>HYPERLINK('citations-it1-studies'!$D19,'citations-it1-studies'!$B19)</f>
        <v>Intelligent Monitoring and Control Systems for Smart Water Management</v>
      </c>
      <c r="C17">
        <f>'citations-it1-studies'!$C19</f>
        <v>2025</v>
      </c>
      <c r="D17">
        <f>'citations-it1-studies'!$H19</f>
        <v>22</v>
      </c>
    </row>
    <row r="18" spans="1:4">
      <c r="A18" t="s">
        <v>4274</v>
      </c>
      <c r="B18" s="39" t="str">
        <f>HYPERLINK('citations-it1-studies'!$D20,'citations-it1-studies'!$B20)</f>
        <v>Multisensory Fusion, Haptic, and Visual Feedback Teleoperation System Under IoT Framework</v>
      </c>
      <c r="C18">
        <f>'citations-it1-studies'!$C20</f>
        <v>2022</v>
      </c>
      <c r="D18">
        <f>'citations-it1-studies'!$H20</f>
        <v>11</v>
      </c>
    </row>
    <row r="19" spans="1:4">
      <c r="A19" t="s">
        <v>4274</v>
      </c>
      <c r="B19" s="39" t="str">
        <f>HYPERLINK('citations-it1-studies'!$D21,'citations-it1-studies'!$B21)</f>
        <v>Transfer Fuzzy Learning enabled Streebog Cryptographic Substitution Permutation based zero trust security in IIOT</v>
      </c>
      <c r="C19">
        <f>'citations-it1-studies'!$C21</f>
        <v>2023</v>
      </c>
      <c r="D19">
        <f>'citations-it1-studies'!$H21</f>
        <v>11</v>
      </c>
    </row>
    <row r="20" spans="1:4">
      <c r="A20" t="s">
        <v>4274</v>
      </c>
      <c r="B20" s="39" t="str">
        <f>HYPERLINK('citations-it1-studies'!$D22,'citations-it1-studies'!$B22)</f>
        <v>High Precision Open Laboratory 3D Positioning System for Automated Underwater Measurements</v>
      </c>
      <c r="C20">
        <f>'citations-it1-studies'!$C22</f>
        <v>2021</v>
      </c>
      <c r="D20">
        <f>'citations-it1-studies'!$H22</f>
        <v>5</v>
      </c>
    </row>
    <row r="21" spans="1:4">
      <c r="A21" t="s">
        <v>4274</v>
      </c>
      <c r="B21" s="39" t="str">
        <f>HYPERLINK('citations-it1-studies'!$D23,'citations-it1-studies'!$B23)</f>
        <v>Architecture for data-centric and semantic-enhanced industrial metaverse: Bridging physical factories and virtual landscape</v>
      </c>
      <c r="C21">
        <f>'citations-it1-studies'!$C23</f>
        <v>2024</v>
      </c>
      <c r="D21">
        <f>'citations-it1-studies'!$H23</f>
        <v>15</v>
      </c>
    </row>
    <row r="22" spans="1:4">
      <c r="A22" t="s">
        <v>4274</v>
      </c>
      <c r="B22" s="39" t="str">
        <f>HYPERLINK('citations-it1-studies'!$D24,'citations-it1-studies'!$B24)</f>
        <v>Developing a Low-cost SCADA System for Industrial Application</v>
      </c>
      <c r="C22">
        <f>'citations-it1-studies'!$C24</f>
        <v>2022</v>
      </c>
      <c r="D22">
        <f>'citations-it1-studies'!$H24</f>
        <v>6</v>
      </c>
    </row>
    <row r="23" spans="1:4">
      <c r="A23" t="s">
        <v>4274</v>
      </c>
      <c r="B23" s="39" t="str">
        <f>HYPERLINK('citations-it1-studies'!$D25,'citations-it1-studies'!$B25)</f>
        <v>Evaluating Real-Time Ethernet performance indicators for SERCOS III networks</v>
      </c>
      <c r="C23">
        <f>'citations-it1-studies'!$C25</f>
        <v>2021</v>
      </c>
      <c r="D23">
        <f>'citations-it1-studies'!$H25</f>
        <v>7</v>
      </c>
    </row>
    <row r="24" spans="1:4">
      <c r="A24" t="s">
        <v>4274</v>
      </c>
      <c r="B24" s="39" t="str">
        <f>HYPERLINK('citations-it1-studies'!$D27,'citations-it1-studies'!$B27)</f>
        <v>Cloud-Fog Automation: The New Paradigm Toward Autonomous Industrial Cyber-Physical Systems</v>
      </c>
      <c r="C24">
        <f>'citations-it1-studies'!$C27</f>
        <v>2025</v>
      </c>
      <c r="D24">
        <f>'citations-it1-studies'!$H27</f>
        <v>21</v>
      </c>
    </row>
    <row r="25" spans="1:4">
      <c r="A25" t="s">
        <v>4274</v>
      </c>
      <c r="B25" s="39" t="str">
        <f>HYPERLINK('citations-it1-studies'!$D28,'citations-it1-studies'!$B28)</f>
        <v>Integrating Fieldbus and Data-Centric Middleware: An STM32 Modbus Master Gateway for DDS-Based IIoT Systems</v>
      </c>
      <c r="C25">
        <f>'citations-it1-studies'!$C28</f>
        <v>2025</v>
      </c>
      <c r="D25">
        <f>'citations-it1-studies'!$H28</f>
        <v>0</v>
      </c>
    </row>
    <row r="26" spans="1:4">
      <c r="A26" t="s">
        <v>4274</v>
      </c>
      <c r="B26" s="39" t="str">
        <f>HYPERLINK('citations-it1-studies'!$D29,'citations-it1-studies'!$B29)</f>
        <v>Online Compensation Method for Contour Error in the Parallel Module of a Hybrid Gantry Machining Center</v>
      </c>
      <c r="C26">
        <f>'citations-it1-studies'!$C29</f>
        <v>2025</v>
      </c>
      <c r="D26">
        <f>'citations-it1-studies'!$H29</f>
        <v>0</v>
      </c>
    </row>
    <row r="27" spans="1:4">
      <c r="A27" t="s">
        <v>4274</v>
      </c>
      <c r="B27" s="39" t="str">
        <f>HYPERLINK('citations-it1-studies'!$D30,'citations-it1-studies'!$B30)</f>
        <v>RAPTOR: Advanced Persistent Threat Detection in Industrial IoT via Attack Stage Correlation</v>
      </c>
      <c r="C27">
        <f>'citations-it1-studies'!$C30</f>
        <v>2023</v>
      </c>
      <c r="D27">
        <f>'citations-it1-studies'!$H30</f>
        <v>12</v>
      </c>
    </row>
    <row r="28" spans="1:4">
      <c r="A28" t="s">
        <v>4274</v>
      </c>
      <c r="B28" s="39" t="str">
        <f>HYPERLINK('citations-it1-studies'!$D31,'citations-it1-studies'!$B31)</f>
        <v>Improving Security and Preventing Cyber Attacks in Smart Device Networks</v>
      </c>
      <c r="C28">
        <f>'citations-it1-studies'!$C31</f>
        <v>2025</v>
      </c>
      <c r="D28">
        <f>'citations-it1-studies'!$H31</f>
        <v>6</v>
      </c>
    </row>
    <row r="29" spans="1:4">
      <c r="A29" t="s">
        <v>4274</v>
      </c>
      <c r="B29" s="39" t="str">
        <f>HYPERLINK('citations-it1-studies'!$D32,'citations-it1-studies'!$B32)</f>
        <v>KOTO: A Kubernetes-Based Platform for Secure and Scalable OT Orchestration in Industry 5.0</v>
      </c>
      <c r="C29">
        <f>'citations-it1-studies'!$C32</f>
        <v>2025</v>
      </c>
      <c r="D29">
        <f>'citations-it1-studies'!$H32</f>
        <v>6</v>
      </c>
    </row>
    <row r="30" spans="1:4">
      <c r="A30" t="s">
        <v>4274</v>
      </c>
      <c r="B30" s="39" t="str">
        <f>HYPERLINK('citations-it1-studies'!$D33,'citations-it1-studies'!$B33)</f>
        <v>A Survey of Public IoT Datasets for Network Security Research</v>
      </c>
      <c r="C30">
        <f>'citations-it1-studies'!$C33</f>
        <v>2023</v>
      </c>
      <c r="D30">
        <f>'citations-it1-studies'!$H33</f>
        <v>33</v>
      </c>
    </row>
    <row r="31" spans="1:4">
      <c r="A31" t="s">
        <v>4274</v>
      </c>
      <c r="B31" s="39" t="str">
        <f>HYPERLINK('citations-it1-studies'!$D37,'citations-it1-studies'!$B37)</f>
        <v>ExaMon-X: A Predictive Maintenance Framework for Automatic Monitoring in Industrial IoT Systems</v>
      </c>
      <c r="C31">
        <f>'citations-it1-studies'!$C37</f>
        <v>2023</v>
      </c>
      <c r="D31">
        <f>'citations-it1-studies'!$H37</f>
        <v>11</v>
      </c>
    </row>
    <row r="32" spans="1:4">
      <c r="A32" t="s">
        <v>4274</v>
      </c>
      <c r="B32" s="39" t="str">
        <f>HYPERLINK('citations-it1-studies'!$D39,'citations-it1-studies'!$B39)</f>
        <v>Interaction of Artificial Intelligence and Machining Processes Regarding Industry 4.0 Production Systems</v>
      </c>
      <c r="C32">
        <f>'citations-it1-studies'!$C39</f>
        <v>2023</v>
      </c>
      <c r="D32">
        <f>'citations-it1-studies'!$H39</f>
        <v>10</v>
      </c>
    </row>
    <row r="33" spans="1:4">
      <c r="A33" t="s">
        <v>4274</v>
      </c>
      <c r="B33" s="39" t="str">
        <f>HYPERLINK('citations-it1-studies'!$D40,'citations-it1-studies'!$B40)</f>
        <v>The Influence of Choosing Sensor Locations Inside Closed Facilities on the Reliability, Adaptability, and Energy Efficiency of IoT Systems</v>
      </c>
      <c r="C33">
        <f>'citations-it1-studies'!$C40</f>
        <v>2024</v>
      </c>
      <c r="D33">
        <f>'citations-it1-studies'!$H40</f>
        <v>6</v>
      </c>
    </row>
    <row r="34" spans="1:4">
      <c r="A34" t="s">
        <v>4274</v>
      </c>
      <c r="B34" s="39" t="str">
        <f>HYPERLINK('citations-it1-studies'!$D41,'citations-it1-studies'!$B41)</f>
        <v>Messaging Protocols for IoT Systems-A Pragmatic Comparison.</v>
      </c>
      <c r="C34">
        <f>'citations-it1-studies'!$C41</f>
        <v>2021</v>
      </c>
      <c r="D34">
        <f>'citations-it1-studies'!$H41</f>
        <v>0</v>
      </c>
    </row>
    <row r="35" spans="1:4">
      <c r="A35" t="s">
        <v>4274</v>
      </c>
      <c r="B35" s="39" t="str">
        <f>HYPERLINK('citations-it1-studies'!$D42,'citations-it1-studies'!$B42)</f>
        <v>Deep Learning-Based Intrusion Detection for Distributed Denial of Service Attack in Agriculture 4.0</v>
      </c>
      <c r="C35">
        <f>'citations-it1-studies'!$C42</f>
        <v>2021</v>
      </c>
      <c r="D35">
        <f>'citations-it1-studies'!$H42</f>
        <v>0</v>
      </c>
    </row>
    <row r="36" spans="1:4">
      <c r="A36" t="s">
        <v>4274</v>
      </c>
      <c r="B36" s="39" t="str">
        <f>HYPERLINK('citations-it1-studies'!$D44,'citations-it1-studies'!$B44)</f>
        <v>Enhancing Cybersecurity in Industrial Internet of Things: Machine Learning-Based Approaches for Cyber-Attack Detection in a Realworld Testbed Environment</v>
      </c>
      <c r="C36">
        <f>'citations-it1-studies'!$C44</f>
        <v>2025</v>
      </c>
      <c r="D36">
        <f>'citations-it1-studies'!$H44</f>
        <v>14</v>
      </c>
    </row>
    <row r="37" spans="1:4">
      <c r="A37" t="s">
        <v>4274</v>
      </c>
      <c r="B37" s="39" t="str">
        <f>HYPERLINK('citations-it1-studies'!$D45,'citations-it1-studies'!$B45)</f>
        <v>Wireless Cyber-Physical Systems Performance Evaluation through a Graph Database Approach.</v>
      </c>
      <c r="C37">
        <f>'citations-it1-studies'!$C45</f>
        <v>2020</v>
      </c>
      <c r="D37">
        <f>'citations-it1-studies'!$H45</f>
        <v>19</v>
      </c>
    </row>
    <row r="38" spans="1:4">
      <c r="A38" t="s">
        <v>4274</v>
      </c>
      <c r="B38" s="39" t="str">
        <f>HYPERLINK('citations-it1-studies'!$D46,'citations-it1-studies'!$B46)</f>
        <v>Orchestrating Embodied Systems through the Embodied Context Protocol: Motivation, Progress, and Directions.</v>
      </c>
      <c r="C38">
        <f>'citations-it1-studies'!$C46</f>
        <v>2025</v>
      </c>
      <c r="D38">
        <f>'citations-it1-studies'!$H46</f>
        <v>0</v>
      </c>
    </row>
    <row r="39" spans="1:4">
      <c r="A39" t="s">
        <v>4274</v>
      </c>
      <c r="B39" s="39" t="str">
        <f>HYPERLINK('citations-it1-studies'!$D47,'citations-it1-studies'!$B47)</f>
        <v>Functioning and Development of a Real-Time Information System for the Oil Treatment Technological Process Control</v>
      </c>
      <c r="C39">
        <f>'citations-it1-studies'!$C47</f>
        <v>2020</v>
      </c>
      <c r="D39">
        <f>'citations-it1-studies'!$H47</f>
        <v>6</v>
      </c>
    </row>
    <row r="40" spans="1:4">
      <c r="A40" t="s">
        <v>4274</v>
      </c>
      <c r="B40" s="39" t="str">
        <f>HYPERLINK('citations-it1-studies'!$D48,'citations-it1-studies'!$B48)</f>
        <v>OPC UA PubSub and Industrial Controller Redundancy</v>
      </c>
      <c r="C40">
        <f>'citations-it1-studies'!$C48</f>
        <v>2024</v>
      </c>
      <c r="D40">
        <f>'citations-it1-studies'!$H48</f>
        <v>8</v>
      </c>
    </row>
    <row r="41" spans="1:4">
      <c r="A41" t="s">
        <v>4274</v>
      </c>
      <c r="B41" s="39" t="str">
        <f>HYPERLINK('citations-it1-studies'!$D49,'citations-it1-studies'!$B49)</f>
        <v>Evaluation of quality of service parameters for MQTT communication in IoT application by using deep neural network</v>
      </c>
      <c r="C41">
        <f>'citations-it1-studies'!$C49</f>
        <v>2023</v>
      </c>
      <c r="D41">
        <f>'citations-it1-studies'!$H49</f>
        <v>14</v>
      </c>
    </row>
    <row r="42" spans="1:4">
      <c r="A42" t="s">
        <v>4274</v>
      </c>
      <c r="B42" s="39" t="str">
        <f>HYPERLINK('citations-it1-studies'!$D50,'citations-it1-studies'!$B50)</f>
        <v>Game Theoretic Feedback Control for Reliability Enhancement of EtherCAT-Based Networked Systems</v>
      </c>
      <c r="C42">
        <f>'citations-it1-studies'!$C50</f>
        <v>2019</v>
      </c>
      <c r="D42">
        <f>'citations-it1-studies'!$H50</f>
        <v>12</v>
      </c>
    </row>
    <row r="43" spans="1:4">
      <c r="A43" t="s">
        <v>4274</v>
      </c>
      <c r="B43" s="39" t="str">
        <f>HYPERLINK('citations-it1-studies'!$D51,'citations-it1-studies'!$B51)</f>
        <v>Centralized controlling of distributed PV systems using cloud and IoT technologies</v>
      </c>
      <c r="C43">
        <f>'citations-it1-studies'!$C51</f>
        <v>2023</v>
      </c>
      <c r="D43">
        <f>'citations-it1-studies'!$H51</f>
        <v>6</v>
      </c>
    </row>
    <row r="44" spans="1:4">
      <c r="A44" t="s">
        <v>4274</v>
      </c>
      <c r="B44" s="39" t="str">
        <f>HYPERLINK('citations-it1-studies'!$D52,'citations-it1-studies'!$B52)</f>
        <v>A Thorough Analysis and Comparison of Data Communication Protocols Used in Industry 4.0: the Case of Smart-CNC</v>
      </c>
      <c r="C44">
        <f>'citations-it1-studies'!$C52</f>
        <v>2022</v>
      </c>
      <c r="D44">
        <f>'citations-it1-studies'!$H52</f>
        <v>8</v>
      </c>
    </row>
    <row r="45" spans="1:4">
      <c r="A45" t="s">
        <v>4274</v>
      </c>
      <c r="B45" s="39" t="str">
        <f>HYPERLINK('citations-it1-studies'!$D53,'citations-it1-studies'!$B53)</f>
        <v>Redundancy for an all-in-one ISA100.11a Gateway: Protocol Design and Hardware Integration</v>
      </c>
      <c r="C45">
        <f>'citations-it1-studies'!$C53</f>
        <v>2019</v>
      </c>
      <c r="D45">
        <f>'citations-it1-studies'!$H53</f>
        <v>6</v>
      </c>
    </row>
    <row r="46" spans="1:4">
      <c r="A46" t="s">
        <v>4274</v>
      </c>
      <c r="B46" s="39" t="str">
        <f>HYPERLINK('citations-it1-studies'!$D54,'citations-it1-studies'!$B54)</f>
        <v>Driving Factors Behind Adopting Virtual Testbeds for ICS Cybersecurity Education.</v>
      </c>
      <c r="C46">
        <f>'citations-it1-studies'!$C54</f>
        <v>2025</v>
      </c>
      <c r="D46">
        <f>'citations-it1-studies'!$H54</f>
        <v>7</v>
      </c>
    </row>
    <row r="47" spans="1:4">
      <c r="A47" t="s">
        <v>4274</v>
      </c>
      <c r="B47" s="39" t="str">
        <f>HYPERLINK('citations-it1-studies'!$D55,'citations-it1-studies'!$B55)</f>
        <v>A platform-enabled CNC within edge-cloud environments: perspectives, challenges, and potential solutions</v>
      </c>
      <c r="C47">
        <f>'citations-it1-studies'!$C55</f>
        <v>2025</v>
      </c>
      <c r="D47">
        <f>'citations-it1-studies'!$H55</f>
        <v>17</v>
      </c>
    </row>
    <row r="48" spans="1:4">
      <c r="A48" t="s">
        <v>4274</v>
      </c>
      <c r="B48" s="39" t="str">
        <f>HYPERLINK('citations-it1-studies'!$D56,'citations-it1-studies'!$B56)</f>
        <v>Voltage Regulation in Microgrids via Modulation Communication: A Distributed Output Consensus Approach</v>
      </c>
      <c r="C48">
        <f>'citations-it1-studies'!$C56</f>
        <v>2025</v>
      </c>
      <c r="D48">
        <f>'citations-it1-studies'!$H56</f>
        <v>10</v>
      </c>
    </row>
    <row r="49" spans="1:4">
      <c r="A49" t="s">
        <v>4274</v>
      </c>
      <c r="B49" s="39" t="str">
        <f>HYPERLINK('citations-it1-studies'!$D57,'citations-it1-studies'!$B57)</f>
        <v>Trustworthy and Reliable Deep Learning-based Cyberattack Detection in Industrial IoT.</v>
      </c>
      <c r="C49">
        <f>'citations-it1-studies'!$C57</f>
        <v>2022</v>
      </c>
      <c r="D49">
        <f>'citations-it1-studies'!$H57</f>
        <v>9</v>
      </c>
    </row>
    <row r="50" spans="1:4">
      <c r="A50" t="s">
        <v>4274</v>
      </c>
      <c r="B50" s="39" t="str">
        <f>HYPERLINK('citations-it1-studies'!$D58,'citations-it1-studies'!$B58)</f>
        <v>Characterizing the Real-Time Communication Performance of Virtual PLC in Industrial Edge Platform</v>
      </c>
      <c r="C50">
        <f>'citations-it1-studies'!$C58</f>
        <v>2025</v>
      </c>
      <c r="D50">
        <f>'citations-it1-studies'!$H58</f>
        <v>11</v>
      </c>
    </row>
    <row r="51" spans="1:4">
      <c r="A51" t="s">
        <v>4274</v>
      </c>
      <c r="B51" s="39" t="str">
        <f>HYPERLINK('citations-it1-studies'!$D60,'citations-it1-studies'!$B60)</f>
        <v>A Hybrid VLC/RF Parking Automation System</v>
      </c>
      <c r="C51">
        <f>'citations-it1-studies'!$C60</f>
        <v>2023</v>
      </c>
      <c r="D51">
        <f>'citations-it1-studies'!$H60</f>
        <v>19</v>
      </c>
    </row>
    <row r="52" spans="1:4">
      <c r="A52" t="s">
        <v>4274</v>
      </c>
      <c r="B52" s="39" t="str">
        <f>HYPERLINK('citations-it1-studies'!$D62,'citations-it1-studies'!$B62)</f>
        <v>A Novel Industrial Software Model for Social Manufacturing</v>
      </c>
      <c r="C52">
        <f>'citations-it1-studies'!$C62</f>
        <v>2024</v>
      </c>
      <c r="D52">
        <f>'citations-it1-studies'!$H62</f>
        <v>0</v>
      </c>
    </row>
    <row r="53" spans="1:4">
      <c r="A53" t="s">
        <v>4274</v>
      </c>
      <c r="B53" s="39" t="str">
        <f>HYPERLINK('citations-it1-studies'!$D63,'citations-it1-studies'!$B63)</f>
        <v>A Systematic Review of Recent Advances in IoT-Based Sensor Networks for Warehouse Management</v>
      </c>
      <c r="C53">
        <f>'citations-it1-studies'!$C63</f>
        <v>2025</v>
      </c>
      <c r="D53">
        <f>'citations-it1-studies'!$H63</f>
        <v>0</v>
      </c>
    </row>
    <row r="54" spans="1:4">
      <c r="A54" t="s">
        <v>4274</v>
      </c>
      <c r="B54" s="39" t="str">
        <f>HYPERLINK('citations-it1-studies'!$D65,'citations-it1-studies'!$B65)</f>
        <v>Blake-2s based Improved Authentication Scheme for IEC 61850 GOOSE Messages</v>
      </c>
      <c r="C54">
        <f>'citations-it1-studies'!$C65</f>
        <v>2025</v>
      </c>
      <c r="D54">
        <f>'citations-it1-studies'!$H65</f>
        <v>6</v>
      </c>
    </row>
    <row r="55" spans="1:4">
      <c r="A55" t="s">
        <v>4274</v>
      </c>
      <c r="B55" s="39" t="str">
        <f>HYPERLINK('citations-it1-studies'!$D67,'citations-it1-studies'!$B67)</f>
        <v>Communication in collaborating construction equipment</v>
      </c>
      <c r="C55">
        <f>'citations-it1-studies'!$C67</f>
        <v>2023</v>
      </c>
      <c r="D55">
        <f>'citations-it1-studies'!$H67</f>
        <v>10</v>
      </c>
    </row>
    <row r="56" spans="1:4">
      <c r="A56" t="s">
        <v>4274</v>
      </c>
      <c r="B56" s="39" t="str">
        <f>HYPERLINK('citations-it1-studies'!$D68,'citations-it1-studies'!$B68)</f>
        <v>A Blockchain-Reinforced Federated Intrusion Detection Architecture for IIoT</v>
      </c>
      <c r="C56">
        <f>'citations-it1-studies'!$C68</f>
        <v>2024</v>
      </c>
      <c r="D56">
        <f>'citations-it1-studies'!$H68</f>
        <v>13</v>
      </c>
    </row>
    <row r="57" spans="1:4">
      <c r="A57" t="s">
        <v>4274</v>
      </c>
      <c r="B57" s="39" t="str">
        <f>HYPERLINK('citations-it1-studies'!$D69,'citations-it1-studies'!$B69)</f>
        <v>OPC UA client-server connection over an ISO 11783 vehicle network</v>
      </c>
      <c r="C57">
        <f>'citations-it1-studies'!$C69</f>
        <v>2023</v>
      </c>
      <c r="D57">
        <f>'citations-it1-studies'!$H69</f>
        <v>12</v>
      </c>
    </row>
    <row r="58" spans="1:4">
      <c r="A58" t="s">
        <v>4274</v>
      </c>
      <c r="B58" s="39" t="str">
        <f>HYPERLINK('citations-it1-studies'!$D71,'citations-it1-studies'!$B71)</f>
        <v>WiSEE - Wireless Transmission of Sensor Data over UWB in Spacecraft Payload Networks</v>
      </c>
      <c r="C58">
        <f>'citations-it1-studies'!$C71</f>
        <v>2018</v>
      </c>
      <c r="D58">
        <f>'citations-it1-studies'!$H71</f>
        <v>6</v>
      </c>
    </row>
    <row r="59" spans="1:4">
      <c r="A59" t="s">
        <v>4274</v>
      </c>
      <c r="B59" s="39" t="str">
        <f>HYPERLINK('citations-it1-studies'!$D72,'citations-it1-studies'!$B72)</f>
        <v>The Digital Backbone of Manufacturing: A Framework for Network Protocol Selection</v>
      </c>
      <c r="C59">
        <f>'citations-it1-studies'!$C72</f>
        <v>2025</v>
      </c>
      <c r="D59">
        <f>'citations-it1-studies'!$H72</f>
        <v>0</v>
      </c>
    </row>
    <row r="60" spans="1:4">
      <c r="A60" t="s">
        <v>4274</v>
      </c>
      <c r="B60" s="39" t="str">
        <f>HYPERLINK('citations-it1-studies'!$D73,'citations-it1-studies'!$B73)</f>
        <v>ETFA - Clock Synchronization in Integrated TSN-EtherCAT Networks</v>
      </c>
      <c r="C60">
        <f>'citations-it1-studies'!$C73</f>
        <v>2020</v>
      </c>
      <c r="D60">
        <f>'citations-it1-studies'!$H73</f>
        <v>8</v>
      </c>
    </row>
    <row r="61" spans="1:4">
      <c r="A61" t="s">
        <v>4274</v>
      </c>
      <c r="B61" s="39" t="str">
        <f>HYPERLINK('citations-it1-studies'!$D74,'citations-it1-studies'!$B74)</f>
        <v>End-to-End Visual Control Framework in Wireless TSN Networks for Industrial IoT</v>
      </c>
      <c r="C61">
        <f>'citations-it1-studies'!$C74</f>
        <v>2025</v>
      </c>
      <c r="D61">
        <f>'citations-it1-studies'!$H74</f>
        <v>14</v>
      </c>
    </row>
    <row r="62" spans="1:4">
      <c r="A62" t="s">
        <v>4274</v>
      </c>
      <c r="B62" s="39" t="str">
        <f>HYPERLINK('citations-it1-studies'!$D75,'citations-it1-studies'!$B75)</f>
        <v>Beyond the Virtual PLC Networking Constraints: MACvLAN Approach in Industrial Environments</v>
      </c>
      <c r="C62">
        <f>'citations-it1-studies'!$C75</f>
        <v>2025</v>
      </c>
      <c r="D62">
        <f>'citations-it1-studies'!$H75</f>
        <v>6</v>
      </c>
    </row>
    <row r="63" spans="1:4">
      <c r="A63" t="s">
        <v>4274</v>
      </c>
      <c r="B63" s="39" t="str">
        <f>HYPERLINK('citations-it1-studies'!$D76,'citations-it1-studies'!$B76)</f>
        <v>A Study on 28 GHz Power Amplifiers for Industrial Revolution 4.0 Compatible 5G NR FR2 IoT Transceivers</v>
      </c>
      <c r="C63">
        <f>'citations-it1-studies'!$C76</f>
        <v>2023</v>
      </c>
      <c r="D63">
        <f>'citations-it1-studies'!$H76</f>
        <v>6</v>
      </c>
    </row>
    <row r="64" spans="1:4">
      <c r="A64" t="s">
        <v>4274</v>
      </c>
      <c r="B64" s="39" t="str">
        <f>HYPERLINK('citations-it1-studies'!$D78,'citations-it1-studies'!$B78)</f>
        <v>Asset Management Method of Industrial IoT Systems for Cyber-Security Countermeasures</v>
      </c>
      <c r="C64">
        <f>'citations-it1-studies'!$C78</f>
        <v>2021</v>
      </c>
      <c r="D64">
        <f>'citations-it1-studies'!$H78</f>
        <v>0</v>
      </c>
    </row>
    <row r="65" spans="1:4">
      <c r="A65" t="s">
        <v>4274</v>
      </c>
      <c r="B65" s="39" t="str">
        <f>HYPERLINK('citations-it1-studies'!$D79,'citations-it1-studies'!$B79)</f>
        <v>A threat intelligence framework for protecting smart satellite-based healthcare networks</v>
      </c>
      <c r="C65">
        <f>'citations-it1-studies'!$C79</f>
        <v>2021</v>
      </c>
      <c r="D65">
        <f>'citations-it1-studies'!$H79</f>
        <v>21</v>
      </c>
    </row>
    <row r="66" spans="1:4">
      <c r="A66" t="s">
        <v>4274</v>
      </c>
      <c r="B66" s="39" t="str">
        <f>HYPERLINK('citations-it1-studies'!$D80,'citations-it1-studies'!$B80)</f>
        <v>Performance Analysis of OPC UA for Industrial Interoperability towards Industry 4.0</v>
      </c>
      <c r="C66">
        <f>'citations-it1-studies'!$C80</f>
        <v>2022</v>
      </c>
      <c r="D66">
        <f>'citations-it1-studies'!$H80</f>
        <v>19</v>
      </c>
    </row>
    <row r="67" spans="1:4">
      <c r="A67" t="s">
        <v>4274</v>
      </c>
      <c r="B67" s="39" t="str">
        <f>HYPERLINK('citations-it1-studies'!$D81,'citations-it1-studies'!$B81)</f>
        <v>Benchmark and Design Support for Demand-Oriented Cloud-Communication Architectures of Cyber-Physical Production Systems</v>
      </c>
      <c r="C67">
        <f>'citations-it1-studies'!$C81</f>
        <v>2023</v>
      </c>
      <c r="D67">
        <f>'citations-it1-studies'!$H81</f>
        <v>8</v>
      </c>
    </row>
    <row r="68" spans="1:4">
      <c r="A68" t="s">
        <v>4274</v>
      </c>
      <c r="B68" s="39" t="str">
        <f>HYPERLINK('citations-it1-studies'!$D82,'citations-it1-studies'!$B82)</f>
        <v>A Real Network Performance Analysis Testbed for Encrypted MQTT in DMS</v>
      </c>
      <c r="C68">
        <f>'citations-it1-studies'!$C82</f>
        <v>2024</v>
      </c>
      <c r="D68">
        <f>'citations-it1-studies'!$H82</f>
        <v>6</v>
      </c>
    </row>
    <row r="69" spans="1:4">
      <c r="A69" t="s">
        <v>4274</v>
      </c>
      <c r="B69" s="39" t="str">
        <f>HYPERLINK('citations-it1-studies'!$D83,'citations-it1-studies'!$B83)</f>
        <v>ДОСЛІДЖЕННЯ ЕФЕКТИВНОСТІ ВИКОРИСТАННЯ РОЗПОДІЛЕНИХ БАЗ ДАНИХ В СИСТЕМАХ IIOT</v>
      </c>
      <c r="C69">
        <f>'citations-it1-studies'!$C83</f>
        <v>2022</v>
      </c>
      <c r="D69">
        <f>'citations-it1-studies'!$H83</f>
        <v>7</v>
      </c>
    </row>
    <row r="70" spans="1:4">
      <c r="A70" t="s">
        <v>4274</v>
      </c>
      <c r="B70" s="39" t="str">
        <f>HYPERLINK('citations-it1-studies'!$D84,'citations-it1-studies'!$B84)</f>
        <v>Performance Evaluation of an IEEE 802.11g Network in an Industrial Environment</v>
      </c>
      <c r="C70">
        <f>'citations-it1-studies'!$C84</f>
        <v>2020</v>
      </c>
      <c r="D70">
        <f>'citations-it1-studies'!$H84</f>
        <v>7</v>
      </c>
    </row>
    <row r="71" spans="1:4">
      <c r="A71" t="s">
        <v>4274</v>
      </c>
      <c r="B71" s="39" t="str">
        <f>HYPERLINK('citations-it1-studies'!$D85,'citations-it1-studies'!$B85)</f>
        <v>Improving Fault Tolerance and Tackling Broker Failure in MQTT through Blockchain</v>
      </c>
      <c r="C71">
        <f>'citations-it1-studies'!$C85</f>
        <v>2023</v>
      </c>
      <c r="D71">
        <f>'citations-it1-studies'!$H85</f>
        <v>6</v>
      </c>
    </row>
    <row r="72" spans="1:4">
      <c r="A72" t="s">
        <v>4274</v>
      </c>
      <c r="B72" s="39" t="str">
        <f>HYPERLINK('citations-it1-studies'!$D87,'citations-it1-studies'!$B87)</f>
        <v>Time Sensitive Networking for Future Enabling Technologies: Overview and Measurement Issues for Metrological Characterization</v>
      </c>
      <c r="C72">
        <f>'citations-it1-studies'!$C87</f>
        <v>2024</v>
      </c>
      <c r="D72">
        <f>'citations-it1-studies'!$H87</f>
        <v>6</v>
      </c>
    </row>
    <row r="73" spans="1:4">
      <c r="A73" t="s">
        <v>4274</v>
      </c>
      <c r="B73" s="39" t="str">
        <f>HYPERLINK('citations-it1-studies'!$D88,'citations-it1-studies'!$B88)</f>
        <v>On the integration of OPC UA over Wired – Wireless Time Sensitive Networking</v>
      </c>
      <c r="C73">
        <f>'citations-it1-studies'!$C88</f>
        <v>2023</v>
      </c>
      <c r="D73">
        <f>'citations-it1-studies'!$H88</f>
        <v>6</v>
      </c>
    </row>
    <row r="74" spans="1:4">
      <c r="A74" t="s">
        <v>4274</v>
      </c>
      <c r="B74" s="39" t="str">
        <f>HYPERLINK('citations-it1-studies'!$D90,'citations-it1-studies'!$B90)</f>
        <v>An Innovative Digital Twin of Integrated Transportation and Power Networks for Efficient Scheduling of Autonomous Electric Vehicles</v>
      </c>
      <c r="C74">
        <f>'citations-it1-studies'!$C90</f>
        <v>2024</v>
      </c>
      <c r="D74">
        <f>'citations-it1-studies'!$H90</f>
        <v>5</v>
      </c>
    </row>
    <row r="75" spans="1:4">
      <c r="A75" t="s">
        <v>4274</v>
      </c>
      <c r="B75" s="39" t="str">
        <f>HYPERLINK('citations-it1-studies'!$D91,'citations-it1-studies'!$B91)</f>
        <v>A Comprehensive Review on 5G IIoT Test-Beds</v>
      </c>
      <c r="C75">
        <f>'citations-it1-studies'!$C91</f>
        <v>2025</v>
      </c>
      <c r="D75">
        <f>'citations-it1-studies'!$H91</f>
        <v>25</v>
      </c>
    </row>
    <row r="76" spans="1:4">
      <c r="A76" t="s">
        <v>4274</v>
      </c>
      <c r="B76" s="39" t="str">
        <f>HYPERLINK('citations-it1-studies'!$D93,'citations-it1-studies'!$B93)</f>
        <v>Implementing and using smart maintenance technologies: Introducing challenges and enablers related to human, organizational and technological perspectives</v>
      </c>
      <c r="C76">
        <f>'citations-it1-studies'!$C93</f>
        <v>2025</v>
      </c>
      <c r="D76">
        <f>'citations-it1-studies'!$H93</f>
        <v>10</v>
      </c>
    </row>
    <row r="77" spans="1:4">
      <c r="A77" t="s">
        <v>4274</v>
      </c>
      <c r="B77" s="39" t="str">
        <f>HYPERLINK('citations-it1-studies'!$D94,'citations-it1-studies'!$B94)</f>
        <v>Performance evaluation of industrial Ethernet protocols for networked control application</v>
      </c>
      <c r="C77">
        <f>'citations-it1-studies'!$C94</f>
        <v>2019</v>
      </c>
      <c r="D77">
        <f>'citations-it1-studies'!$H94</f>
        <v>10</v>
      </c>
    </row>
    <row r="78" spans="1:4">
      <c r="A78" t="s">
        <v>4274</v>
      </c>
      <c r="B78" s="39" t="str">
        <f>HYPERLINK('citations-it1-studies'!$D95,'citations-it1-studies'!$B95)</f>
        <v>Comprehensive Exploration of IoT Communication Protocol: CoAP, MQTT, HTTP, LoRaWAN and AMQP</v>
      </c>
      <c r="C78">
        <f>'citations-it1-studies'!$C95</f>
        <v>2024</v>
      </c>
      <c r="D78">
        <f>'citations-it1-studies'!$H95</f>
        <v>14</v>
      </c>
    </row>
    <row r="79" spans="1:4">
      <c r="A79" t="s">
        <v>4274</v>
      </c>
      <c r="B79" s="39" t="str">
        <f>HYPERLINK('citations-it1-studies'!$D96,'citations-it1-studies'!$B96)</f>
        <v>System architecture for small‐scale personalized production lines based on industrial Internet</v>
      </c>
      <c r="C79">
        <f>'citations-it1-studies'!$C96</f>
        <v>2024</v>
      </c>
      <c r="D79">
        <f>'citations-it1-studies'!$H96</f>
        <v>0</v>
      </c>
    </row>
    <row r="80" spans="1:4">
      <c r="A80" t="s">
        <v>4274</v>
      </c>
      <c r="B80" s="39" t="str">
        <f>HYPERLINK('citations-it1-studies'!$D98,'citations-it1-studies'!$B98)</f>
        <v>Encryption for Industrial Control Systems: A Survey of Application-Level and Network-Level Approaches in Smart Grids</v>
      </c>
      <c r="C80">
        <f>'citations-it1-studies'!$C98</f>
        <v>2026</v>
      </c>
      <c r="D80">
        <f>'citations-it1-studies'!$H98</f>
        <v>0</v>
      </c>
    </row>
    <row r="81" spans="1:4">
      <c r="A81" t="s">
        <v>4274</v>
      </c>
      <c r="B81" s="39" t="str">
        <f>HYPERLINK('citations-it1-studies'!$D101,'citations-it1-studies'!$B101)</f>
        <v>Design of Cloud-Edge-Gateway Collaborative Zero-Trust Architecture and Workflow for Smart Factories</v>
      </c>
      <c r="C81">
        <f>'citations-it1-studies'!$C101</f>
        <v>2024</v>
      </c>
      <c r="D81">
        <f>'citations-it1-studies'!$H101</f>
        <v>5</v>
      </c>
    </row>
    <row r="82" spans="1:4">
      <c r="A82" t="s">
        <v>4274</v>
      </c>
      <c r="B82" s="39" t="str">
        <f>HYPERLINK('citations-it1-studies'!$D102,'citations-it1-studies'!$B102)</f>
        <v>Performance Evaluation of Application Layer IoT Protocols: MQTT and CoAP</v>
      </c>
      <c r="C82">
        <f>'citations-it1-studies'!$C102</f>
        <v>2024</v>
      </c>
      <c r="D82">
        <f>'citations-it1-studies'!$H102</f>
        <v>6</v>
      </c>
    </row>
    <row r="83" spans="1:4">
      <c r="A83" t="s">
        <v>4274</v>
      </c>
      <c r="B83" s="39" t="str">
        <f>HYPERLINK('citations-it1-studies'!$D103,'citations-it1-studies'!$B103)</f>
        <v>Mitigating 3D printing defects via cyber-physical systems: a process for fabricating defect-free components</v>
      </c>
      <c r="C83">
        <f>'citations-it1-studies'!$C103</f>
        <v>2025</v>
      </c>
      <c r="D83">
        <f>'citations-it1-studies'!$H103</f>
        <v>22</v>
      </c>
    </row>
    <row r="84" spans="1:4">
      <c r="A84" t="s">
        <v>4274</v>
      </c>
      <c r="B84" s="39" t="str">
        <f>HYPERLINK('citations-it1-studies'!$D104,'citations-it1-studies'!$B104)</f>
        <v>Environment Monitoring Subsystem Based on Recursive InterNetwork Architecture</v>
      </c>
      <c r="C84">
        <f>'citations-it1-studies'!$C104</f>
        <v>2024</v>
      </c>
      <c r="D84">
        <f>'citations-it1-studies'!$H104</f>
        <v>19</v>
      </c>
    </row>
    <row r="85" spans="1:4">
      <c r="A85" t="s">
        <v>4274</v>
      </c>
      <c r="B85" s="39" t="str">
        <f>HYPERLINK('citations-it1-studies'!$D105,'citations-it1-studies'!$B105)</f>
        <v>When the digital twin meets the preventive conservation of movable wooden artifacts</v>
      </c>
      <c r="C85">
        <f>'citations-it1-studies'!$C105</f>
        <v>2023</v>
      </c>
      <c r="D85">
        <f>'citations-it1-studies'!$H105</f>
        <v>0</v>
      </c>
    </row>
    <row r="86" spans="1:4">
      <c r="A86" t="s">
        <v>4274</v>
      </c>
      <c r="B86" s="39" t="str">
        <f>HYPERLINK('citations-it1-studies'!$D106,'citations-it1-studies'!$B106)</f>
        <v>Deep Learning Applications for Blockchain in Industrial IoT</v>
      </c>
      <c r="C86">
        <f>'citations-it1-studies'!$C106</f>
        <v>2022</v>
      </c>
      <c r="D86">
        <f>'citations-it1-studies'!$H106</f>
        <v>6</v>
      </c>
    </row>
    <row r="87" spans="1:4">
      <c r="A87" t="s">
        <v>4274</v>
      </c>
      <c r="B87" s="39" t="str">
        <f>HYPERLINK('citations-it1-studies'!$D107,'citations-it1-studies'!$B107)</f>
        <v>Edge Computing: Use Cases and Research Challenges</v>
      </c>
      <c r="C87">
        <f>'citations-it1-studies'!$C107</f>
        <v>2023</v>
      </c>
      <c r="D87">
        <f>'citations-it1-studies'!$H107</f>
        <v>18</v>
      </c>
    </row>
    <row r="88" spans="1:4">
      <c r="A88" t="s">
        <v>4274</v>
      </c>
      <c r="B88" s="39" t="str">
        <f>HYPERLINK('citations-it1-studies'!$D108,'citations-it1-studies'!$B108)</f>
        <v>Data Security and Privacy in Industrial IoT</v>
      </c>
      <c r="C88">
        <f>'citations-it1-studies'!$C108</f>
        <v>2021</v>
      </c>
      <c r="D88">
        <f>'citations-it1-studies'!$H108</f>
        <v>19</v>
      </c>
    </row>
    <row r="89" spans="1:4">
      <c r="A89" t="s">
        <v>4274</v>
      </c>
      <c r="B89" s="39" t="str">
        <f>HYPERLINK('citations-it1-studies'!$D109,'citations-it1-studies'!$B109)</f>
        <v>Cloud Computing for High Voltage Substation Based Relay Protection</v>
      </c>
      <c r="C89">
        <f>'citations-it1-studies'!$C109</f>
        <v>2024</v>
      </c>
      <c r="D89">
        <f>'citations-it1-studies'!$H109</f>
        <v>7</v>
      </c>
    </row>
    <row r="90" spans="1:4">
      <c r="A90" t="s">
        <v>4274</v>
      </c>
      <c r="B90" s="39" t="str">
        <f>HYPERLINK('citations-it1-studies'!$D110,'citations-it1-studies'!$B110)</f>
        <v>An Online Model to Minimize Energy Consumption of IoT Sensors in Smart Cities</v>
      </c>
      <c r="C90">
        <f>'citations-it1-studies'!$C110</f>
        <v>2022</v>
      </c>
      <c r="D90">
        <f>'citations-it1-studies'!$H110</f>
        <v>9</v>
      </c>
    </row>
    <row r="91" spans="1:4">
      <c r="A91" t="s">
        <v>4274</v>
      </c>
      <c r="B91" s="39" t="str">
        <f>HYPERLINK('citations-it1-studies'!$D111,'citations-it1-studies'!$B111)</f>
        <v>Model of a Device-Level Combined Wireless Network Based on NB-IoT and IEEE 802.15.4 Standards for Low-Power Applications in a Diverse IoT Framework.</v>
      </c>
      <c r="C91">
        <f>'citations-it1-studies'!$C111</f>
        <v>2021</v>
      </c>
      <c r="D91">
        <f>'citations-it1-studies'!$H111</f>
        <v>0</v>
      </c>
    </row>
    <row r="92" spans="1:4">
      <c r="A92" t="s">
        <v>4274</v>
      </c>
      <c r="B92" s="39" t="str">
        <f>HYPERLINK('citations-it1-studies'!$D113,'citations-it1-studies'!$B113)</f>
        <v>Joint Security-Reliability Performance Optimization in Low-Latency Industrial IoT Networks</v>
      </c>
      <c r="C92">
        <f>'citations-it1-studies'!$C113</f>
        <v>2025</v>
      </c>
      <c r="D92">
        <f>'citations-it1-studies'!$H113</f>
        <v>5</v>
      </c>
    </row>
    <row r="93" spans="1:4">
      <c r="A93" t="s">
        <v>4274</v>
      </c>
      <c r="B93" s="39" t="str">
        <f>HYPERLINK('citations-it1-studies'!$D114,'citations-it1-studies'!$B114)</f>
        <v>Identifying key attacks on an IEEE 9-Bus System by leveraging the MITRE ATT&amp;CK ICS Matrix</v>
      </c>
      <c r="C93">
        <f>'citations-it1-studies'!$C114</f>
        <v>2025</v>
      </c>
      <c r="D93">
        <f>'citations-it1-studies'!$H114</f>
        <v>8</v>
      </c>
    </row>
    <row r="94" spans="1:4">
      <c r="A94" t="s">
        <v>4274</v>
      </c>
      <c r="B94" s="39" t="str">
        <f>HYPERLINK('citations-it1-studies'!$D116,'citations-it1-studies'!$B116)</f>
        <v>Engineering Interoperable, Plug-and-Play, Distributed, Robotic Control Systems for Futureproof Fusion Power Plants</v>
      </c>
      <c r="C94">
        <f>'citations-it1-studies'!$C116</f>
        <v>2021</v>
      </c>
      <c r="D94">
        <f>'citations-it1-studies'!$H116</f>
        <v>0</v>
      </c>
    </row>
    <row r="95" spans="1:4">
      <c r="A95" t="s">
        <v>4274</v>
      </c>
      <c r="B95" s="39" t="str">
        <f>HYPERLINK('citations-it1-studies'!$D117,'citations-it1-studies'!$B117)</f>
        <v>Cybersecurity Testbeds for IoT: A Systematic Literature Review and Taxonomy</v>
      </c>
      <c r="C95">
        <f>'citations-it1-studies'!$C117</f>
        <v>2024</v>
      </c>
      <c r="D95">
        <f>'citations-it1-studies'!$H117</f>
        <v>24</v>
      </c>
    </row>
    <row r="96" spans="1:4">
      <c r="A96" t="s">
        <v>4274</v>
      </c>
      <c r="B96" s="39" t="str">
        <f>HYPERLINK('citations-it1-studies'!$D118,'citations-it1-studies'!$B118)</f>
        <v>A systematic literature review: Messaging protocols and electronic platforms used in the internet of things for the purpose of building smart homes</v>
      </c>
      <c r="C96">
        <f>'citations-it1-studies'!$C118</f>
        <v>2023</v>
      </c>
      <c r="D96">
        <f>'citations-it1-studies'!$H118</f>
        <v>10</v>
      </c>
    </row>
    <row r="97" spans="1:4">
      <c r="A97" t="s">
        <v>4274</v>
      </c>
      <c r="B97" s="39" t="str">
        <f>HYPERLINK('citations-it1-studies'!$D119,'citations-it1-studies'!$B119)</f>
        <v>Data-Based Process Monitoring for Structural Bonding of Fiber-Reinforced Thermoplastics in Aviation</v>
      </c>
      <c r="C97">
        <f>'citations-it1-studies'!$C119</f>
        <v>2025</v>
      </c>
      <c r="D97">
        <f>'citations-it1-studies'!$H119</f>
        <v>6</v>
      </c>
    </row>
    <row r="98" spans="1:4">
      <c r="A98" t="s">
        <v>4274</v>
      </c>
      <c r="B98" s="39" t="str">
        <f>HYPERLINK('citations-it1-studies'!$D120,'citations-it1-studies'!$B120)</f>
        <v>Smart Tree: An Architectural, Greening and ICT Multidisciplinary Approach to Smart Campus Environments.</v>
      </c>
      <c r="C98">
        <f>'citations-it1-studies'!$C120</f>
        <v>2021</v>
      </c>
      <c r="D98">
        <f>'citations-it1-studies'!$H120</f>
        <v>0</v>
      </c>
    </row>
    <row r="99" spans="1:4">
      <c r="A99" t="s">
        <v>4274</v>
      </c>
      <c r="B99" s="39" t="str">
        <f>HYPERLINK('citations-it1-studies'!$D121,'citations-it1-studies'!$B121)</f>
        <v>The Nexus Between Digital Transformation and Economic Efficiency: Evidence from Selected Countries</v>
      </c>
      <c r="C99">
        <f>'citations-it1-studies'!$C121</f>
        <v>2023</v>
      </c>
      <c r="D99">
        <f>'citations-it1-studies'!$H121</f>
        <v>10</v>
      </c>
    </row>
    <row r="100" spans="1:4">
      <c r="A100" t="s">
        <v>4274</v>
      </c>
      <c r="B100" s="39" t="str">
        <f>HYPERLINK('citations-it1-studies'!$D123,'citations-it1-studies'!$B123)</f>
        <v>Methods and means of conflict-free data exchange in the group of mobile robotic platforms</v>
      </c>
      <c r="C100">
        <f>'citations-it1-studies'!$C123</f>
        <v>2024</v>
      </c>
      <c r="D100">
        <f>'citations-it1-studies'!$H123</f>
        <v>11</v>
      </c>
    </row>
    <row r="101" spans="1:4">
      <c r="A101" t="s">
        <v>4274</v>
      </c>
      <c r="B101" s="39" t="str">
        <f>HYPERLINK('citations-it1-studies'!$D124,'citations-it1-studies'!$B124)</f>
        <v>A Survey on Industrial Internet With ISA100 Wireless</v>
      </c>
      <c r="C101">
        <f>'citations-it1-studies'!$C124</f>
        <v>2020</v>
      </c>
      <c r="D101">
        <f>'citations-it1-studies'!$H124</f>
        <v>20</v>
      </c>
    </row>
    <row r="102" spans="1:4">
      <c r="A102" t="s">
        <v>4274</v>
      </c>
      <c r="B102" s="39" t="str">
        <f>HYPERLINK('citations-it1-studies'!$D125,'citations-it1-studies'!$B125)</f>
        <v>A Comprehensive Systematic Survey of IoT Protocols: Implications for Data Quality and Performance</v>
      </c>
      <c r="C102">
        <f>'citations-it1-studies'!$C125</f>
        <v>2025</v>
      </c>
      <c r="D102">
        <f>'citations-it1-studies'!$H125</f>
        <v>30</v>
      </c>
    </row>
    <row r="103" spans="1:4">
      <c r="A103" t="s">
        <v>4274</v>
      </c>
      <c r="B103" s="39" t="str">
        <f>HYPERLINK('citations-it1-studies'!$D127,'citations-it1-studies'!$B127)</f>
        <v>Wide area, IoT-based PID control of slow systems over LoRaWAN</v>
      </c>
      <c r="C103">
        <f>'citations-it1-studies'!$C127</f>
        <v>2025</v>
      </c>
      <c r="D103">
        <f>'citations-it1-studies'!$H127</f>
        <v>6</v>
      </c>
    </row>
    <row r="104" spans="1:4">
      <c r="A104" t="s">
        <v>4274</v>
      </c>
      <c r="B104" s="39" t="str">
        <f>HYPERLINK('citations-it1-studies'!$D128,'citations-it1-studies'!$B128)</f>
        <v>ETFA - Modular Signal Processing Unit for Motion Control Applications Based on System-on-Chip with FPGA</v>
      </c>
      <c r="C104">
        <f>'citations-it1-studies'!$C128</f>
        <v>2019</v>
      </c>
      <c r="D104">
        <f>'citations-it1-studies'!$H128</f>
        <v>7</v>
      </c>
    </row>
    <row r="105" spans="1:4">
      <c r="A105" t="s">
        <v>4274</v>
      </c>
      <c r="B105" s="39" t="str">
        <f>HYPERLINK('citations-it1-studies'!$D131,'citations-it1-studies'!$B131)</f>
        <v>Faster Implementation Time Through Interoperability: Let's Prove it!</v>
      </c>
      <c r="C105">
        <f>'citations-it1-studies'!$C131</f>
        <v>2025</v>
      </c>
      <c r="D105">
        <f>'citations-it1-studies'!$H131</f>
        <v>7</v>
      </c>
    </row>
    <row r="106" spans="1:4">
      <c r="A106" t="s">
        <v>4274</v>
      </c>
      <c r="B106" s="39" t="str">
        <f>HYPERLINK('citations-it1-studies'!$D132,'citations-it1-studies'!$B132)</f>
        <v>AI-Enhanced Process Digital Twins for Circular Manufacturing: Design, Architecture, and Deployment</v>
      </c>
      <c r="C106">
        <f>'citations-it1-studies'!$C132</f>
        <v>2025</v>
      </c>
      <c r="D106">
        <f>'citations-it1-studies'!$H132</f>
        <v>8</v>
      </c>
    </row>
    <row r="107" spans="1:4">
      <c r="A107" t="s">
        <v>4274</v>
      </c>
      <c r="B107" s="39" t="str">
        <f>HYPERLINK('citations-it1-studies'!$D133,'citations-it1-studies'!$B133)</f>
        <v>Web Based PLC Integrated Process Simulator</v>
      </c>
      <c r="C107">
        <f>'citations-it1-studies'!$C133</f>
        <v>2022</v>
      </c>
      <c r="D107">
        <f>'citations-it1-studies'!$H133</f>
        <v>9</v>
      </c>
    </row>
    <row r="108" spans="1:4">
      <c r="A108" t="s">
        <v>4274</v>
      </c>
      <c r="B108" s="39" t="str">
        <f>HYPERLINK('citations-it1-studies'!$D134,'citations-it1-studies'!$B134)</f>
        <v>Asynchronous Peer-to-Peer Federated Capability-Based Targeted Ransomware Detection Model for Industrial IoT</v>
      </c>
      <c r="C108">
        <f>'citations-it1-studies'!$C134</f>
        <v>2021</v>
      </c>
      <c r="D108">
        <f>'citations-it1-studies'!$H134</f>
        <v>18</v>
      </c>
    </row>
    <row r="109" spans="1:4">
      <c r="A109" t="s">
        <v>4274</v>
      </c>
      <c r="B109" s="39" t="str">
        <f>HYPERLINK('citations-it1-studies'!$D136,'citations-it1-studies'!$B136)</f>
        <v>Analysis of Penetration Testing Methods for Specific IoT Device: IP Camera</v>
      </c>
      <c r="C109">
        <f>'citations-it1-studies'!$C136</f>
        <v>2024</v>
      </c>
      <c r="D109">
        <f>'citations-it1-studies'!$H136</f>
        <v>7</v>
      </c>
    </row>
    <row r="110" spans="1:4">
      <c r="A110" t="s">
        <v>4274</v>
      </c>
      <c r="B110" s="39" t="str">
        <f>HYPERLINK('citations-it1-studies'!$D137,'citations-it1-studies'!$B137)</f>
        <v>Edge-Fog Enhanced Post-Quantum Network Security: Applications, Challenges and Solutions</v>
      </c>
      <c r="C110">
        <f>'citations-it1-studies'!$C137</f>
        <v>2025</v>
      </c>
      <c r="D110">
        <f>'citations-it1-studies'!$H137</f>
        <v>31</v>
      </c>
    </row>
    <row r="111" spans="1:4">
      <c r="A111" t="s">
        <v>4274</v>
      </c>
      <c r="B111" s="39" t="str">
        <f>HYPERLINK('citations-it1-studies'!$D138,'citations-it1-studies'!$B138)</f>
        <v>Ultra Light-weight Encryption for Securing D2D Communication of ESP8266 IoT devices in Wireless Mesh Networks</v>
      </c>
      <c r="C111">
        <f>'citations-it1-studies'!$C138</f>
        <v>2022</v>
      </c>
      <c r="D111">
        <f>'citations-it1-studies'!$H138</f>
        <v>6</v>
      </c>
    </row>
    <row r="112" spans="1:4">
      <c r="A112" t="s">
        <v>4274</v>
      </c>
      <c r="B112" s="39" t="str">
        <f>HYPERLINK('citations-it1-studies'!$D139,'citations-it1-studies'!$B139)</f>
        <v>MQTT Latency Evaluation in Cloud-Based Spectrometer Control</v>
      </c>
      <c r="C112">
        <f>'citations-it1-studies'!$C139</f>
        <v>2025</v>
      </c>
      <c r="D112">
        <f>'citations-it1-studies'!$H139</f>
        <v>7</v>
      </c>
    </row>
    <row r="113" spans="1:4">
      <c r="A113" t="s">
        <v>4274</v>
      </c>
      <c r="B113" s="39" t="str">
        <f>HYPERLINK('citations-it1-studies'!$D142,'citations-it1-studies'!$B142)</f>
        <v>Reducing Commissioning Efforts in the Process Industry Through Open Standards</v>
      </c>
      <c r="C113">
        <f>'citations-it1-studies'!$C142</f>
        <v>2025</v>
      </c>
      <c r="D113">
        <f>'citations-it1-studies'!$H142</f>
        <v>7</v>
      </c>
    </row>
    <row r="114" spans="1:4">
      <c r="A114" t="s">
        <v>4274</v>
      </c>
      <c r="B114" s="39" t="str">
        <f>HYPERLINK('citations-it1-studies'!$D144,'citations-it1-studies'!$B144)</f>
        <v>Framework for Modeling and Evaluating Information Flows in Flexible Manufacturing Systems</v>
      </c>
      <c r="C114">
        <f>'citations-it1-studies'!$C144</f>
        <v>2024</v>
      </c>
      <c r="D114">
        <f>'citations-it1-studies'!$H144</f>
        <v>13</v>
      </c>
    </row>
    <row r="115" spans="1:4">
      <c r="A115" t="s">
        <v>4274</v>
      </c>
      <c r="B115" s="39" t="str">
        <f>HYPERLINK('citations-it1-studies'!$D145,'citations-it1-studies'!$B145)</f>
        <v>SAIndust: A Self-Aware Heterogeneous Computing Framework for Industrial Internet of Things</v>
      </c>
      <c r="C115">
        <f>'citations-it1-studies'!$C145</f>
        <v>2025</v>
      </c>
      <c r="D115">
        <f>'citations-it1-studies'!$H145</f>
        <v>17</v>
      </c>
    </row>
    <row r="116" spans="1:4">
      <c r="A116" t="s">
        <v>4274</v>
      </c>
      <c r="B116" s="39" t="str">
        <f>HYPERLINK('citations-it1-studies'!$D146,'citations-it1-studies'!$B146)</f>
        <v>Developing and Comparing Protocols for Low-Latency IoT Networking</v>
      </c>
      <c r="C116">
        <f>'citations-it1-studies'!$C146</f>
        <v>2025</v>
      </c>
      <c r="D116">
        <f>'citations-it1-studies'!$H146</f>
        <v>7</v>
      </c>
    </row>
    <row r="117" spans="1:4">
      <c r="A117" t="s">
        <v>4274</v>
      </c>
      <c r="B117" s="39" t="str">
        <f>HYPERLINK('citations-it1-studies'!$D147,'citations-it1-studies'!$B147)</f>
        <v>Methodology for the Implementation and Operation of Multivendor Automation Systems at Large-Scale Industrial Facilities</v>
      </c>
      <c r="C117">
        <f>'citations-it1-studies'!$C147</f>
        <v>2025</v>
      </c>
      <c r="D117">
        <f>'citations-it1-studies'!$H147</f>
        <v>5</v>
      </c>
    </row>
    <row r="118" spans="1:4">
      <c r="A118" t="s">
        <v>4274</v>
      </c>
      <c r="B118" s="39" t="str">
        <f>HYPERLINK('citations-it1-studies'!$D149,'citations-it1-studies'!$B149)</f>
        <v>RTIMS: Real-Time Indoor Monitoring Systems: A Comprehensive Review</v>
      </c>
      <c r="C118">
        <f>'citations-it1-studies'!$C149</f>
        <v>2025</v>
      </c>
      <c r="D118">
        <f>'citations-it1-studies'!$H149</f>
        <v>0</v>
      </c>
    </row>
    <row r="119" spans="1:4">
      <c r="A119" t="s">
        <v>4274</v>
      </c>
      <c r="B119" s="39" t="str">
        <f>HYPERLINK('citations-it1-studies'!$D150,'citations-it1-studies'!$B150)</f>
        <v>ICT-Equipped Portable E-Bike Charging Station Powered by Renewables for Mass Cycling Events</v>
      </c>
      <c r="C119">
        <f>'citations-it1-studies'!$C150</f>
        <v>2024</v>
      </c>
      <c r="D119">
        <f>'citations-it1-studies'!$H150</f>
        <v>6</v>
      </c>
    </row>
    <row r="120" spans="1:4">
      <c r="A120" t="s">
        <v>4274</v>
      </c>
      <c r="B120" s="39" t="str">
        <f>HYPERLINK('citations-it1-studies'!$D152,'citations-it1-studies'!$B152)</f>
        <v>Systematic Literature Review of Cybersecurity Testbeds for Industrial Internet of Things.</v>
      </c>
      <c r="C120">
        <f>'citations-it1-studies'!$C152</f>
        <v>2025</v>
      </c>
      <c r="D120">
        <f>'citations-it1-studies'!$H152</f>
        <v>7</v>
      </c>
    </row>
    <row r="121" spans="1:4">
      <c r="A121" t="s">
        <v>4274</v>
      </c>
      <c r="B121" s="39" t="str">
        <f>HYPERLINK('citations-it1-studies'!$D153,'citations-it1-studies'!$B153)</f>
        <v>Estendendo o MENTORED Testbed para a execução de experimentos de cibersegurança multi-cluster e IoT</v>
      </c>
      <c r="C121">
        <f>'citations-it1-studies'!$C153</f>
        <v>2025</v>
      </c>
      <c r="D121">
        <f>'citations-it1-studies'!$H153</f>
        <v>14</v>
      </c>
    </row>
    <row r="122" spans="1:4">
      <c r="A122" t="s">
        <v>4274</v>
      </c>
      <c r="B122" s="39" t="str">
        <f>HYPERLINK('citations-it1-studies'!$D154,'citations-it1-studies'!$B154)</f>
        <v>Multisensor Platform for Underwater Object Detection and Localization Applications</v>
      </c>
      <c r="C122">
        <f>'citations-it1-studies'!$C154</f>
        <v>2022</v>
      </c>
      <c r="D122">
        <f>'citations-it1-studies'!$H154</f>
        <v>7</v>
      </c>
    </row>
    <row r="123" spans="1:4">
      <c r="A123" t="s">
        <v>4274</v>
      </c>
      <c r="B123" s="39" t="str">
        <f>HYPERLINK('citations-it1-studies'!$D156,'citations-it1-studies'!$B156)</f>
        <v>DripAlyze: internet of things based water leakage detection system for smart resource management</v>
      </c>
      <c r="C123">
        <f>'citations-it1-studies'!$C156</f>
        <v>2025</v>
      </c>
      <c r="D123">
        <f>'citations-it1-studies'!$H156</f>
        <v>11</v>
      </c>
    </row>
    <row r="124" spans="1:4">
      <c r="A124" t="s">
        <v>4274</v>
      </c>
      <c r="B124" s="39" t="str">
        <f>HYPERLINK('citations-it1-studies'!$D157,'citations-it1-studies'!$B157)</f>
        <v>OPC UA for NDE: Integration, Challenges, and Prospects</v>
      </c>
      <c r="C124">
        <f>'citations-it1-studies'!$C157</f>
        <v>2025</v>
      </c>
      <c r="D124">
        <f>'citations-it1-studies'!$H157</f>
        <v>24</v>
      </c>
    </row>
    <row r="125" spans="1:4">
      <c r="A125" t="s">
        <v>4274</v>
      </c>
      <c r="B125" s="39" t="str">
        <f>HYPERLINK('citations-it1-studies'!$D158,'citations-it1-studies'!$B158)</f>
        <v>Intrusion Detection System for Securing Agriculture 4.0 Against DDoS Attacks Using Deep Learning and Machine Learning Models</v>
      </c>
      <c r="C125">
        <f>'citations-it1-studies'!$C158</f>
        <v>2025</v>
      </c>
      <c r="D125">
        <f>'citations-it1-studies'!$H158</f>
        <v>7</v>
      </c>
    </row>
    <row r="126" spans="1:4">
      <c r="A126" t="s">
        <v>4274</v>
      </c>
      <c r="B126" s="39" t="str">
        <f>HYPERLINK('citations-it1-studies'!$D159,'citations-it1-studies'!$B159)</f>
        <v>OPC-UA vs. MQTT (UNS): Evaluating Alignment with RAMI4.0 Through Literature Review</v>
      </c>
      <c r="C126">
        <f>'citations-it1-studies'!$C159</f>
        <v>2025</v>
      </c>
      <c r="D126">
        <f>'citations-it1-studies'!$H159</f>
        <v>12</v>
      </c>
    </row>
    <row r="127" spans="1:4">
      <c r="A127" t="s">
        <v>4274</v>
      </c>
      <c r="B127" s="39" t="str">
        <f>HYPERLINK('citations-it1-studies'!$D160,'citations-it1-studies'!$B160)</f>
        <v>A Single-Fed Dual-Band Orthogonal Circularly Polarized Filtering Antenna for 5G-Enabled IoV Applications</v>
      </c>
      <c r="C127">
        <f>'citations-it1-studies'!$C160</f>
        <v>2025</v>
      </c>
      <c r="D127">
        <f>'citations-it1-studies'!$H160</f>
        <v>10</v>
      </c>
    </row>
    <row r="128" spans="1:4">
      <c r="A128" t="s">
        <v>4274</v>
      </c>
      <c r="B128" s="39" t="str">
        <f>HYPERLINK('citations-it1-studies'!$D161,'citations-it1-studies'!$B161)</f>
        <v>Connecting 3D Printer to the Industrial Internet of Things (IIoT) through MQTT Sparkplug B Protocol</v>
      </c>
      <c r="C128">
        <f>'citations-it1-studies'!$C161</f>
        <v>2023</v>
      </c>
      <c r="D128">
        <f>'citations-it1-studies'!$H161</f>
        <v>6</v>
      </c>
    </row>
    <row r="129" spans="1:4">
      <c r="A129" t="s">
        <v>4274</v>
      </c>
      <c r="B129" s="39" t="str">
        <f>HYPERLINK('citations-it1-studies'!$D163,'citations-it1-studies'!$B163)</f>
        <v>SDN-DMQTT: SDN-Based Platform for Re-configurable MQTT Distributed Brokers Architecture</v>
      </c>
      <c r="C129">
        <f>'citations-it1-studies'!$C163</f>
        <v>2024</v>
      </c>
      <c r="D129">
        <f>'citations-it1-studies'!$H163</f>
        <v>19</v>
      </c>
    </row>
    <row r="130" spans="1:4">
      <c r="A130" t="s">
        <v>4274</v>
      </c>
      <c r="B130" s="39" t="str">
        <f>HYPERLINK('citations-it1-studies'!$D164,'citations-it1-studies'!$B164)</f>
        <v>Survey on Wireless Technology Trade-Offs for the Industrial Internet of Things.</v>
      </c>
      <c r="C130">
        <f>'citations-it1-studies'!$C164</f>
        <v>2020</v>
      </c>
      <c r="D130">
        <f>'citations-it1-studies'!$H164</f>
        <v>0</v>
      </c>
    </row>
    <row r="131" spans="1:4">
      <c r="A131" t="s">
        <v>4274</v>
      </c>
      <c r="B131" s="39" t="str">
        <f>HYPERLINK('citations-it1-studies'!$D165,'citations-it1-studies'!$B165)</f>
        <v>Shaping Intelligent Connectivity Using AI and IoT</v>
      </c>
      <c r="C131">
        <f>'citations-it1-studies'!$C165</f>
        <v>2025</v>
      </c>
      <c r="D131">
        <f>'citations-it1-studies'!$H165</f>
        <v>42</v>
      </c>
    </row>
    <row r="132" spans="1:4">
      <c r="A132" t="s">
        <v>4274</v>
      </c>
      <c r="B132" s="39" t="str">
        <f>HYPERLINK('citations-it1-studies'!$D166,'citations-it1-studies'!$B166)</f>
        <v>Holistic Survey on Security in IoT Application Layer: Attacks, Protocols, and Applications</v>
      </c>
      <c r="C132">
        <f>'citations-it1-studies'!$C166</f>
        <v>2024</v>
      </c>
      <c r="D132">
        <f>'citations-it1-studies'!$H166</f>
        <v>58</v>
      </c>
    </row>
    <row r="133" spans="1:4">
      <c r="A133" t="s">
        <v>4274</v>
      </c>
      <c r="B133" s="39" t="str">
        <f>HYPERLINK('citations-it1-studies'!$D167,'citations-it1-studies'!$B167)</f>
        <v>Big Data and Machine Learning in Industry 6.0</v>
      </c>
      <c r="C133">
        <f>'citations-it1-studies'!$C167</f>
        <v>2026</v>
      </c>
      <c r="D133">
        <f>'citations-it1-studies'!$H167</f>
        <v>27</v>
      </c>
    </row>
    <row r="134" spans="1:4">
      <c r="A134" t="s">
        <v>4274</v>
      </c>
      <c r="B134" s="39" t="str">
        <f>HYPERLINK('citations-it1-studies'!$D169,'citations-it1-studies'!$B169)</f>
        <v>Edge Computing for Safe Control of a Parametric Multi-floor Manufacturing Process</v>
      </c>
      <c r="C134">
        <f>'citations-it1-studies'!$C169</f>
        <v>2025</v>
      </c>
      <c r="D134">
        <f>'citations-it1-studies'!$H169</f>
        <v>6</v>
      </c>
    </row>
    <row r="135" spans="1:4">
      <c r="A135" t="s">
        <v>4274</v>
      </c>
      <c r="B135" s="39" t="str">
        <f>HYPERLINK('citations-it1-studies'!$D171,'citations-it1-studies'!$B171)</f>
        <v>Resilience Against APTs: A Provenance-Based IIoT Dataset for Cybersecurity Research</v>
      </c>
      <c r="C135">
        <f>'citations-it1-studies'!$C171</f>
        <v>2026</v>
      </c>
      <c r="D135">
        <f>'citations-it1-studies'!$H171</f>
        <v>24</v>
      </c>
    </row>
    <row r="136" spans="1:4">
      <c r="A136" t="s">
        <v>4274</v>
      </c>
      <c r="B136" s="39" t="str">
        <f>HYPERLINK('citations-it1-studies'!$D175,'citations-it1-studies'!$B175)</f>
        <v>Microsecond-Accurate EtherCAT Transmission Scheme for Industrial Cyber–Physical Systems</v>
      </c>
      <c r="C136">
        <f>'citations-it1-studies'!$C175</f>
        <v>2025</v>
      </c>
      <c r="D136">
        <f>'citations-it1-studies'!$H175</f>
        <v>13</v>
      </c>
    </row>
    <row r="137" spans="1:4">
      <c r="A137" t="s">
        <v>4274</v>
      </c>
      <c r="B137" s="39" t="str">
        <f>HYPERLINK('citations-it1-studies'!$D177,'citations-it1-studies'!$B177)</f>
        <v>Seamless computing in industrial systems using container orchestration</v>
      </c>
      <c r="C137">
        <f>'citations-it1-studies'!$C177</f>
        <v>2020</v>
      </c>
      <c r="D137">
        <f>'citations-it1-studies'!$H177</f>
        <v>11</v>
      </c>
    </row>
    <row r="138" spans="1:4">
      <c r="A138" t="s">
        <v>4274</v>
      </c>
      <c r="B138" s="39" t="str">
        <f>HYPERLINK('citations-it1-studies'!$D178,'citations-it1-studies'!$B178)</f>
        <v>Comparative Evaluation of open62541 OPC UA Servers on Embedded Devices</v>
      </c>
      <c r="C138">
        <f>'citations-it1-studies'!$C178</f>
        <v>2025</v>
      </c>
      <c r="D138">
        <f>'citations-it1-studies'!$H178</f>
        <v>6</v>
      </c>
    </row>
    <row r="139" spans="1:4">
      <c r="A139" t="s">
        <v>4274</v>
      </c>
      <c r="B139" s="39" t="str">
        <f>HYPERLINK('citations-it1-studies'!$D179,'citations-it1-studies'!$B179)</f>
        <v>Multilabel Classification in IoT NIDS: A Proposed Cross Machine Learning Pipeline</v>
      </c>
      <c r="C139">
        <f>'citations-it1-studies'!$C179</f>
        <v>2024</v>
      </c>
      <c r="D139">
        <f>'citations-it1-studies'!$H179</f>
        <v>9</v>
      </c>
    </row>
    <row r="140" spans="1:4">
      <c r="A140" t="s">
        <v>4274</v>
      </c>
      <c r="B140" s="39" t="str">
        <f>HYPERLINK('citations-it1-studies'!$D181,'citations-it1-studies'!$B181)</f>
        <v>A Modular Interface for Multi-Agent Marine Autonomy Simulation</v>
      </c>
      <c r="C140">
        <f>'citations-it1-studies'!$C181</f>
        <v>2025</v>
      </c>
      <c r="D140">
        <f>'citations-it1-studies'!$H181</f>
        <v>5</v>
      </c>
    </row>
    <row r="141" spans="1:4">
      <c r="A141" t="s">
        <v>4274</v>
      </c>
      <c r="B141" s="39" t="str">
        <f>HYPERLINK('citations-it1-studies'!$D183,'citations-it1-studies'!$B183)</f>
        <v>Assessment of OPC UA PubSub at Scale Using TSN Infrastructure and Network Calculus</v>
      </c>
      <c r="C141">
        <f>'citations-it1-studies'!$C183</f>
        <v>2024</v>
      </c>
      <c r="D141">
        <f>'citations-it1-studies'!$H183</f>
        <v>9</v>
      </c>
    </row>
    <row r="142" spans="1:4">
      <c r="A142" t="s">
        <v>4274</v>
      </c>
      <c r="B142" s="39" t="str">
        <f>HYPERLINK('citations-it1-studies'!$D185,'citations-it1-studies'!$B185)</f>
        <v>Multi-Client Scenario-Based Reverse Shell Attack Simulation</v>
      </c>
      <c r="C142">
        <f>'citations-it1-studies'!$C185</f>
        <v>2025</v>
      </c>
      <c r="D142">
        <f>'citations-it1-studies'!$H185</f>
        <v>5</v>
      </c>
    </row>
    <row r="143" spans="1:4">
      <c r="A143" t="s">
        <v>4274</v>
      </c>
      <c r="B143" s="39" t="str">
        <f>HYPERLINK('citations-it1-studies'!$D186,'citations-it1-studies'!$B186)</f>
        <v>Analyzing Microservice Communication Performance in Industrial Edge Platform</v>
      </c>
      <c r="C143">
        <f>'citations-it1-studies'!$C186</f>
        <v>2025</v>
      </c>
      <c r="D143">
        <f>'citations-it1-studies'!$H186</f>
        <v>12</v>
      </c>
    </row>
    <row r="144" spans="1:4">
      <c r="A144" t="s">
        <v>4274</v>
      </c>
      <c r="B144" s="39" t="str">
        <f>HYPERLINK('citations-it1-studies'!$D187,'citations-it1-studies'!$B187)</f>
        <v>D&amp;R of Digital Twin-based Intelligent Control Practical Training System</v>
      </c>
      <c r="C144">
        <f>'citations-it1-studies'!$C187</f>
        <v>2023</v>
      </c>
      <c r="D144">
        <f>'citations-it1-studies'!$H187</f>
        <v>7</v>
      </c>
    </row>
    <row r="145" spans="1:4">
      <c r="A145" t="s">
        <v>4274</v>
      </c>
      <c r="B145" s="39" t="str">
        <f>HYPERLINK('citations-it1-studies'!$D188,'citations-it1-studies'!$B188)</f>
        <v>Evaluating V2X Communications in the CARLA Simulator for a Collaborative Planning Use Case</v>
      </c>
      <c r="C145">
        <f>'citations-it1-studies'!$C188</f>
        <v>2024</v>
      </c>
      <c r="D145">
        <f>'citations-it1-studies'!$H188</f>
        <v>6</v>
      </c>
    </row>
    <row r="146" spans="1:4">
      <c r="A146" t="s">
        <v>4274</v>
      </c>
      <c r="B146" s="39" t="str">
        <f>HYPERLINK('citations-it1-studies'!$D189,'citations-it1-studies'!$B189)</f>
        <v>Deep learning-based stacked models for cyber-attack detection in industrial internet of things</v>
      </c>
      <c r="C146">
        <f>'citations-it1-studies'!$C189</f>
        <v>2025</v>
      </c>
      <c r="D146">
        <f>'citations-it1-studies'!$H189</f>
        <v>35</v>
      </c>
    </row>
    <row r="147" spans="1:4">
      <c r="A147" t="s">
        <v>4274</v>
      </c>
      <c r="B147" s="39" t="str">
        <f>HYPERLINK('citations-it1-studies'!$D190,'citations-it1-studies'!$B190)</f>
        <v>Toward Digital Twin-as-a-Service (DTaaS) Platforms: A Survey on Architecture, Design Requirements, and Performance Metrics</v>
      </c>
      <c r="C147">
        <f>'citations-it1-studies'!$C190</f>
        <v>2026</v>
      </c>
      <c r="D147">
        <f>'citations-it1-studies'!$H190</f>
        <v>34</v>
      </c>
    </row>
    <row r="148" spans="1:4">
      <c r="A148" t="s">
        <v>4274</v>
      </c>
      <c r="B148" s="39" t="str">
        <f>HYPERLINK('citations-it1-studies'!$D192,'citations-it1-studies'!$B192)</f>
        <v>Computer vision-based quality inspection for tire sealant application with simulated robotic dispensing</v>
      </c>
      <c r="C148">
        <f>'citations-it1-studies'!$C192</f>
        <v>2025</v>
      </c>
      <c r="D148">
        <f>'citations-it1-studies'!$H192</f>
        <v>35</v>
      </c>
    </row>
    <row r="149" spans="1:4">
      <c r="A149" t="s">
        <v>4274</v>
      </c>
      <c r="B149" s="39" t="str">
        <f>HYPERLINK('citations-it1-studies'!$D193,'citations-it1-studies'!$B193)</f>
        <v>Multiuser Physical-Layer Authentication Based on Latent Perturbed Neural Networks for Industrial Internet of Things</v>
      </c>
      <c r="C149">
        <f>'citations-it1-studies'!$C193</f>
        <v>2023</v>
      </c>
      <c r="D149">
        <f>'citations-it1-studies'!$H193</f>
        <v>16</v>
      </c>
    </row>
    <row r="150" spans="1:4">
      <c r="A150" t="s">
        <v>4274</v>
      </c>
      <c r="B150" s="39" t="str">
        <f>HYPERLINK('citations-it1-studies'!$D194,'citations-it1-studies'!$B194)</f>
        <v>255Virtual cybersecurity testbeds for industrial Internet of Things</v>
      </c>
      <c r="C150">
        <f>'citations-it1-studies'!$C194</f>
        <v>0</v>
      </c>
      <c r="D150">
        <f>'citations-it1-studies'!$H194</f>
        <v>26</v>
      </c>
    </row>
    <row r="151" spans="1:4">
      <c r="A151" t="s">
        <v>4274</v>
      </c>
      <c r="B151" s="39" t="str">
        <f>HYPERLINK('citations-it1-studies'!$D195,'citations-it1-studies'!$B195)</f>
        <v>QMA: A Ressource-efficient, Q-Learning-based Multiple Access Scheme for the IIoT</v>
      </c>
      <c r="C151">
        <f>'citations-it1-studies'!$C195</f>
        <v>2021</v>
      </c>
      <c r="D151">
        <f>'citations-it1-studies'!$H195</f>
        <v>0</v>
      </c>
    </row>
    <row r="152" spans="1:4">
      <c r="A152" t="s">
        <v>4274</v>
      </c>
      <c r="B152" s="39" t="str">
        <f>HYPERLINK('citations-it1-studies'!$D196,'citations-it1-studies'!$B196)</f>
        <v>Intrusion Detection and Prevention in Industrial Internet of Things: A Study</v>
      </c>
      <c r="C152">
        <f>'citations-it1-studies'!$C196</f>
        <v>2023</v>
      </c>
      <c r="D152">
        <f>'citations-it1-studies'!$H196</f>
        <v>12</v>
      </c>
    </row>
    <row r="153" spans="1:4">
      <c r="A153" t="s">
        <v>4274</v>
      </c>
      <c r="B153" s="39" t="str">
        <f>HYPERLINK('citations-it1-studies'!$D197,'citations-it1-studies'!$B197)</f>
        <v>IEEE P2668-Compliant Multi-Layer IoT-DDoS Defense System Using Deep Reinforcement Learning</v>
      </c>
      <c r="C153">
        <f>'citations-it1-studies'!$C197</f>
        <v>2023</v>
      </c>
      <c r="D153">
        <f>'citations-it1-studies'!$H197</f>
        <v>16</v>
      </c>
    </row>
    <row r="154" spans="1:4">
      <c r="A154" t="s">
        <v>4274</v>
      </c>
      <c r="B154" s="39" t="str">
        <f>HYPERLINK('citations-it1-studies'!$D199,'citations-it1-studies'!$B199)</f>
        <v>Artificial intelligence for secure and sustainable industrial control systems - A Survey of challenges and solutions</v>
      </c>
      <c r="C154">
        <f>'citations-it1-studies'!$C199</f>
        <v>2025</v>
      </c>
      <c r="D154">
        <f>'citations-it1-studies'!$H199</f>
        <v>0</v>
      </c>
    </row>
    <row r="155" spans="1:4">
      <c r="A155" t="s">
        <v>4274</v>
      </c>
      <c r="B155" s="39" t="str">
        <f>HYPERLINK('citations-it1-studies'!$D200,'citations-it1-studies'!$B200)</f>
        <v>Internet of Things Driven Digital Twin for Intelligent Manufacturing in Shipbuilding Workshops</v>
      </c>
      <c r="C155">
        <f>'citations-it1-studies'!$C200</f>
        <v>2025</v>
      </c>
      <c r="D155">
        <f>'citations-it1-studies'!$H200</f>
        <v>0</v>
      </c>
    </row>
    <row r="156" spans="1:4">
      <c r="A156" t="s">
        <v>4274</v>
      </c>
      <c r="B156" s="39" t="str">
        <f>HYPERLINK('citations-it1-studies'!$D201,'citations-it1-studies'!$B201)</f>
        <v>Flexible Arbitrary Signal Generation and Acquisition System for Compact Underwater Measurement Systems and Data Fusion</v>
      </c>
      <c r="C156">
        <f>'citations-it1-studies'!$C201</f>
        <v>2021</v>
      </c>
      <c r="D156">
        <f>'citations-it1-studies'!$H201</f>
        <v>6</v>
      </c>
    </row>
    <row r="157" spans="1:4">
      <c r="A157" t="s">
        <v>4274</v>
      </c>
      <c r="B157" s="39" t="str">
        <f>HYPERLINK('citations-it1-studies'!$D203,'citations-it1-studies'!$B203)</f>
        <v>Real-Time AI-Driven Milling Digital Twin Towards Extreme Low-Latency</v>
      </c>
      <c r="C157">
        <f>'citations-it1-studies'!$C203</f>
        <v>2026</v>
      </c>
      <c r="D157">
        <f>'citations-it1-studies'!$H203</f>
        <v>0</v>
      </c>
    </row>
    <row r="158" spans="1:4">
      <c r="A158" t="s">
        <v>4274</v>
      </c>
      <c r="B158" s="39" t="str">
        <f>HYPERLINK('citations-it1-studies'!$D205,'citations-it1-studies'!$B205)</f>
        <v>Multi-Scene Layered Container Pre-Migration Method for Satellite Task Continuity</v>
      </c>
      <c r="C158">
        <f>'citations-it1-studies'!$C205</f>
        <v>2025</v>
      </c>
      <c r="D158">
        <f>'citations-it1-studies'!$H205</f>
        <v>6</v>
      </c>
    </row>
    <row r="159" spans="1:4">
      <c r="A159" t="s">
        <v>4274</v>
      </c>
      <c r="B159" s="39" t="str">
        <f>HYPERLINK('citations-it1-studies'!$D207,'citations-it1-studies'!$B207)</f>
        <v>A Conceptual Implementation Process for Smart Maintenance Technologies</v>
      </c>
      <c r="C159">
        <f>'citations-it1-studies'!$C207</f>
        <v>2024</v>
      </c>
      <c r="D159">
        <f>'citations-it1-studies'!$H207</f>
        <v>24</v>
      </c>
    </row>
    <row r="160" spans="1:4">
      <c r="A160" t="s">
        <v>4274</v>
      </c>
      <c r="B160" s="39" t="str">
        <f>HYPERLINK('citations-it1-studies'!$D209,'citations-it1-studies'!$B209)</f>
        <v>Multimodal Cognitive Architecture with Local Generative AI for Industrial Control of Concrete Plants on Edge Devices.</v>
      </c>
      <c r="C160">
        <f>'citations-it1-studies'!$C209</f>
        <v>2025</v>
      </c>
      <c r="D160">
        <f>'citations-it1-studies'!$H209</f>
        <v>0</v>
      </c>
    </row>
    <row r="161" spans="1:4">
      <c r="A161" t="s">
        <v>4274</v>
      </c>
      <c r="B161" s="39" t="str">
        <f>HYPERLINK('citations-it1-studies'!$D210,'citations-it1-studies'!$B210)</f>
        <v>A Survey on OPC UA Protocol: Overview, Challenges and Opportunities</v>
      </c>
      <c r="C161">
        <f>'citations-it1-studies'!$C210</f>
        <v>2023</v>
      </c>
      <c r="D161">
        <f>'citations-it1-studies'!$H210</f>
        <v>8</v>
      </c>
    </row>
    <row r="162" spans="1:4">
      <c r="A162" t="s">
        <v>4274</v>
      </c>
      <c r="B162" s="39" t="str">
        <f>HYPERLINK('citations-it1-studies'!$D211,'citations-it1-studies'!$B211)</f>
        <v>The Significance of the Industrial Internet of Things (IIoT) for the Oil and Gas Space</v>
      </c>
      <c r="C162">
        <f>'citations-it1-studies'!$C211</f>
        <v>2023</v>
      </c>
      <c r="D162">
        <f>'citations-it1-studies'!$H211</f>
        <v>30</v>
      </c>
    </row>
    <row r="163" spans="1:4">
      <c r="A163" t="s">
        <v>4274</v>
      </c>
      <c r="B163" t="str">
        <f>HYPERLINK('citations-it1-studies'!$D8,'citations-it1-studies'!$B8)</f>
        <v>A forensic tool for the identification, acquisition and analysis of sources of evidence in IoT investigations</v>
      </c>
      <c r="C163">
        <v>2024</v>
      </c>
      <c r="D163">
        <v>20</v>
      </c>
    </row>
    <row r="164" spans="1:4">
      <c r="A164" t="s">
        <v>4274</v>
      </c>
      <c r="B164" t="str">
        <f>HYPERLINK('citations-it1-studies'!$D26,'citations-it1-studies'!$B26)</f>
        <v>Research on Hardware-in-the-Loop Test Platform Based on Simulated IED and Man-in-the-Middle Attack</v>
      </c>
      <c r="C164">
        <v>2025</v>
      </c>
      <c r="D164">
        <v>19</v>
      </c>
    </row>
    <row r="165" spans="1:4">
      <c r="A165" t="s">
        <v>4274</v>
      </c>
      <c r="B165" t="str">
        <f>HYPERLINK('citations-it1-studies'!$D34,'citations-it1-studies'!$B34)</f>
        <v>Petri nets-based digital twin drives dual-arm cooperative manipulation</v>
      </c>
      <c r="C165">
        <v>2023</v>
      </c>
      <c r="D165">
        <v>14</v>
      </c>
    </row>
    <row r="166" spans="1:4">
      <c r="A166" t="s">
        <v>4274</v>
      </c>
      <c r="B166" t="str">
        <f>HYPERLINK('citations-it1-studies'!$D36,'citations-it1-studies'!$B36)</f>
        <v>Design Model for the Digital Shadow of a Value Stream</v>
      </c>
      <c r="C166">
        <v>2024</v>
      </c>
      <c r="D166">
        <v>24</v>
      </c>
    </row>
    <row r="167" spans="1:4">
      <c r="A167" t="s">
        <v>4274</v>
      </c>
      <c r="B167" t="str">
        <f>HYPERLINK('citations-it1-studies'!$D43,'citations-it1-studies'!$B43)</f>
        <v>Smart IoT SCADA System for Hybrid Power Monitoring in Remote Natural Gas Pipeline Control Stations</v>
      </c>
      <c r="C167">
        <v>2024</v>
      </c>
      <c r="D167">
        <v>24</v>
      </c>
    </row>
    <row r="168" spans="1:4">
      <c r="A168" t="s">
        <v>4274</v>
      </c>
      <c r="B168" t="str">
        <f>HYPERLINK('citations-it1-studies'!$D61,'citations-it1-studies'!$B61)</f>
        <v>INFORMATION PROTECTION IN AUTOMATED SYSTEMS BASED ON A CONCEPTUAL MODEL WITH FORMALIZED EFFICIENCY EVALUATION</v>
      </c>
      <c r="C168">
        <v>2025</v>
      </c>
      <c r="D168">
        <v>14</v>
      </c>
    </row>
    <row r="169" spans="1:4">
      <c r="A169" t="s">
        <v>4274</v>
      </c>
      <c r="B169" t="str">
        <f>HYPERLINK('citations-it1-studies'!$D64,'citations-it1-studies'!$B64)</f>
        <v>An Aggregated Data Integration Approach to the Web and Cloud Platforms through a Modular REST-Based OPC UA Middleware.</v>
      </c>
      <c r="C169">
        <v>2022</v>
      </c>
      <c r="D169">
        <v>39</v>
      </c>
    </row>
    <row r="170" spans="1:4">
      <c r="A170" t="s">
        <v>4274</v>
      </c>
      <c r="B170" t="str">
        <f>HYPERLINK('citations-it1-studies'!$D66,'citations-it1-studies'!$B66)</f>
        <v>Predictive Energy-Aware Routing Solution for Industrial IoT Evaluated on a WSN Hardware Platform.</v>
      </c>
      <c r="C170">
        <v>2022</v>
      </c>
      <c r="D170">
        <v>22</v>
      </c>
    </row>
    <row r="171" spans="1:4">
      <c r="A171" t="s">
        <v>4274</v>
      </c>
      <c r="B171" t="str">
        <f>HYPERLINK('citations-it1-studies'!$D70,'citations-it1-studies'!$B70)</f>
        <v>Towards a Software-Defined Industrial IoT-Edge Network for Next-Generation Offshore Wind Farms: State of the Art, Resilience, and Self-X Network and Service Management</v>
      </c>
      <c r="C171">
        <v>2024</v>
      </c>
      <c r="D171">
        <v>31</v>
      </c>
    </row>
    <row r="172" spans="1:4">
      <c r="A172" s="39" t="s">
        <v>4274</v>
      </c>
      <c r="B172" t="str">
        <f>HYPERLINK('citations-it1-studies'!$D86,'citations-it1-studies'!$B86)</f>
        <v>Delay and Energy Consumption of MQTT over QUIC: An Empirical Characterization Using Commercial-Off-The-Shelf Devices.</v>
      </c>
      <c r="C172">
        <v>2022</v>
      </c>
      <c r="D172">
        <v>20</v>
      </c>
    </row>
    <row r="173" spans="1:4">
      <c r="A173" s="39" t="s">
        <v>4274</v>
      </c>
      <c r="B173" t="str">
        <f>HYPERLINK('citations-it1-studies'!$D89,'citations-it1-studies'!$B89)</f>
        <v>Empirical Evaluation of TLS-Enhanced MQTT on IoT Devices for V2X Use Cases</v>
      </c>
      <c r="C173">
        <v>2025</v>
      </c>
      <c r="D173">
        <v>25</v>
      </c>
    </row>
    <row r="174" spans="1:4">
      <c r="A174" s="39" t="s">
        <v>4274</v>
      </c>
      <c r="B174" t="str">
        <f>HYPERLINK('citations-it1-studies'!$D92,'citations-it1-studies'!$B92)</f>
        <v>Securing Industry 5.0: An explainable deep learning model for intrusion detection in cyber-physical systems</v>
      </c>
      <c r="C174">
        <v>2025</v>
      </c>
      <c r="D174">
        <v>31</v>
      </c>
    </row>
    <row r="175" spans="1:4">
      <c r="A175" s="39" t="s">
        <v>4274</v>
      </c>
      <c r="B175" t="str">
        <f>HYPERLINK('citations-it1-studies'!$D97,'citations-it1-studies'!$B97)</f>
        <v>Enhancing Industrial Digitalisation through an Adaptable Component for Bridging Semantic Interoperability Gaps</v>
      </c>
      <c r="C175">
        <v>2024</v>
      </c>
      <c r="D175">
        <v>17</v>
      </c>
    </row>
    <row r="176" spans="1:4">
      <c r="A176" s="39" t="s">
        <v>4274</v>
      </c>
      <c r="B176" t="str">
        <f>HYPERLINK('citations-it1-studies'!$D100,'citations-it1-studies'!$B100)</f>
        <v>Application of Machine Learning Algorithms for the Validation of a New CoAP-IoT Anomaly Detection Dataset</v>
      </c>
      <c r="C176">
        <v>2023</v>
      </c>
      <c r="D176">
        <v>25</v>
      </c>
    </row>
    <row r="177" spans="1:4">
      <c r="A177" s="39" t="s">
        <v>4274</v>
      </c>
      <c r="B177" t="str">
        <f>HYPERLINK('citations-it1-studies'!$D112,'citations-it1-studies'!$B112)</f>
        <v>A chronological review of advanced metering infrastructure</v>
      </c>
      <c r="C177">
        <v>2023</v>
      </c>
      <c r="D177">
        <v>1</v>
      </c>
    </row>
    <row r="178" spans="1:4">
      <c r="A178" s="39" t="s">
        <v>4274</v>
      </c>
      <c r="B178" t="str">
        <f>HYPERLINK('citations-it1-studies'!$D115,'citations-it1-studies'!$B115)</f>
        <v>Mapping of Industrial IoT to IEC 62443 Standards.</v>
      </c>
      <c r="C178">
        <v>2025</v>
      </c>
      <c r="D178">
        <v>32</v>
      </c>
    </row>
    <row r="179" spans="1:4">
      <c r="A179" s="39" t="s">
        <v>4274</v>
      </c>
      <c r="B179" t="str">
        <f>HYPERLINK('citations-it1-studies'!$D122,'citations-it1-studies'!$B122)</f>
        <v>OPC UA and MQTT performance analysis within a unified namespace context</v>
      </c>
      <c r="C179">
        <v>2025</v>
      </c>
      <c r="D179">
        <v>23</v>
      </c>
    </row>
    <row r="180" spans="1:4">
      <c r="A180" s="39" t="s">
        <v>4274</v>
      </c>
      <c r="B180" t="str">
        <f>HYPERLINK('citations-it1-studies'!$D126,'citations-it1-studies'!$B126)</f>
        <v>Securing the Industrial Internet of Things against ransomware attacks: A comprehensive analysis of the emerging threat landscape and detection mechanisms</v>
      </c>
      <c r="C180">
        <v>2024</v>
      </c>
      <c r="D180">
        <v>30</v>
      </c>
    </row>
    <row r="181" spans="1:4">
      <c r="A181" s="39" t="s">
        <v>4274</v>
      </c>
      <c r="B181" t="str">
        <f>HYPERLINK('citations-it1-studies'!$D129,'citations-it1-studies'!$B129)</f>
        <v>Digital Twin—Cyber Replica of Physical Things: Architecture, Applications and Future Research Directions</v>
      </c>
      <c r="C181">
        <v>2022</v>
      </c>
      <c r="D181">
        <v>25</v>
      </c>
    </row>
    <row r="182" spans="1:4">
      <c r="A182" s="39" t="s">
        <v>4274</v>
      </c>
      <c r="B182" t="str">
        <f>HYPERLINK('citations-it1-studies'!$D130,'citations-it1-studies'!$B130)</f>
        <v>Assertive, Selective, Scalable IoT-Based Warning System.</v>
      </c>
      <c r="C182">
        <v>2022</v>
      </c>
      <c r="D182">
        <v>21</v>
      </c>
    </row>
    <row r="183" spans="1:4">
      <c r="A183" s="39" t="s">
        <v>4274</v>
      </c>
      <c r="B183" t="str">
        <f>HYPERLINK('citations-it1-studies'!$D135,'citations-it1-studies'!$B135)</f>
        <v>E-MQTT: End-to-End Synchronous and Asynchronous Communication Mechanisms in MQTT Protocol</v>
      </c>
      <c r="C183">
        <v>2023</v>
      </c>
      <c r="D183">
        <v>24</v>
      </c>
    </row>
    <row r="184" spans="1:4">
      <c r="A184" s="39" t="s">
        <v>4274</v>
      </c>
      <c r="B184" t="str">
        <f>HYPERLINK('citations-it1-studies'!$D140,'citations-it1-studies'!$B140)</f>
        <v>Defending against smishing attacks: State-of-the-art techniques, challenges, limitations, and future directions</v>
      </c>
      <c r="C184">
        <v>2025</v>
      </c>
      <c r="D184">
        <v>21</v>
      </c>
    </row>
    <row r="185" spans="1:4">
      <c r="A185" s="39" t="s">
        <v>4274</v>
      </c>
      <c r="B185" t="str">
        <f>HYPERLINK('citations-it1-studies'!$D143,'citations-it1-studies'!$B143)</f>
        <v>A Low-Cost Open-Source Architecture for a Digital Signage Emergency Evacuation System for Cruise Ships, Based on IoT and LTE/4G Technologies</v>
      </c>
      <c r="C185">
        <v>2022</v>
      </c>
      <c r="D185">
        <v>18</v>
      </c>
    </row>
    <row r="186" spans="1:4">
      <c r="A186" s="39" t="s">
        <v>4274</v>
      </c>
      <c r="B186" t="str">
        <f>HYPERLINK('citations-it1-studies'!$D148,'citations-it1-studies'!$B148)</f>
        <v>DCNNBiLSTM: An Efficient Hybrid Deep Learning-Based Intrusion Detection System</v>
      </c>
      <c r="C186">
        <v>2023</v>
      </c>
      <c r="D186">
        <v>13</v>
      </c>
    </row>
    <row r="187" spans="1:4">
      <c r="A187" s="39" t="s">
        <v>4274</v>
      </c>
      <c r="B187" t="str">
        <f>HYPERLINK('citations-it1-studies'!$D151,'citations-it1-studies'!$B151)</f>
        <v>Assessing Industrial Communication Protocols to Bridge the Gap between Machine Tools and Software Monitoring.</v>
      </c>
      <c r="C187">
        <v>2023</v>
      </c>
      <c r="D187">
        <v>15</v>
      </c>
    </row>
    <row r="188" spans="1:4">
      <c r="A188" s="39" t="s">
        <v>4274</v>
      </c>
      <c r="B188" t="str">
        <f>HYPERLINK('citations-it1-studies'!$D155,'citations-it1-studies'!$B155)</f>
        <v>A Survey of Security Challenges in Cloud-Based SCADA Systems</v>
      </c>
      <c r="C188">
        <v>2024</v>
      </c>
      <c r="D188">
        <v>19</v>
      </c>
    </row>
    <row r="189" spans="1:4">
      <c r="A189" s="39" t="s">
        <v>4274</v>
      </c>
      <c r="B189" t="str">
        <f>HYPERLINK('citations-it1-studies'!$D168,'citations-it1-studies'!$B168)</f>
        <v>Trend Analysis of Factory Automation Using Topic Modeling</v>
      </c>
      <c r="C189">
        <v>2025</v>
      </c>
      <c r="D189">
        <v>20</v>
      </c>
    </row>
    <row r="190" spans="1:4">
      <c r="A190" s="39" t="s">
        <v>4274</v>
      </c>
      <c r="B190" t="str">
        <f>HYPERLINK('citations-it1-studies'!$D170,'citations-it1-studies'!$B170)</f>
        <v>DDoS attack detection using CNN-BiLSTM with attention mechanism</v>
      </c>
      <c r="C190">
        <v>2025</v>
      </c>
      <c r="D190">
        <v>18</v>
      </c>
    </row>
    <row r="191" spans="1:4">
      <c r="A191" s="39" t="s">
        <v>4274</v>
      </c>
      <c r="B191" t="str">
        <f>HYPERLINK('citations-it1-studies'!$D172,'citations-it1-studies'!$B172)</f>
        <v>A Performance Analysis of Security Protocols for Distributed Measurement Systems Based on Internet of Things with Constrained Hardware and Open Source Infrastructures.</v>
      </c>
      <c r="C191">
        <v>2024</v>
      </c>
      <c r="D191">
        <v>22</v>
      </c>
    </row>
    <row r="192" spans="1:4">
      <c r="A192" s="39" t="s">
        <v>4274</v>
      </c>
      <c r="B192" t="str">
        <f>HYPERLINK('citations-it1-studies'!$D174,'citations-it1-studies'!$B174)</f>
        <v>Comprehensive electrical models for a wireless sensor network device.</v>
      </c>
      <c r="C192">
        <v>2024</v>
      </c>
      <c r="D192">
        <v>14</v>
      </c>
    </row>
    <row r="193" spans="1:4">
      <c r="A193" s="39" t="s">
        <v>4274</v>
      </c>
      <c r="B193" t="str">
        <f>HYPERLINK('citations-it1-studies'!$D176,'citations-it1-studies'!$B176)</f>
        <v>OPC-UA Agent for Legacy Programmable Logic Controllers</v>
      </c>
      <c r="C193">
        <v>2022</v>
      </c>
      <c r="D193">
        <v>20</v>
      </c>
    </row>
    <row r="194" spans="1:4">
      <c r="A194" s="39" t="s">
        <v>4274</v>
      </c>
      <c r="B194" t="str">
        <f>HYPERLINK('citations-it1-studies'!$D180,'citations-it1-studies'!$B180)</f>
        <v>A survey on security issues in IoT operating systems</v>
      </c>
      <c r="C194">
        <v>2024</v>
      </c>
      <c r="D194">
        <v>28</v>
      </c>
    </row>
    <row r="195" spans="1:4">
      <c r="A195" s="39" t="s">
        <v>4274</v>
      </c>
      <c r="B195" t="str">
        <f>HYPERLINK('citations-it1-studies'!$D182,'citations-it1-studies'!$B182)</f>
        <v>Enhancing Wireless Sensor Network in Structural Health Monitoring through TCP/IP Socket Programming-Based Mimic Broadcasting: Experimental Validation</v>
      </c>
      <c r="C195">
        <v>2024</v>
      </c>
      <c r="D195">
        <v>31</v>
      </c>
    </row>
    <row r="196" spans="1:4">
      <c r="A196" s="39" t="s">
        <v>4274</v>
      </c>
      <c r="B196" t="str">
        <f>HYPERLINK('citations-it1-studies'!$D191,'citations-it1-studies'!$B191)</f>
        <v>A self-contained emulator for the forensic examination of IoE scenarios</v>
      </c>
      <c r="C196">
        <v>2025</v>
      </c>
      <c r="D196">
        <v>19</v>
      </c>
    </row>
    <row r="197" spans="1:4">
      <c r="A197" s="39" t="s">
        <v>4274</v>
      </c>
      <c r="B197" t="str">
        <f>HYPERLINK('citations-it1-studies'!$D198,'citations-it1-studies'!$B198)</f>
        <v>Development of an IoT-Based SCADA System for Monitoring of Plant Leaf Temperature and Air and Soil Parameters</v>
      </c>
      <c r="C197">
        <v>2023</v>
      </c>
      <c r="D197">
        <v>33</v>
      </c>
    </row>
    <row r="198" spans="1:4">
      <c r="A198" s="39" t="s">
        <v>4274</v>
      </c>
      <c r="B198" t="str">
        <f>HYPERLINK('citations-it1-studies'!$D202,'citations-it1-studies'!$B202)</f>
        <v>Towards electric digital twin grid: Technology and framework review</v>
      </c>
      <c r="C198">
        <v>2023</v>
      </c>
      <c r="D198">
        <v>17</v>
      </c>
    </row>
    <row r="199" spans="1:4">
      <c r="A199" s="39" t="s">
        <v>4274</v>
      </c>
      <c r="B199" t="str">
        <f>HYPERLINK('citations-it1-studies'!$D206,'citations-it1-studies'!$B206)</f>
        <v>A flexible OT testbed for evaluating on-device implementations of IEC-61850 GOOSE</v>
      </c>
      <c r="C199">
        <v>2023</v>
      </c>
      <c r="D199">
        <v>10</v>
      </c>
    </row>
    <row r="200" spans="1:4">
      <c r="A200" s="39" t="s">
        <v>4274</v>
      </c>
      <c r="B200" t="str">
        <f>HYPERLINK('citations-it1-studies'!$D208,'citations-it1-studies'!$B208)</f>
        <v>Industrial robot system state simulation and risk utilization test environment design</v>
      </c>
      <c r="C200">
        <v>2025</v>
      </c>
      <c r="D200">
        <v>15</v>
      </c>
    </row>
    <row r="201" spans="1:4">
      <c r="A201" t="s">
        <v>4275</v>
      </c>
      <c r="B201" s="39" t="str">
        <f>HYPERLINK('references-it1-studies'!$D2,'references-it1-studies'!$B2)</f>
        <v>CCS - POIROT: Aligning Attack Behavior with Kernel Audit Records for Cyber Threat Hunting</v>
      </c>
      <c r="C201">
        <f>'references-it1-studies'!$C2</f>
        <v>2019</v>
      </c>
      <c r="D201">
        <f>'references-it1-studies'!$H2</f>
        <v>18</v>
      </c>
    </row>
    <row r="202" spans="1:4">
      <c r="A202" t="s">
        <v>4275</v>
      </c>
      <c r="B202" s="39" t="str">
        <f>HYPERLINK('references-it1-studies'!$D3,'references-it1-studies'!$B3)</f>
        <v>Man-in-the-middle-attack: Understanding in simple words</v>
      </c>
      <c r="C202">
        <f>'references-it1-studies'!$C3</f>
        <v>2019</v>
      </c>
      <c r="D202">
        <f>'references-it1-studies'!$H3</f>
        <v>16</v>
      </c>
    </row>
    <row r="203" spans="1:4">
      <c r="A203" t="s">
        <v>4275</v>
      </c>
      <c r="B203" s="39" t="str">
        <f>HYPERLINK('references-it1-studies'!$D4,'references-it1-studies'!$B4)</f>
        <v>ICICS - S7commTrace: A High Interactive Honeypot for Industrial Control System Based on S7 Protocol</v>
      </c>
      <c r="C203">
        <f>'references-it1-studies'!$C4</f>
        <v>2018</v>
      </c>
      <c r="D203">
        <f>'references-it1-studies'!$H4</f>
        <v>12</v>
      </c>
    </row>
    <row r="204" spans="1:4">
      <c r="A204" t="s">
        <v>4275</v>
      </c>
      <c r="B204" s="39" t="str">
        <f>HYPERLINK('references-it1-studies'!$D6,'references-it1-studies'!$B6)</f>
        <v>Performance evaluation of CoAP and MQTT with security support for IoT environments</v>
      </c>
      <c r="C204">
        <f>'references-it1-studies'!$C6</f>
        <v>2021</v>
      </c>
      <c r="D204">
        <f>'references-it1-studies'!$H6</f>
        <v>0</v>
      </c>
    </row>
    <row r="205" spans="1:4">
      <c r="A205" t="s">
        <v>4275</v>
      </c>
      <c r="B205" s="39" t="str">
        <f>HYPERLINK('references-it1-studies'!$D7,'references-it1-studies'!$B7)</f>
        <v>INFOCOM Workshops - Simulation of Industrial Wireless Sensor Network (IWSN) protocols</v>
      </c>
      <c r="C205">
        <f>'references-it1-studies'!$C7</f>
        <v>2016</v>
      </c>
      <c r="D205">
        <f>'references-it1-studies'!$H7</f>
        <v>7</v>
      </c>
    </row>
    <row r="206" spans="1:4">
      <c r="A206" t="s">
        <v>4275</v>
      </c>
      <c r="B206" s="39" t="str">
        <f>HYPERLINK('references-it1-studies'!$D10,'references-it1-studies'!$B10)</f>
        <v>Digital transformation of manufacturing through cloud services and resource virtualization</v>
      </c>
      <c r="C206">
        <f>'references-it1-studies'!$C10</f>
        <v>2019</v>
      </c>
      <c r="D206">
        <f>'references-it1-studies'!$H10</f>
        <v>13</v>
      </c>
    </row>
    <row r="207" spans="1:4">
      <c r="A207" t="s">
        <v>4275</v>
      </c>
      <c r="B207" s="39" t="str">
        <f>HYPERLINK('references-it1-studies'!$D12,'references-it1-studies'!$B12)</f>
        <v>Container-based architecture for flexible industrial control applications</v>
      </c>
      <c r="C207">
        <f>'references-it1-studies'!$C12</f>
        <v>2018</v>
      </c>
      <c r="D207">
        <f>'references-it1-studies'!$H12</f>
        <v>9</v>
      </c>
    </row>
    <row r="208" spans="1:4">
      <c r="A208" t="s">
        <v>4275</v>
      </c>
      <c r="B208" s="39" t="str">
        <f>HYPERLINK('references-it1-studies'!$D13,'references-it1-studies'!$B13)</f>
        <v>Interworking between Modbus and internet of things platform for industrial services</v>
      </c>
      <c r="C208">
        <f>'references-it1-studies'!$C13</f>
        <v>2024</v>
      </c>
      <c r="D208">
        <f>'references-it1-studies'!$H13</f>
        <v>11</v>
      </c>
    </row>
    <row r="209" spans="1:4">
      <c r="A209" t="s">
        <v>4275</v>
      </c>
      <c r="B209" s="39" t="str">
        <f>HYPERLINK('references-it1-studies'!$D14,'references-it1-studies'!$B14)</f>
        <v>GNS3 Communication Network Emulation for Substation GOOSE Based Protection Schemes</v>
      </c>
      <c r="C209">
        <f>'references-it1-studies'!$C14</f>
        <v>2022</v>
      </c>
      <c r="D209">
        <f>'references-it1-studies'!$H14</f>
        <v>0</v>
      </c>
    </row>
    <row r="210" spans="1:4">
      <c r="A210" t="s">
        <v>4275</v>
      </c>
      <c r="B210" s="39" t="str">
        <f>HYPERLINK('references-it1-studies'!$D15,'references-it1-studies'!$B15)</f>
        <v>ICC - Application protocols enabling internet of remote things via random access satellite channels</v>
      </c>
      <c r="C210">
        <f>'references-it1-studies'!$C15</f>
        <v>2017</v>
      </c>
      <c r="D210">
        <f>'references-it1-studies'!$H15</f>
        <v>6</v>
      </c>
    </row>
    <row r="211" spans="1:4">
      <c r="A211" t="s">
        <v>4275</v>
      </c>
      <c r="B211" s="39" t="str">
        <f>HYPERLINK('references-it1-studies'!$D16,'references-it1-studies'!$B16)</f>
        <v>Denial-of-Service Attack on IEC 61850-Based Substation Automation System: A Crucial Cyber Threat towards Smart Substation Pathways.</v>
      </c>
      <c r="C211">
        <f>'references-it1-studies'!$C16</f>
        <v>2021</v>
      </c>
      <c r="D211">
        <f>'references-it1-studies'!$H16</f>
        <v>0</v>
      </c>
    </row>
    <row r="212" spans="1:4">
      <c r="A212" t="s">
        <v>4275</v>
      </c>
      <c r="B212" s="39" t="str">
        <f>HYPERLINK('references-it1-studies'!$D19,'references-it1-studies'!$B19)</f>
        <v>Design of Industrial Edge Applications Based on IEC 61499 Microservices and Containers</v>
      </c>
      <c r="C212">
        <f>'references-it1-studies'!$C19</f>
        <v>2023</v>
      </c>
      <c r="D212">
        <f>'references-it1-studies'!$H19</f>
        <v>11</v>
      </c>
    </row>
    <row r="213" spans="1:4">
      <c r="A213" t="s">
        <v>4275</v>
      </c>
      <c r="B213" s="39" t="str">
        <f>HYPERLINK('references-it1-studies'!$D21,'references-it1-studies'!$B21)</f>
        <v>Structured Defense Model Against DNP3-Based Critical Infrastructure Attacks</v>
      </c>
      <c r="C213">
        <f>'references-it1-studies'!$C21</f>
        <v>2024</v>
      </c>
      <c r="D213">
        <f>'references-it1-studies'!$H21</f>
        <v>19</v>
      </c>
    </row>
    <row r="214" spans="1:4">
      <c r="A214" t="s">
        <v>4275</v>
      </c>
      <c r="B214" s="39" t="str">
        <f>HYPERLINK('references-it1-studies'!$D22,'references-it1-studies'!$B22)</f>
        <v>Choice of effective messaging protocols for IoT systems: MQTT, CoAP, AMQP and HTTP</v>
      </c>
      <c r="C214">
        <f>'references-it1-studies'!$C22</f>
        <v>2017</v>
      </c>
      <c r="D214">
        <f>'references-it1-studies'!$H22</f>
        <v>7</v>
      </c>
    </row>
    <row r="215" spans="1:4">
      <c r="A215" t="s">
        <v>4275</v>
      </c>
      <c r="B215" s="39" t="str">
        <f>HYPERLINK('references-it1-studies'!$D24,'references-it1-studies'!$B24)</f>
        <v>Simulation and Analysis of Cyber-Attack on Modbus Protocol for Smart Grids in Virtual Environment</v>
      </c>
      <c r="C215">
        <f>'references-it1-studies'!$C24</f>
        <v>2023</v>
      </c>
      <c r="D215">
        <f>'references-it1-studies'!$H24</f>
        <v>0</v>
      </c>
    </row>
    <row r="216" spans="1:4">
      <c r="A216" t="s">
        <v>4275</v>
      </c>
      <c r="B216" s="39" t="str">
        <f>HYPERLINK('references-it1-studies'!$D25,'references-it1-studies'!$B25)</f>
        <v>A Novel Approach for Mitigation of Replay and Masquerade Attacks in Smartgrids Using IEC 61850 Standard</v>
      </c>
      <c r="C216">
        <f>'references-it1-studies'!$C25</f>
        <v>2019</v>
      </c>
      <c r="D216">
        <f>'references-it1-studies'!$H25</f>
        <v>10</v>
      </c>
    </row>
    <row r="217" spans="1:4">
      <c r="A217" t="s">
        <v>4275</v>
      </c>
      <c r="B217" s="39" t="str">
        <f>HYPERLINK('references-it1-studies'!$D27,'references-it1-studies'!$B27)</f>
        <v>MetroInd4.0&amp;amp;IoT - Performance Comparison Between OPC UA and MQTT for Data Exchange</v>
      </c>
      <c r="C217">
        <f>'references-it1-studies'!$C27</f>
        <v>2018</v>
      </c>
      <c r="D217">
        <f>'references-it1-studies'!$H27</f>
        <v>5</v>
      </c>
    </row>
    <row r="218" spans="1:4">
      <c r="A218" t="s">
        <v>4275</v>
      </c>
      <c r="B218" s="39" t="str">
        <f>HYPERLINK('references-it1-studies'!$D28,'references-it1-studies'!$B28)</f>
        <v>ETFA - TSN-Enabled OPC UA in Field Devices</v>
      </c>
      <c r="C218">
        <f>'references-it1-studies'!$C28</f>
        <v>2018</v>
      </c>
      <c r="D218">
        <f>'references-it1-studies'!$H28</f>
        <v>7</v>
      </c>
    </row>
    <row r="219" spans="1:4">
      <c r="A219" t="s">
        <v>4275</v>
      </c>
      <c r="B219" s="39" t="str">
        <f>HYPERLINK('references-it1-studies'!$D29,'references-it1-studies'!$B29)</f>
        <v>Practical Implementation of an OPC UA TSN Communication Architecture for a Manufacturing System</v>
      </c>
      <c r="C219">
        <f>'references-it1-studies'!$C29</f>
        <v>2020</v>
      </c>
      <c r="D219">
        <f>'references-it1-studies'!$H29</f>
        <v>12</v>
      </c>
    </row>
    <row r="220" spans="1:4">
      <c r="A220" t="s">
        <v>4275</v>
      </c>
      <c r="B220" s="39" t="str">
        <f>HYPERLINK('references-it1-studies'!$D30,'references-it1-studies'!$B30)</f>
        <v>LANMAN - Robustness of IoT Application Protocols to Network Impairments</v>
      </c>
      <c r="C220">
        <f>'references-it1-studies'!$C30</f>
        <v>2018</v>
      </c>
      <c r="D220">
        <f>'references-it1-studies'!$H30</f>
        <v>7</v>
      </c>
    </row>
    <row r="221" spans="1:4">
      <c r="A221" t="s">
        <v>4275</v>
      </c>
      <c r="B221" s="39" t="str">
        <f>HYPERLINK('references-it1-studies'!$D31,'references-it1-studies'!$B31)</f>
        <v>A survey of intrusion detection in Internet of Things</v>
      </c>
      <c r="C221">
        <f>'references-it1-studies'!$C31</f>
        <v>2017</v>
      </c>
      <c r="D221">
        <f>'references-it1-studies'!$H31</f>
        <v>13</v>
      </c>
    </row>
    <row r="222" spans="1:4">
      <c r="A222" t="s">
        <v>4275</v>
      </c>
      <c r="B222" s="39" t="str">
        <f>HYPERLINK('references-it1-studies'!$D32,'references-it1-studies'!$B32)</f>
        <v>Evaluating Docker for Lightweight Virtualization of Distributed and Time-Sensitive Applications in Industrial Automation</v>
      </c>
      <c r="C222">
        <f>'references-it1-studies'!$C32</f>
        <v>2021</v>
      </c>
      <c r="D222">
        <f>'references-it1-studies'!$H32</f>
        <v>11</v>
      </c>
    </row>
    <row r="223" spans="1:4">
      <c r="A223" t="s">
        <v>4275</v>
      </c>
      <c r="B223" s="39" t="str">
        <f>HYPERLINK('references-it1-studies'!$D33,'references-it1-studies'!$B33)</f>
        <v>Performance of the XMPP and the MQTT Protocols on IEC 61850-Based Micro Grid Communication Architecture</v>
      </c>
      <c r="C223">
        <f>'references-it1-studies'!$C33</f>
        <v>2021</v>
      </c>
      <c r="D223">
        <f>'references-it1-studies'!$H33</f>
        <v>0</v>
      </c>
    </row>
    <row r="224" spans="1:4">
      <c r="A224" t="s">
        <v>4275</v>
      </c>
      <c r="B224" s="39" t="str">
        <f>HYPERLINK('references-it1-studies'!$D36,'references-it1-studies'!$B36)</f>
        <v>Handbook of Big Data Technologies - SCADA Systems in the Cloud</v>
      </c>
      <c r="C224">
        <f>'references-it1-studies'!$C36</f>
        <v>2017</v>
      </c>
      <c r="D224">
        <f>'references-it1-studies'!$H36</f>
        <v>28</v>
      </c>
    </row>
    <row r="225" spans="1:4">
      <c r="A225" t="s">
        <v>4275</v>
      </c>
      <c r="B225" s="39" t="str">
        <f>HYPERLINK('references-it1-studies'!$D37,'references-it1-studies'!$B37)</f>
        <v>EnGINE: Developing a Flexible Research Infrastructure for Reliable and Scalable Intra-Vehicular TSN Networks</v>
      </c>
      <c r="C225">
        <f>'references-it1-studies'!$C37</f>
        <v>2021</v>
      </c>
      <c r="D225">
        <f>'references-it1-studies'!$H37</f>
        <v>0</v>
      </c>
    </row>
    <row r="226" spans="1:4">
      <c r="A226" t="s">
        <v>4275</v>
      </c>
      <c r="B226" s="39" t="str">
        <f>HYPERLINK('references-it1-studies'!$D38,'references-it1-studies'!$B38)</f>
        <v>An Effective Methodology for Measuring Software Resource Usage</v>
      </c>
      <c r="C226">
        <f>'references-it1-studies'!$C38</f>
        <v>2018</v>
      </c>
      <c r="D226">
        <f>'references-it1-studies'!$H38</f>
        <v>8</v>
      </c>
    </row>
    <row r="227" spans="1:4">
      <c r="A227" t="s">
        <v>4275</v>
      </c>
      <c r="B227" s="39" t="str">
        <f>HYPERLINK('references-it1-studies'!$D39,'references-it1-studies'!$B39)</f>
        <v>Manufacturing in the fourth industrial revolution: A positive prospect in Sustainable Manufacturing</v>
      </c>
      <c r="C227">
        <f>'references-it1-studies'!$C39</f>
        <v>2018</v>
      </c>
      <c r="D227">
        <f>'references-it1-studies'!$H39</f>
        <v>8</v>
      </c>
    </row>
    <row r="228" spans="1:4">
      <c r="A228" t="s">
        <v>4275</v>
      </c>
      <c r="B228" s="39" t="str">
        <f>HYPERLINK('references-it1-studies'!$D44,'references-it1-studies'!$B44)</f>
        <v>A Review of IEC 62351 Security Mechanisms for IEC 61850 Message Exchanges</v>
      </c>
      <c r="C228">
        <f>'references-it1-studies'!$C44</f>
        <v>2020</v>
      </c>
      <c r="D228">
        <f>'references-it1-studies'!$H44</f>
        <v>12</v>
      </c>
    </row>
    <row r="229" spans="1:4">
      <c r="A229" t="s">
        <v>4275</v>
      </c>
      <c r="B229" s="39" t="str">
        <f>HYPERLINK('references-it1-studies'!$D45,'references-it1-studies'!$B45)</f>
        <v>SmartGridComm - A Cost-efficient Software Testbed for Cyber-Physical Security in IEC 61850-based Substations</v>
      </c>
      <c r="C229">
        <f>'references-it1-studies'!$C45</f>
        <v>2018</v>
      </c>
      <c r="D229">
        <f>'references-it1-studies'!$H45</f>
        <v>0</v>
      </c>
    </row>
    <row r="230" spans="1:4">
      <c r="A230" t="s">
        <v>4275</v>
      </c>
      <c r="B230" s="39" t="str">
        <f>HYPERLINK('references-it1-studies'!$D47,'references-it1-studies'!$B47)</f>
        <v>QEST - How Fast Is MQTT</v>
      </c>
      <c r="C230">
        <f>'references-it1-studies'!$C47</f>
        <v>2018</v>
      </c>
      <c r="D230">
        <f>'references-it1-studies'!$H47</f>
        <v>17</v>
      </c>
    </row>
    <row r="231" spans="1:4">
      <c r="A231" t="s">
        <v>4275</v>
      </c>
      <c r="B231" s="39" t="str">
        <f>HYPERLINK('references-it1-studies'!$D48,'references-it1-studies'!$B48)</f>
        <v>ISGT Europe - Stealthy Injection Attacks Against IEC61850's GOOSE Messaging Service</v>
      </c>
      <c r="C231">
        <f>'references-it1-studies'!$C48</f>
        <v>2018</v>
      </c>
      <c r="D231">
        <f>'references-it1-studies'!$H48</f>
        <v>6</v>
      </c>
    </row>
    <row r="232" spans="1:4">
      <c r="A232" t="s">
        <v>4275</v>
      </c>
      <c r="B232" s="39" t="str">
        <f>HYPERLINK('references-it1-studies'!$D49,'references-it1-studies'!$B49)</f>
        <v>Internet of Things (IoT): Research, Simulators, and Testbeds</v>
      </c>
      <c r="C232">
        <f>'references-it1-studies'!$C49</f>
        <v>2018</v>
      </c>
      <c r="D232">
        <f>'references-it1-studies'!$H49</f>
        <v>11</v>
      </c>
    </row>
    <row r="233" spans="1:4">
      <c r="A233" t="s">
        <v>4275</v>
      </c>
      <c r="B233" s="39" t="str">
        <f>HYPERLINK('references-it1-studies'!$D50,'references-it1-studies'!$B50)</f>
        <v>SoK: A Reality Check for DNP3 Attacks 15 Years Later</v>
      </c>
      <c r="C233">
        <f>'references-it1-studies'!$C50</f>
        <v>2024</v>
      </c>
      <c r="D233">
        <f>'references-it1-studies'!$H50</f>
        <v>19</v>
      </c>
    </row>
    <row r="234" spans="1:4">
      <c r="A234" t="s">
        <v>4275</v>
      </c>
      <c r="B234" s="39" t="str">
        <f>HYPERLINK('references-it1-studies'!$D51,'references-it1-studies'!$B51)</f>
        <v>Avoiding the internet of insecure industrial things</v>
      </c>
      <c r="C234">
        <f>'references-it1-studies'!$C51</f>
        <v>2018</v>
      </c>
      <c r="D234">
        <f>'references-it1-studies'!$H51</f>
        <v>17</v>
      </c>
    </row>
    <row r="235" spans="1:4">
      <c r="A235" t="s">
        <v>4275</v>
      </c>
      <c r="B235" s="39" t="str">
        <f>HYPERLINK('references-it1-studies'!$D52,'references-it1-studies'!$B52)</f>
        <v>ES - Performance Evaluation of Application Layer Protocols for the Internet-of-Things</v>
      </c>
      <c r="C235">
        <f>'references-it1-studies'!$C52</f>
        <v>2018</v>
      </c>
      <c r="D235">
        <f>'references-it1-studies'!$H52</f>
        <v>8</v>
      </c>
    </row>
    <row r="236" spans="1:4">
      <c r="A236" t="s">
        <v>4275</v>
      </c>
      <c r="B236" s="39" t="str">
        <f>HYPERLINK('references-it1-studies'!$D55,'references-it1-studies'!$B55)</f>
        <v>ICPE - Bottleneck Identification and Performance Modeling of OPC UA Communication Models</v>
      </c>
      <c r="C236">
        <f>'references-it1-studies'!$C55</f>
        <v>2019</v>
      </c>
      <c r="D236">
        <f>'references-it1-studies'!$H55</f>
        <v>12</v>
      </c>
    </row>
    <row r="237" spans="1:4">
      <c r="A237" t="s">
        <v>4275</v>
      </c>
      <c r="B237" s="39" t="str">
        <f>HYPERLINK('references-it1-studies'!$D57,'references-it1-studies'!$B57)</f>
        <v>ICIOT - IoTbed: A Generic Architecture for Testbed as a Service for Internet of Things-Based Systems</v>
      </c>
      <c r="C237">
        <f>'references-it1-studies'!$C57</f>
        <v>2017</v>
      </c>
      <c r="D237">
        <f>'references-it1-studies'!$H57</f>
        <v>8</v>
      </c>
    </row>
    <row r="238" spans="1:4">
      <c r="A238" t="s">
        <v>4275</v>
      </c>
      <c r="B238" s="39" t="str">
        <f>HYPERLINK('references-it1-studies'!$D58,'references-it1-studies'!$B58)</f>
        <v>Modeling and Analysis of Attacks and Counter Defense Mechanisms for Cyber Physical Systems</v>
      </c>
      <c r="C238">
        <f>'references-it1-studies'!$C58</f>
        <v>2016</v>
      </c>
      <c r="D238">
        <f>'references-it1-studies'!$H58</f>
        <v>9</v>
      </c>
    </row>
    <row r="239" spans="1:4">
      <c r="A239" t="s">
        <v>4275</v>
      </c>
      <c r="B239" s="39" t="str">
        <f>HYPERLINK('references-it1-studies'!$D59,'references-it1-studies'!$B59)</f>
        <v>HICSS - Design Principles for Industrie 4.0 Scenarios</v>
      </c>
      <c r="C239">
        <f>'references-it1-studies'!$C59</f>
        <v>2016</v>
      </c>
      <c r="D239">
        <f>'references-it1-studies'!$H59</f>
        <v>10</v>
      </c>
    </row>
    <row r="240" spans="1:4">
      <c r="A240" t="s">
        <v>4275</v>
      </c>
      <c r="B240" s="39" t="str">
        <f>HYPERLINK('references-it1-studies'!$D62,'references-it1-studies'!$B62)</f>
        <v>Vulnerability and Impact Analysis of the IEC 61850 GOOSE Protocol in the Smart Grid.</v>
      </c>
      <c r="C240">
        <f>'references-it1-studies'!$C62</f>
        <v>2021</v>
      </c>
      <c r="D240">
        <f>'references-it1-studies'!$H62</f>
        <v>0</v>
      </c>
    </row>
    <row r="241" spans="1:4">
      <c r="A241" t="s">
        <v>4275</v>
      </c>
      <c r="B241" s="39" t="str">
        <f>HYPERLINK('references-it1-studies'!$D64,'references-it1-studies'!$B64)</f>
        <v>INDIN - OPC UA integration for field devices</v>
      </c>
      <c r="C241">
        <f>'references-it1-studies'!$C64</f>
        <v>2017</v>
      </c>
      <c r="D241">
        <f>'references-it1-studies'!$H64</f>
        <v>6</v>
      </c>
    </row>
    <row r="242" spans="1:4">
      <c r="A242" t="s">
        <v>4275</v>
      </c>
      <c r="B242" s="39" t="str">
        <f>HYPERLINK('references-it1-studies'!$D69,'references-it1-studies'!$B69)</f>
        <v>Comparative analysis of the security of configuration protocols for industrial control devices</v>
      </c>
      <c r="C242">
        <f>'references-it1-studies'!$C69</f>
        <v>2017</v>
      </c>
      <c r="D242">
        <f>'references-it1-studies'!$H69</f>
        <v>12</v>
      </c>
    </row>
    <row r="243" spans="1:4">
      <c r="A243" t="s">
        <v>4275</v>
      </c>
      <c r="B243" s="39" t="str">
        <f>HYPERLINK('references-it1-studies'!$D70,'references-it1-studies'!$B70)</f>
        <v>Experimental Characterization of Asynchronous Notification Latency for Subscriptions in OPC UA</v>
      </c>
      <c r="C243">
        <f>'references-it1-studies'!$C70</f>
        <v>2021</v>
      </c>
      <c r="D243">
        <f>'references-it1-studies'!$H70</f>
        <v>8</v>
      </c>
    </row>
    <row r="244" spans="1:4">
      <c r="A244" t="s">
        <v>4275</v>
      </c>
      <c r="B244" s="39" t="str">
        <f>HYPERLINK('references-it1-studies'!$D71,'references-it1-studies'!$B71)</f>
        <v>Assessment of Different OPC UA Implementations for Industrial IoT-Based Measurement Applications</v>
      </c>
      <c r="C244">
        <f>'references-it1-studies'!$C71</f>
        <v>2021</v>
      </c>
      <c r="D244">
        <f>'references-it1-studies'!$H71</f>
        <v>11</v>
      </c>
    </row>
    <row r="245" spans="1:4">
      <c r="A245" t="s">
        <v>4275</v>
      </c>
      <c r="B245" s="39" t="str">
        <f>HYPERLINK('references-it1-studies'!$D72,'references-it1-studies'!$B72)</f>
        <v>ICIT - OPC UA versus ROS, DDS, and MQTT: Performance Evaluation of Industry 4.0 Protocols</v>
      </c>
      <c r="C245">
        <f>'references-it1-studies'!$C72</f>
        <v>2019</v>
      </c>
      <c r="D245">
        <f>'references-it1-studies'!$H72</f>
        <v>8</v>
      </c>
    </row>
    <row r="246" spans="1:4">
      <c r="A246" t="s">
        <v>4275</v>
      </c>
      <c r="B246" s="39" t="str">
        <f>HYPERLINK('references-it1-studies'!$D73,'references-it1-studies'!$B73)</f>
        <v>Cyber-physical systems architectures for industrial internet of things applications in Industry 4.0: A literature review</v>
      </c>
      <c r="C246">
        <f>'references-it1-studies'!$C73</f>
        <v>2021</v>
      </c>
      <c r="D246">
        <f>'references-it1-studies'!$H73</f>
        <v>17</v>
      </c>
    </row>
    <row r="247" spans="1:4">
      <c r="A247" t="s">
        <v>4275</v>
      </c>
      <c r="B247" s="39" t="str">
        <f>HYPERLINK('references-it1-studies'!$D75,'references-it1-studies'!$B75)</f>
        <v>The industrial internet of things (IIoT): An analysis framework</v>
      </c>
      <c r="C247">
        <f>'references-it1-studies'!$C75</f>
        <v>2018</v>
      </c>
      <c r="D247">
        <f>'references-it1-studies'!$H75</f>
        <v>12</v>
      </c>
    </row>
    <row r="248" spans="1:4">
      <c r="A248" t="s">
        <v>4275</v>
      </c>
      <c r="B248" s="39" t="str">
        <f>HYPERLINK('references-it1-studies'!$D76,'references-it1-studies'!$B76)</f>
        <v>Address resolution protocol spoofing attacks and security approaches: A survey</v>
      </c>
      <c r="C248">
        <f>'references-it1-studies'!$C76</f>
        <v>2018</v>
      </c>
      <c r="D248">
        <f>'references-it1-studies'!$H76</f>
        <v>0</v>
      </c>
    </row>
    <row r="249" spans="1:4">
      <c r="A249" t="s">
        <v>4275</v>
      </c>
      <c r="B249" s="39" t="str">
        <f>HYPERLINK('references-it1-studies'!$D77,'references-it1-studies'!$B77)</f>
        <v>A comparison of AMQP and MQTT protocols for Internet of Things</v>
      </c>
      <c r="C249">
        <f>'references-it1-studies'!$C77</f>
        <v>2019</v>
      </c>
      <c r="D249">
        <f>'references-it1-studies'!$H77</f>
        <v>6</v>
      </c>
    </row>
    <row r="250" spans="1:4">
      <c r="A250" t="s">
        <v>4275</v>
      </c>
      <c r="B250" s="39" t="str">
        <f>HYPERLINK('references-it1-studies'!$D79,'references-it1-studies'!$B79)</f>
        <v>ASP-DAC - Security analysis on consumer and industrial IoT devices</v>
      </c>
      <c r="C250">
        <f>'references-it1-studies'!$C79</f>
        <v>2016</v>
      </c>
      <c r="D250">
        <f>'references-it1-studies'!$H79</f>
        <v>6</v>
      </c>
    </row>
    <row r="251" spans="1:4">
      <c r="A251" t="s">
        <v>4275</v>
      </c>
      <c r="B251" s="39" t="str">
        <f>HYPERLINK('references-it1-studies'!$D84,'references-it1-studies'!$B84)</f>
        <v>Industrial Internet of Things: Challenges, Opportunities, and Directions</v>
      </c>
      <c r="C251">
        <f>'references-it1-studies'!$C84</f>
        <v>2018</v>
      </c>
      <c r="D251">
        <f>'references-it1-studies'!$H84</f>
        <v>11</v>
      </c>
    </row>
    <row r="252" spans="1:4">
      <c r="A252" t="s">
        <v>4275</v>
      </c>
      <c r="B252" s="39" t="str">
        <f>HYPERLINK('references-it1-studies'!$D85,'references-it1-studies'!$B85)</f>
        <v>URAI - An EtherCAT-based real-time motion control system in mobile robot application</v>
      </c>
      <c r="C252">
        <f>'references-it1-studies'!$C85</f>
        <v>2016</v>
      </c>
      <c r="D252">
        <f>'references-it1-studies'!$H85</f>
        <v>6</v>
      </c>
    </row>
    <row r="253" spans="1:4">
      <c r="A253" t="s">
        <v>4275</v>
      </c>
      <c r="B253" s="39" t="str">
        <f>HYPERLINK('references-it1-studies'!$D88,'references-it1-studies'!$B88)</f>
        <v>Trustworthiness in Industrial IoT Systems Based on Artificial Intelligence</v>
      </c>
      <c r="C253">
        <f>'references-it1-studies'!$C88</f>
        <v>2021</v>
      </c>
      <c r="D253">
        <f>'references-it1-studies'!$H88</f>
        <v>9</v>
      </c>
    </row>
    <row r="254" spans="1:4">
      <c r="A254" t="s">
        <v>4275</v>
      </c>
      <c r="B254" s="39" t="str">
        <f>HYPERLINK('references-it1-studies'!$D89,'references-it1-studies'!$B89)</f>
        <v>Processes, Motivations, and Issues for Migrating to Microservices Architectures: An Empirical Investigation</v>
      </c>
      <c r="C254">
        <f>'references-it1-studies'!$C89</f>
        <v>2017</v>
      </c>
      <c r="D254">
        <f>'references-it1-studies'!$H89</f>
        <v>11</v>
      </c>
    </row>
    <row r="255" spans="1:4">
      <c r="A255" t="s">
        <v>4275</v>
      </c>
      <c r="B255" s="39" t="str">
        <f>HYPERLINK('references-it1-studies'!$D90,'references-it1-studies'!$B90)</f>
        <v>Interoperability in Smart Manufacturing: Research Challenges</v>
      </c>
      <c r="C255">
        <f>'references-it1-studies'!$C90</f>
        <v>2019</v>
      </c>
      <c r="D255">
        <f>'references-it1-studies'!$H90</f>
        <v>0</v>
      </c>
    </row>
    <row r="256" spans="1:4">
      <c r="A256" t="s">
        <v>4275</v>
      </c>
      <c r="B256" s="39" t="str">
        <f>HYPERLINK('references-it1-studies'!$D91,'references-it1-studies'!$B91)</f>
        <v>SIGCOMM - The QUIC Transport Protocol: Design and Internet-Scale Deployment</v>
      </c>
      <c r="C256">
        <f>'references-it1-studies'!$C91</f>
        <v>2017</v>
      </c>
      <c r="D256">
        <f>'references-it1-studies'!$H91</f>
        <v>14</v>
      </c>
    </row>
    <row r="257" spans="1:4">
      <c r="A257" t="s">
        <v>4275</v>
      </c>
      <c r="B257" s="39" t="str">
        <f>HYPERLINK('references-it1-studies'!$D92,'references-it1-studies'!$B92)</f>
        <v>INDIN - TSN Traffic Shaping for OPC UA Field Devices</v>
      </c>
      <c r="C257">
        <f>'references-it1-studies'!$C92</f>
        <v>2019</v>
      </c>
      <c r="D257">
        <f>'references-it1-studies'!$H92</f>
        <v>6</v>
      </c>
    </row>
    <row r="258" spans="1:4">
      <c r="A258" t="s">
        <v>4275</v>
      </c>
      <c r="B258" s="39" t="str">
        <f>HYPERLINK('references-it1-studies'!$D94,'references-it1-studies'!$B94)</f>
        <v>Information-Centric Networking, A natural design for IoT applications?</v>
      </c>
      <c r="C258">
        <f>'references-it1-studies'!$C94</f>
        <v>2017</v>
      </c>
      <c r="D258">
        <f>'references-it1-studies'!$H94</f>
        <v>0</v>
      </c>
    </row>
    <row r="259" spans="1:4">
      <c r="A259" t="s">
        <v>4275</v>
      </c>
      <c r="B259" s="39" t="str">
        <f>HYPERLINK('references-it1-studies'!$D95,'references-it1-studies'!$B95)</f>
        <v>Trends in Smart Grid Cyber-Physical Security: Components, Threats, and Solutions</v>
      </c>
      <c r="C259">
        <f>'references-it1-studies'!$C95</f>
        <v>2024</v>
      </c>
      <c r="D259">
        <f>'references-it1-studies'!$H95</f>
        <v>28</v>
      </c>
    </row>
    <row r="260" spans="1:4">
      <c r="A260" t="s">
        <v>4275</v>
      </c>
      <c r="B260" s="39" t="str">
        <f>HYPERLINK('references-it1-studies'!$D101,'references-it1-studies'!$B101)</f>
        <v>CCS - Principled Unearthing of TCP Side Channel Vulnerabilities</v>
      </c>
      <c r="C260">
        <f>'references-it1-studies'!$C101</f>
        <v>2019</v>
      </c>
      <c r="D260">
        <f>'references-it1-studies'!$H101</f>
        <v>14</v>
      </c>
    </row>
    <row r="261" spans="1:4">
      <c r="A261" t="s">
        <v>4275</v>
      </c>
      <c r="B261" s="39" t="str">
        <f>HYPERLINK('references-it1-studies'!$D102,'references-it1-studies'!$B102)</f>
        <v>Communication Systems for Industry 4.0 and the IIoT</v>
      </c>
      <c r="C261">
        <f>'references-it1-studies'!$C102</f>
        <v>2018</v>
      </c>
      <c r="D261">
        <f>'references-it1-studies'!$H102</f>
        <v>6</v>
      </c>
    </row>
    <row r="262" spans="1:4">
      <c r="A262" t="s">
        <v>4275</v>
      </c>
      <c r="B262" s="39" t="str">
        <f>HYPERLINK('references-it1-studies'!$D104,'references-it1-studies'!$B104)</f>
        <v>ICN - NDN, CoAP, and MQTT: a comparative measurement study in the IoT</v>
      </c>
      <c r="C262">
        <f>'references-it1-studies'!$C104</f>
        <v>2018</v>
      </c>
      <c r="D262">
        <f>'references-it1-studies'!$H104</f>
        <v>13</v>
      </c>
    </row>
    <row r="263" spans="1:4">
      <c r="A263" t="s">
        <v>4275</v>
      </c>
      <c r="B263" s="39" t="str">
        <f>HYPERLINK('references-it1-studies'!$D106,'references-it1-studies'!$B106)</f>
        <v>Integration of WirelessHART and ISA100.11a field devices into condition monitoring system for starting IIoT implementation</v>
      </c>
      <c r="C263">
        <f>'references-it1-studies'!$C106</f>
        <v>2017</v>
      </c>
      <c r="D263">
        <f>'references-it1-studies'!$H106</f>
        <v>6</v>
      </c>
    </row>
    <row r="264" spans="1:4">
      <c r="A264" t="s">
        <v>4275</v>
      </c>
      <c r="B264" s="39" t="str">
        <f>HYPERLINK('references-it1-studies'!$D107,'references-it1-studies'!$B107)</f>
        <v>JOSE: An Open Testbed for Field Trials of Large-scale IoT Services</v>
      </c>
      <c r="C264">
        <f>'references-it1-studies'!$C107</f>
        <v>2016</v>
      </c>
      <c r="D264">
        <f>'references-it1-studies'!$H107</f>
        <v>9</v>
      </c>
    </row>
    <row r="265" spans="1:4">
      <c r="A265" t="s">
        <v>4275</v>
      </c>
      <c r="B265" s="39" t="str">
        <f>HYPERLINK('references-it1-studies'!$D108,'references-it1-studies'!$B108)</f>
        <v>Open-Source Implementierung von OPC UA PubSub für echtzeitfähige Kommunikation mit Time-Sensitive Networking</v>
      </c>
      <c r="C265">
        <f>'references-it1-studies'!$C108</f>
        <v>2020</v>
      </c>
      <c r="D265">
        <f>'references-it1-studies'!$H108</f>
        <v>10</v>
      </c>
    </row>
    <row r="266" spans="1:4">
      <c r="A266" t="s">
        <v>4275</v>
      </c>
      <c r="B266" s="39" t="str">
        <f>HYPERLINK('references-it1-studies'!$D112,'references-it1-studies'!$B112)</f>
        <v>Concept and engineering development of cyber physical production systems: a systematic literature review</v>
      </c>
      <c r="C266">
        <f>'references-it1-studies'!$C112</f>
        <v>2020</v>
      </c>
      <c r="D266">
        <f>'references-it1-studies'!$H112</f>
        <v>19</v>
      </c>
    </row>
    <row r="267" spans="1:4">
      <c r="A267" t="s">
        <v>4275</v>
      </c>
      <c r="B267" s="39" t="str">
        <f>HYPERLINK('references-it1-studies'!$D113,'references-it1-studies'!$B113)</f>
        <v>Real-Time Hardware-in-the-Loop Testing of IEC 61850 GOOSE-Based Logically Selective Adaptive Protection of AC Microgrid</v>
      </c>
      <c r="C267">
        <f>'references-it1-studies'!$C113</f>
        <v>2021</v>
      </c>
      <c r="D267">
        <f>'references-it1-studies'!$H113</f>
        <v>28</v>
      </c>
    </row>
    <row r="268" spans="1:4">
      <c r="A268" t="s">
        <v>4275</v>
      </c>
      <c r="B268" s="39" t="str">
        <f>HYPERLINK('references-it1-studies'!$D114,'references-it1-studies'!$B114)</f>
        <v>Container-based Virtualization for Real-time Industrial Systems—A Systematic Review</v>
      </c>
      <c r="C268">
        <f>'references-it1-studies'!$C114</f>
        <v>2023</v>
      </c>
      <c r="D268">
        <f>'references-it1-studies'!$H114</f>
        <v>38</v>
      </c>
    </row>
    <row r="269" spans="1:4">
      <c r="A269" t="s">
        <v>4275</v>
      </c>
      <c r="B269" s="39" t="str">
        <f>HYPERLINK('references-it1-studies'!$D115,'references-it1-studies'!$B115)</f>
        <v>Industry 4.0 for SMEs</v>
      </c>
      <c r="C269">
        <f>'references-it1-studies'!$C115</f>
        <v>2020</v>
      </c>
      <c r="D269">
        <f>'references-it1-studies'!$H115</f>
        <v>0</v>
      </c>
    </row>
    <row r="270" spans="1:4">
      <c r="A270" t="s">
        <v>4275</v>
      </c>
      <c r="B270" s="39" t="str">
        <f>HYPERLINK('references-it1-studies'!$D117,'references-it1-studies'!$B117)</f>
        <v>An anomaly-based approach for DDoS attack detection in cloud environment</v>
      </c>
      <c r="C270">
        <f>'references-it1-studies'!$C117</f>
        <v>2018</v>
      </c>
      <c r="D270">
        <f>'references-it1-studies'!$H117</f>
        <v>13</v>
      </c>
    </row>
    <row r="271" spans="1:4">
      <c r="A271" t="s">
        <v>4275</v>
      </c>
      <c r="B271" s="39" t="str">
        <f>HYPERLINK('references-it1-studies'!$D118,'references-it1-studies'!$B118)</f>
        <v>ICETE (2) - Side Channel Attacks over Encrypted TCP/IP Modbus Reveal Functionality Leaks.</v>
      </c>
      <c r="C271">
        <f>'references-it1-studies'!$C118</f>
        <v>2018</v>
      </c>
      <c r="D271">
        <f>'references-it1-studies'!$H118</f>
        <v>11</v>
      </c>
    </row>
    <row r="272" spans="1:4">
      <c r="A272" t="s">
        <v>4275</v>
      </c>
      <c r="B272" s="39" t="str">
        <f>HYPERLINK('references-it1-studies'!$D120,'references-it1-studies'!$B120)</f>
        <v>ICC - QoS-FS: A new forwarding strategy with QoS for routing in Named Data Networking</v>
      </c>
      <c r="C272">
        <f>'references-it1-studies'!$C120</f>
        <v>2016</v>
      </c>
      <c r="D272">
        <f>'references-it1-studies'!$H120</f>
        <v>7</v>
      </c>
    </row>
    <row r="273" spans="1:4">
      <c r="A273" t="s">
        <v>4275</v>
      </c>
      <c r="B273" s="39" t="str">
        <f>HYPERLINK('references-it1-studies'!$D124,'references-it1-studies'!$B124)</f>
        <v>I2MTC - Assessment of Different OPC UA Industrial IoT solutions for Distributed Measurement Applications</v>
      </c>
      <c r="C273">
        <f>'references-it1-studies'!$C124</f>
        <v>2020</v>
      </c>
      <c r="D273">
        <f>'references-it1-studies'!$H124</f>
        <v>6</v>
      </c>
    </row>
    <row r="274" spans="1:4">
      <c r="A274" t="s">
        <v>4275</v>
      </c>
      <c r="B274" s="39" t="str">
        <f>HYPERLINK('references-it1-studies'!$D129,'references-it1-studies'!$B129)</f>
        <v>Industrial Automation using IoT with Raspberry Pi</v>
      </c>
      <c r="C274">
        <f>'references-it1-studies'!$C129</f>
        <v>2017</v>
      </c>
      <c r="D274">
        <f>'references-it1-studies'!$H129</f>
        <v>5</v>
      </c>
    </row>
    <row r="275" spans="1:4">
      <c r="A275" t="s">
        <v>4275</v>
      </c>
      <c r="B275" s="39" t="str">
        <f>HYPERLINK('references-it1-studies'!$D130,'references-it1-studies'!$B130)</f>
        <v>ISIE - Identifying vulnerabilities in smart gric communication networks of electrical substations using GEESE 2.0</v>
      </c>
      <c r="C275">
        <f>'references-it1-studies'!$C130</f>
        <v>2017</v>
      </c>
      <c r="D275">
        <f>'references-it1-studies'!$H130</f>
        <v>6</v>
      </c>
    </row>
    <row r="276" spans="1:4">
      <c r="A276" t="s">
        <v>4275</v>
      </c>
      <c r="B276" s="39" t="str">
        <f>HYPERLINK('references-it1-studies'!$D131,'references-it1-studies'!$B131)</f>
        <v>A Comparative Evaluation of AMQP, MQTT and HTTP Protocols Using Real-Time Public Smart City Data</v>
      </c>
      <c r="C276">
        <f>'references-it1-studies'!$C131</f>
        <v>2021</v>
      </c>
      <c r="D276">
        <f>'references-it1-studies'!$H131</f>
        <v>6</v>
      </c>
    </row>
    <row r="277" spans="1:4">
      <c r="A277" t="s">
        <v>4275</v>
      </c>
      <c r="B277" s="39" t="str">
        <f>HYPERLINK('references-it1-studies'!$D132,'references-it1-studies'!$B132)</f>
        <v>An Overview on Push-Based Communication Models for Information-Centric Networking</v>
      </c>
      <c r="C277">
        <f>'references-it1-studies'!$C132</f>
        <v>2019</v>
      </c>
      <c r="D277">
        <f>'references-it1-studies'!$H132</f>
        <v>0</v>
      </c>
    </row>
    <row r="278" spans="1:4">
      <c r="A278" t="s">
        <v>4275</v>
      </c>
      <c r="B278" s="39" t="str">
        <f>HYPERLINK('references-it1-studies'!$D133,'references-it1-studies'!$B133)</f>
        <v>Vulnerability Identification of Operational Technology Protocol Specifications Through Formal Modeling</v>
      </c>
      <c r="C278">
        <f>'references-it1-studies'!$C133</f>
        <v>2023</v>
      </c>
      <c r="D278">
        <f>'references-it1-studies'!$H133</f>
        <v>6</v>
      </c>
    </row>
    <row r="279" spans="1:4">
      <c r="A279" t="s">
        <v>4275</v>
      </c>
      <c r="B279" s="39" t="str">
        <f>HYPERLINK('references-it1-studies'!$D136,'references-it1-studies'!$B136)</f>
        <v>The development of a novel servo motor controller based on EtherCAT and FPGA</v>
      </c>
      <c r="C279">
        <f>'references-it1-studies'!$C136</f>
        <v>2016</v>
      </c>
      <c r="D279">
        <f>'references-it1-studies'!$H136</f>
        <v>6</v>
      </c>
    </row>
    <row r="280" spans="1:4">
      <c r="A280" t="s">
        <v>4275</v>
      </c>
      <c r="B280" s="39" t="str">
        <f>HYPERLINK('references-it1-studies'!$D137,'references-it1-studies'!$B137)</f>
        <v>On the Use of LoRaWAN and Cloud Platforms for Diversification of Mobility-as-a-Service Infrastructure in Smart City Scenarios</v>
      </c>
      <c r="C280">
        <f>'references-it1-studies'!$C137</f>
        <v>2022</v>
      </c>
      <c r="D280">
        <f>'references-it1-studies'!$H137</f>
        <v>9</v>
      </c>
    </row>
    <row r="281" spans="1:4">
      <c r="A281" t="s">
        <v>4275</v>
      </c>
      <c r="B281" s="39" t="str">
        <f>HYPERLINK('references-it1-studies'!$D138,'references-it1-studies'!$B138)</f>
        <v>Integration of IEC 61850 SCL and OPC UA to improve interoperability in Smart Grid environment</v>
      </c>
      <c r="C281">
        <f>'references-it1-studies'!$C138</f>
        <v>2016</v>
      </c>
      <c r="D281">
        <f>'references-it1-studies'!$H138</f>
        <v>23</v>
      </c>
    </row>
    <row r="282" spans="1:4">
      <c r="A282" t="s">
        <v>4275</v>
      </c>
      <c r="B282" s="39" t="str">
        <f>HYPERLINK('references-it1-studies'!$D140,'references-it1-studies'!$B140)</f>
        <v>End System TSN Enablement Using OPC UA</v>
      </c>
      <c r="C282">
        <f>'references-it1-studies'!$C140</f>
        <v>2021</v>
      </c>
      <c r="D282">
        <f>'references-it1-studies'!$H140</f>
        <v>7</v>
      </c>
    </row>
    <row r="283" spans="1:4">
      <c r="A283" t="s">
        <v>4275</v>
      </c>
      <c r="B283" s="39" t="str">
        <f>HYPERLINK('references-it1-studies'!$D141,'references-it1-studies'!$B141)</f>
        <v>An integrated testbed IEC61850-IIoT for Gas Insulated SF6 Monitoring in SCADA systems</v>
      </c>
      <c r="C283">
        <f>'references-it1-studies'!$C141</f>
        <v>2022</v>
      </c>
      <c r="D283">
        <f>'references-it1-studies'!$H141</f>
        <v>6</v>
      </c>
    </row>
    <row r="284" spans="1:4">
      <c r="A284" t="s">
        <v>4275</v>
      </c>
      <c r="B284" s="39" t="str">
        <f>HYPERLINK('references-it1-studies'!$D142,'references-it1-studies'!$B142)</f>
        <v>Industrial Control System-Anomaly Detection Dataset (ICS-ADD) for Cyber-Physical Security Monitoring in Smart Industry Environments</v>
      </c>
      <c r="C284">
        <f>'references-it1-studies'!$C142</f>
        <v>2024</v>
      </c>
      <c r="D284">
        <f>'references-it1-studies'!$H142</f>
        <v>10</v>
      </c>
    </row>
    <row r="285" spans="1:4">
      <c r="A285" t="s">
        <v>4275</v>
      </c>
      <c r="B285" s="39" t="str">
        <f>HYPERLINK('references-it1-studies'!$D144,'references-it1-studies'!$B144)</f>
        <v>RTSI - Comparing application layer protocols for the Internet of Things via experimentation</v>
      </c>
      <c r="C285">
        <f>'references-it1-studies'!$C144</f>
        <v>2016</v>
      </c>
      <c r="D285">
        <f>'references-it1-studies'!$H144</f>
        <v>5</v>
      </c>
    </row>
    <row r="286" spans="1:4">
      <c r="A286" t="s">
        <v>4275</v>
      </c>
      <c r="B286" s="39" t="str">
        <f>HYPERLINK('references-it1-studies'!$D146,'references-it1-studies'!$B146)</f>
        <v>Networking - Performance Comparison of Messaging Protocols and Serialization Formats for Digital Twins in IoV</v>
      </c>
      <c r="C286">
        <f>'references-it1-studies'!$C146</f>
        <v>2020</v>
      </c>
      <c r="D286">
        <f>'references-it1-studies'!$H146</f>
        <v>9</v>
      </c>
    </row>
    <row r="287" spans="1:4">
      <c r="A287" t="s">
        <v>4275</v>
      </c>
      <c r="B287" s="39" t="str">
        <f>HYPERLINK('references-it1-studies'!$D148,'references-it1-studies'!$B148)</f>
        <v>Analysis of relevant standards for industrial systems to support zero defects manufacturing process</v>
      </c>
      <c r="C287">
        <f>'references-it1-studies'!$C148</f>
        <v>2021</v>
      </c>
      <c r="D287">
        <f>'references-it1-studies'!$H148</f>
        <v>0</v>
      </c>
    </row>
    <row r="288" spans="1:4">
      <c r="A288" t="s">
        <v>4275</v>
      </c>
      <c r="B288" s="39" t="str">
        <f>HYPERLINK('references-it1-studies'!$D149,'references-it1-studies'!$B149)</f>
        <v>Cybersecurity Analysis for the Communication Protocol in Smart Grids</v>
      </c>
      <c r="C288">
        <f>'references-it1-studies'!$C149</f>
        <v>2020</v>
      </c>
      <c r="D288">
        <f>'references-it1-studies'!$H149</f>
        <v>6</v>
      </c>
    </row>
    <row r="289" spans="1:4">
      <c r="A289" t="s">
        <v>4275</v>
      </c>
      <c r="B289" s="39" t="str">
        <f>HYPERLINK('references-it1-studies'!$D150,'references-it1-studies'!$B150)</f>
        <v>A Survey on SCADA Systems: Secure Protocols, Incidents, Threats and Tactics</v>
      </c>
      <c r="C289">
        <f>'references-it1-studies'!$C150</f>
        <v>2020</v>
      </c>
      <c r="D289">
        <f>'references-it1-studies'!$H150</f>
        <v>35</v>
      </c>
    </row>
    <row r="290" spans="1:4">
      <c r="A290" t="s">
        <v>4275</v>
      </c>
      <c r="B290" s="39" t="str">
        <f>HYPERLINK('references-it1-studies'!$D151,'references-it1-studies'!$B151)</f>
        <v>EDGE - Edge Powered Industrial Control: Concept for Combining Cloud and Automation Technologies</v>
      </c>
      <c r="C290">
        <f>'references-it1-studies'!$C151</f>
        <v>2018</v>
      </c>
      <c r="D290">
        <f>'references-it1-studies'!$H151</f>
        <v>5</v>
      </c>
    </row>
    <row r="291" spans="1:4">
      <c r="A291" t="s">
        <v>4275</v>
      </c>
      <c r="B291" s="39" t="str">
        <f>HYPERLINK('references-it1-studies'!$D152,'references-it1-studies'!$B152)</f>
        <v>SITA - Analysis and evaluation of communication Protocols for IoT Applications</v>
      </c>
      <c r="C291">
        <f>'references-it1-studies'!$C152</f>
        <v>2020</v>
      </c>
      <c r="D291">
        <f>'references-it1-studies'!$H152</f>
        <v>6</v>
      </c>
    </row>
    <row r="292" spans="1:4">
      <c r="A292" t="s">
        <v>4275</v>
      </c>
      <c r="B292" s="39" t="str">
        <f>HYPERLINK('references-it1-studies'!$D154,'references-it1-studies'!$B154)</f>
        <v>Integrating Electrical Substations Within the IoT Using IEC 61850, CoAP, and CBOR</v>
      </c>
      <c r="C292">
        <f>'references-it1-studies'!$C154</f>
        <v>2019</v>
      </c>
      <c r="D292">
        <f>'references-it1-studies'!$H154</f>
        <v>13</v>
      </c>
    </row>
    <row r="293" spans="1:4">
      <c r="A293" t="s">
        <v>4275</v>
      </c>
      <c r="B293" s="39" t="str">
        <f>HYPERLINK('references-it1-studies'!$D155,'references-it1-studies'!$B155)</f>
        <v>Utilisation of a compressed air test bed to assess the effects of pneumatic parameters on energy consumption</v>
      </c>
      <c r="C293">
        <f>'references-it1-studies'!$C155</f>
        <v>2020</v>
      </c>
      <c r="D293">
        <f>'references-it1-studies'!$H155</f>
        <v>6</v>
      </c>
    </row>
    <row r="294" spans="1:4">
      <c r="A294" t="s">
        <v>4275</v>
      </c>
      <c r="B294" s="39" t="str">
        <f>HYPERLINK('references-it1-studies'!$D158,'references-it1-studies'!$B158)</f>
        <v>Security Testbed for Internet-of-Things Devices</v>
      </c>
      <c r="C294">
        <f>'references-it1-studies'!$C158</f>
        <v>2019</v>
      </c>
      <c r="D294">
        <f>'references-it1-studies'!$H158</f>
        <v>22</v>
      </c>
    </row>
    <row r="295" spans="1:4">
      <c r="A295" t="s">
        <v>4275</v>
      </c>
      <c r="B295" s="39" t="str">
        <f>HYPERLINK('references-it1-studies'!$D160,'references-it1-studies'!$B160)</f>
        <v>Converging IoT protocols for the data integration of automation systems in the electrical industry</v>
      </c>
      <c r="C295">
        <f>'references-it1-studies'!$C160</f>
        <v>2022</v>
      </c>
      <c r="D295">
        <f>'references-it1-studies'!$H160</f>
        <v>0</v>
      </c>
    </row>
    <row r="296" spans="1:4">
      <c r="A296" t="s">
        <v>4275</v>
      </c>
      <c r="B296" s="39" t="str">
        <f>HYPERLINK('references-it1-studies'!$D161,'references-it1-studies'!$B161)</f>
        <v>Design of an IoT-PLC: A containerized programmable logical controller for the industry 4.0</v>
      </c>
      <c r="C296">
        <f>'references-it1-studies'!$C161</f>
        <v>2022</v>
      </c>
      <c r="D296">
        <f>'references-it1-studies'!$H161</f>
        <v>0</v>
      </c>
    </row>
    <row r="297" spans="1:4">
      <c r="A297" t="s">
        <v>4275</v>
      </c>
      <c r="B297" s="39" t="str">
        <f>HYPERLINK('references-it1-studies'!$D163,'references-it1-studies'!$B163)</f>
        <v>Scalability Evaluation of a Modbus TCP Control and Monitoring System for Distributed Energy Resources</v>
      </c>
      <c r="C297">
        <f>'references-it1-studies'!$C163</f>
        <v>2022</v>
      </c>
      <c r="D297">
        <f>'references-it1-studies'!$H163</f>
        <v>6</v>
      </c>
    </row>
    <row r="298" spans="1:4">
      <c r="A298" t="s">
        <v>4275</v>
      </c>
      <c r="B298" s="39" t="str">
        <f>HYPERLINK('references-it1-studies'!$D165,'references-it1-studies'!$B165)</f>
        <v>ETFA - Comparative assessment of different OPC UA open–source stacks for embedded systems</v>
      </c>
      <c r="C298">
        <f>'references-it1-studies'!$C165</f>
        <v>2019</v>
      </c>
      <c r="D298">
        <f>'references-it1-studies'!$H165</f>
        <v>8</v>
      </c>
    </row>
    <row r="299" spans="1:4">
      <c r="A299" t="s">
        <v>4275</v>
      </c>
      <c r="B299" s="39" t="str">
        <f>HYPERLINK('references-it1-studies'!$D166,'references-it1-studies'!$B166)</f>
        <v>On the performance of OPC UA and MQTT for data exchange between industrial plants and cloud servers</v>
      </c>
      <c r="C299">
        <f>'references-it1-studies'!$C166</f>
        <v>2019</v>
      </c>
      <c r="D299">
        <f>'references-it1-studies'!$H166</f>
        <v>0</v>
      </c>
    </row>
    <row r="300" spans="1:4">
      <c r="A300" t="s">
        <v>4275</v>
      </c>
      <c r="B300" s="39" t="str">
        <f>HYPERLINK('references-it1-studies'!$D167,'references-it1-studies'!$B167)</f>
        <v>AN EQUIPMENT-ORIENTED VULNERABILITY THREAT ASSESSMENT METHOD FOR ELECTRIC POWER SUPERVISION AND CONTROL SYSTEMS</v>
      </c>
      <c r="C300">
        <f>'references-it1-studies'!$C167</f>
        <v>2021</v>
      </c>
      <c r="D300">
        <f>'references-it1-studies'!$H167</f>
        <v>6</v>
      </c>
    </row>
    <row r="301" spans="1:4">
      <c r="A301" t="s">
        <v>4275</v>
      </c>
      <c r="B301" s="39" t="str">
        <f>HYPERLINK('references-it1-studies'!$D168,'references-it1-studies'!$B168)</f>
        <v>Real-time Power System Simulation with Hardware Devices through DNP3 in Cyber-Physical Testbed</v>
      </c>
      <c r="C301">
        <f>'references-it1-studies'!$C168</f>
        <v>2021</v>
      </c>
      <c r="D301">
        <f>'references-it1-studies'!$H168</f>
        <v>6</v>
      </c>
    </row>
    <row r="302" spans="1:4">
      <c r="A302" t="s">
        <v>4275</v>
      </c>
      <c r="B302" s="39" t="str">
        <f>HYPERLINK('references-it1-studies'!$D169,'references-it1-studies'!$B169)</f>
        <v>Delay Estimation of Industrial IoT Applications Based on Messaging Protocols</v>
      </c>
      <c r="C302">
        <f>'references-it1-studies'!$C169</f>
        <v>2018</v>
      </c>
      <c r="D302">
        <f>'references-it1-studies'!$H169</f>
        <v>12</v>
      </c>
    </row>
    <row r="303" spans="1:4">
      <c r="A303" t="s">
        <v>4275</v>
      </c>
      <c r="B303" s="39" t="str">
        <f>HYPERLINK('references-it1-studies'!$D170,'references-it1-studies'!$B170)</f>
        <v>Protecting Modbus/TCP-Based Industrial Automation and Control Systems Using Message Authentication Codes</v>
      </c>
      <c r="C303">
        <f>'references-it1-studies'!$C170</f>
        <v>2023</v>
      </c>
      <c r="D303">
        <f>'references-it1-studies'!$H170</f>
        <v>17</v>
      </c>
    </row>
    <row r="304" spans="1:4">
      <c r="A304" t="s">
        <v>4275</v>
      </c>
      <c r="B304" s="39" t="str">
        <f>HYPERLINK('references-it1-studies'!$D171,'references-it1-studies'!$B171)</f>
        <v>ETFA - Analysis of the Round Trip Time of OPC UA and TSN based Peer-to-Peer Communication</v>
      </c>
      <c r="C304">
        <f>'references-it1-studies'!$C171</f>
        <v>2019</v>
      </c>
      <c r="D304">
        <f>'references-it1-studies'!$H171</f>
        <v>7</v>
      </c>
    </row>
    <row r="305" spans="1:4">
      <c r="A305" t="s">
        <v>4275</v>
      </c>
      <c r="B305" s="39" t="str">
        <f>HYPERLINK('references-it1-studies'!$D173,'references-it1-studies'!$B173)</f>
        <v>RESTful Industrial Communication With OPC UA</v>
      </c>
      <c r="C305">
        <f>'references-it1-studies'!$C173</f>
        <v>2016</v>
      </c>
      <c r="D305">
        <f>'references-it1-studies'!$H173</f>
        <v>10</v>
      </c>
    </row>
    <row r="306" spans="1:4">
      <c r="A306" t="s">
        <v>4275</v>
      </c>
      <c r="B306" s="39" t="str">
        <f>HYPERLINK('references-it1-studies'!$D176,'references-it1-studies'!$B176)</f>
        <v>How Real (Time) Are Virtual PLCs?</v>
      </c>
      <c r="C306">
        <f>'references-it1-studies'!$C176</f>
        <v>2022</v>
      </c>
      <c r="D306">
        <f>'references-it1-studies'!$H176</f>
        <v>0</v>
      </c>
    </row>
    <row r="307" spans="1:4">
      <c r="A307" t="s">
        <v>4275</v>
      </c>
      <c r="B307" s="39" t="str">
        <f>HYPERLINK('references-it1-studies'!$D177,'references-it1-studies'!$B177)</f>
        <v>Off-Path TCP Hijacking Attacks via the Side Channel of Downgraded IPID</v>
      </c>
      <c r="C307">
        <f>'references-it1-studies'!$C177</f>
        <v>2022</v>
      </c>
      <c r="D307">
        <f>'references-it1-studies'!$H177</f>
        <v>14</v>
      </c>
    </row>
    <row r="308" spans="1:4">
      <c r="A308" t="s">
        <v>4275</v>
      </c>
      <c r="B308" s="39" t="str">
        <f>HYPERLINK('references-it1-studies'!$D178,'references-it1-studies'!$B178)</f>
        <v>BDIOT - An Efficient Intrusion Detection Model for Edge System in Brownfield Industrial Internet of Things</v>
      </c>
      <c r="C308">
        <f>'references-it1-studies'!$C178</f>
        <v>2019</v>
      </c>
      <c r="D308">
        <f>'references-it1-studies'!$H178</f>
        <v>5</v>
      </c>
    </row>
    <row r="309" spans="1:4">
      <c r="A309" t="s">
        <v>4275</v>
      </c>
      <c r="B309" s="39" t="str">
        <f>HYPERLINK('references-it1-studies'!$D179,'references-it1-studies'!$B179)</f>
        <v>Edge Computing: Vision and Challenges</v>
      </c>
      <c r="C309">
        <f>'references-it1-studies'!$C179</f>
        <v>2016</v>
      </c>
      <c r="D309">
        <f>'references-it1-studies'!$H179</f>
        <v>10</v>
      </c>
    </row>
    <row r="310" spans="1:4">
      <c r="A310" t="s">
        <v>4275</v>
      </c>
      <c r="B310" s="39" t="str">
        <f>HYPERLINK('references-it1-studies'!$D180,'references-it1-studies'!$B180)</f>
        <v>GOOSE Protocol: IED's Smart Solution for Victoria University Zone Substation (VUZS) Simulator Based on IEC61850 Standard</v>
      </c>
      <c r="C310">
        <f>'references-it1-studies'!$C180</f>
        <v>2018</v>
      </c>
      <c r="D310">
        <f>'references-it1-studies'!$H180</f>
        <v>6</v>
      </c>
    </row>
    <row r="311" spans="1:4">
      <c r="A311" t="s">
        <v>4275</v>
      </c>
      <c r="B311" s="39" t="str">
        <f>HYPERLINK('references-it1-studies'!$D181,'references-it1-studies'!$B181)</f>
        <v>Communication Requirements for a Hybrid VSC Based HVDC/AC Transmission Networks State Estimation</v>
      </c>
      <c r="C311">
        <f>'references-it1-studies'!$C181</f>
        <v>2021</v>
      </c>
      <c r="D311">
        <f>'references-it1-studies'!$H181</f>
        <v>0</v>
      </c>
    </row>
    <row r="312" spans="1:4">
      <c r="A312" t="s">
        <v>4275</v>
      </c>
      <c r="B312" s="39" t="str">
        <f>HYPERLINK('references-it1-studies'!$D182,'references-it1-studies'!$B182)</f>
        <v>DNP3 Implementation in a High DER Penetration Distribution System</v>
      </c>
      <c r="C312">
        <f>'references-it1-studies'!$C182</f>
        <v>2024</v>
      </c>
      <c r="D312">
        <f>'references-it1-studies'!$H182</f>
        <v>5</v>
      </c>
    </row>
    <row r="313" spans="1:4">
      <c r="A313" t="s">
        <v>4275</v>
      </c>
      <c r="B313" s="39" t="str">
        <f>HYPERLINK('references-it1-studies'!$D184,'references-it1-studies'!$B184)</f>
        <v>Docker container based analytics at IoT edge Video analytics usecase</v>
      </c>
      <c r="C313">
        <f>'references-it1-studies'!$C184</f>
        <v>2018</v>
      </c>
      <c r="D313">
        <f>'references-it1-studies'!$H184</f>
        <v>0</v>
      </c>
    </row>
    <row r="314" spans="1:4">
      <c r="A314" t="s">
        <v>4275</v>
      </c>
      <c r="B314" s="39" t="str">
        <f>HYPERLINK('references-it1-studies'!$D185,'references-it1-studies'!$B185)</f>
        <v>A Testbed for Experimenting Internet of Things Applications.</v>
      </c>
      <c r="C314">
        <f>'references-it1-studies'!$C185</f>
        <v>2017</v>
      </c>
      <c r="D314">
        <f>'references-it1-studies'!$H185</f>
        <v>0</v>
      </c>
    </row>
    <row r="315" spans="1:4">
      <c r="A315" t="s">
        <v>4275</v>
      </c>
      <c r="B315" s="39" t="str">
        <f>HYPERLINK('references-it1-studies'!$D186,'references-it1-studies'!$B186)</f>
        <v>Targeted Ransomware: A New Cyber Threat to Edge System of Brownfield Industrial Internet of Things</v>
      </c>
      <c r="C315">
        <f>'references-it1-studies'!$C186</f>
        <v>2019</v>
      </c>
      <c r="D315">
        <f>'references-it1-studies'!$H186</f>
        <v>15</v>
      </c>
    </row>
    <row r="316" spans="1:4">
      <c r="A316" t="s">
        <v>4275</v>
      </c>
      <c r="B316" s="39" t="str">
        <f>HYPERLINK('references-it1-studies'!$D187,'references-it1-studies'!$B187)</f>
        <v>Implementation of an intelligence-based framework for anomaly detection on the demand-side of sustainable compressed air systems</v>
      </c>
      <c r="C316">
        <f>'references-it1-studies'!$C187</f>
        <v>2024</v>
      </c>
      <c r="D316">
        <f>'references-it1-studies'!$H187</f>
        <v>10</v>
      </c>
    </row>
    <row r="317" spans="1:4">
      <c r="A317" t="s">
        <v>4275</v>
      </c>
      <c r="B317" s="39" t="str">
        <f>HYPERLINK('references-it1-studies'!$D189,'references-it1-studies'!$B189)</f>
        <v>Attacking and Defending DNP3 ICS/SCADA Systems</v>
      </c>
      <c r="C317">
        <f>'references-it1-studies'!$C189</f>
        <v>2022</v>
      </c>
      <c r="D317">
        <f>'references-it1-studies'!$H189</f>
        <v>8</v>
      </c>
    </row>
    <row r="318" spans="1:4">
      <c r="A318" t="s">
        <v>4275</v>
      </c>
      <c r="B318" s="39" t="str">
        <f>HYPERLINK('references-it1-studies'!$D190,'references-it1-studies'!$B190)</f>
        <v>CPS Testbed Architectures for WAMPAC using Industrial Substation and Control Center Platforms and Attack-Defense Evaluation</v>
      </c>
      <c r="C318">
        <f>'references-it1-studies'!$C190</f>
        <v>2021</v>
      </c>
      <c r="D318">
        <f>'references-it1-studies'!$H190</f>
        <v>5</v>
      </c>
    </row>
    <row r="319" spans="1:4">
      <c r="A319" t="s">
        <v>4275</v>
      </c>
      <c r="B319" s="39" t="str">
        <f>HYPERLINK('references-it1-studies'!$D191,'references-it1-studies'!$B191)</f>
        <v>Supporting vPLC Networking over TSN with Kubernetes in Industry 4.0</v>
      </c>
      <c r="C319">
        <f>'references-it1-studies'!$C191</f>
        <v>2023</v>
      </c>
      <c r="D319">
        <f>'references-it1-studies'!$H191</f>
        <v>7</v>
      </c>
    </row>
    <row r="320" spans="1:4">
      <c r="A320" t="s">
        <v>4275</v>
      </c>
      <c r="B320" s="39" t="str">
        <f>HYPERLINK('references-it1-studies'!$D198,'references-it1-studies'!$B198)</f>
        <v>A survey on communication protocols and performance evaluations for Internet of Things</v>
      </c>
      <c r="C320">
        <f>'references-it1-studies'!$C198</f>
        <v>2022</v>
      </c>
      <c r="D320">
        <f>'references-it1-studies'!$H198</f>
        <v>11</v>
      </c>
    </row>
    <row r="321" spans="1:4">
      <c r="A321" t="s">
        <v>4275</v>
      </c>
      <c r="B321" s="39" t="str">
        <f>HYPERLINK('references-it1-studies'!$D200,'references-it1-studies'!$B200)</f>
        <v>IoT Fundamentals: Networking Technologies, Protocols, and Use Cases for the Internet of Things</v>
      </c>
      <c r="C321">
        <f>'references-it1-studies'!$C200</f>
        <v>2017</v>
      </c>
      <c r="D321">
        <f>'references-it1-studies'!$H200</f>
        <v>0</v>
      </c>
    </row>
    <row r="322" spans="1:4">
      <c r="A322" s="39" t="s">
        <v>4275</v>
      </c>
      <c r="B322" t="str">
        <f>HYPERLINK('references-it1-studies'!$D5,'references-it1-studies'!$B5)</f>
        <v>Integration of IoT Technologies into the Smart Grid.</v>
      </c>
      <c r="C322">
        <v>2022</v>
      </c>
      <c r="D322">
        <v>17</v>
      </c>
    </row>
    <row r="323" spans="1:4">
      <c r="A323" s="39" t="s">
        <v>4275</v>
      </c>
      <c r="B323" t="str">
        <f>HYPERLINK('references-it1-studies'!$D23,'references-it1-studies'!$B23)</f>
        <v>Identification Overview of Industry 4.0 Essential Attributes and Resource-Limited Embedded Artificial-Intelligence-of-Things Devices for Small and Medium-Sized Enterprises</v>
      </c>
      <c r="C323">
        <v>2022</v>
      </c>
      <c r="D323">
        <v>26</v>
      </c>
    </row>
    <row r="324" spans="1:4">
      <c r="A324" s="39" t="s">
        <v>4275</v>
      </c>
      <c r="B324" t="str">
        <f>HYPERLINK('references-it1-studies'!$D63,'references-it1-studies'!$B63)</f>
        <v>Demonstration of 5G Solutions for Smart Energy Grids of the Future: A Perspective of the Smart5Grid Project</v>
      </c>
      <c r="C324">
        <v>2022</v>
      </c>
      <c r="D324">
        <v>27</v>
      </c>
    </row>
    <row r="325" spans="1:4">
      <c r="A325" s="39" t="s">
        <v>4275</v>
      </c>
      <c r="B325" t="str">
        <f>HYPERLINK('references-it1-studies'!$D65,'references-it1-studies'!$B65)</f>
        <v>Analysis of pneumatic parameters to identify leakages and faults on the demand side of a compressed air system</v>
      </c>
      <c r="C325">
        <v>2022</v>
      </c>
      <c r="D325">
        <v>15</v>
      </c>
    </row>
    <row r="326" spans="1:4">
      <c r="A326" s="39" t="s">
        <v>4275</v>
      </c>
      <c r="B326" t="str">
        <f>HYPERLINK('references-it1-studies'!$D68,'references-it1-studies'!$B68)</f>
        <v>An integrated outlook of Cyber–Physical Systems for Industry 4.0: Topical practices, architecture, and applications</v>
      </c>
      <c r="C326">
        <v>2023</v>
      </c>
      <c r="D326">
        <v>17</v>
      </c>
    </row>
    <row r="327" spans="1:4">
      <c r="A327" s="39" t="s">
        <v>4275</v>
      </c>
      <c r="B327" t="str">
        <f>HYPERLINK('references-it1-studies'!$D78,'references-it1-studies'!$B78)</f>
        <v>End-to-End Framework for Identifying Vulnerabilities of Operational Technology Protocols and Their Implementations in Industrial IoT</v>
      </c>
      <c r="C327">
        <v>2025</v>
      </c>
      <c r="D327">
        <v>20</v>
      </c>
    </row>
    <row r="328" spans="1:4">
      <c r="A328" s="39" t="s">
        <v>4275</v>
      </c>
      <c r="B328" t="str">
        <f>HYPERLINK('references-it1-studies'!$D119,'references-it1-studies'!$B119)</f>
        <v>Communication and Control of an Assembly, Disassembly and Repair Flexible Manufacturing Technology on a Mechatronics Line Assisted by an Autonomous Robotic System</v>
      </c>
      <c r="C328">
        <v>2022</v>
      </c>
      <c r="D328">
        <v>28</v>
      </c>
    </row>
    <row r="329" spans="1:4">
      <c r="A329" s="39" t="s">
        <v>4275</v>
      </c>
      <c r="B329" t="str">
        <f>HYPERLINK('references-it1-studies'!$D134,'references-it1-studies'!$B134)</f>
        <v>Network Architecture for IEC61850-90-5 Communication: Case Study of Evaluating R-GOOSE over 5G for Communication-Based Protection</v>
      </c>
      <c r="C329">
        <v>2022</v>
      </c>
      <c r="D329">
        <v>36</v>
      </c>
    </row>
    <row r="330" spans="1:4">
      <c r="A330" s="39" t="s">
        <v>4275</v>
      </c>
      <c r="B330" t="str">
        <f>HYPERLINK('references-it1-studies'!$D139,'references-it1-studies'!$B139)</f>
        <v>When Operation Technology Meets Information Technology: Challenges and Opportunities</v>
      </c>
      <c r="C330">
        <v>2023</v>
      </c>
      <c r="D330">
        <v>16</v>
      </c>
    </row>
    <row r="331" spans="1:4">
      <c r="A331" s="39" t="s">
        <v>4275</v>
      </c>
      <c r="B331" t="str">
        <f>HYPERLINK('references-it1-studies'!$D143,'references-it1-studies'!$B143)</f>
        <v>Survey of Cybersecurity Governance, Threats, and Countermeasures for the Power Grid</v>
      </c>
      <c r="C331">
        <v>2022</v>
      </c>
      <c r="D331">
        <v>22</v>
      </c>
    </row>
    <row r="332" spans="1:4">
      <c r="A332" s="39" t="s">
        <v>4275</v>
      </c>
      <c r="B332" t="str">
        <f>HYPERLINK('references-it1-studies'!$D153,'references-it1-studies'!$B153)</f>
        <v>An effective intrusion detection scheme for Distributed Network Protocol 3 (DNP3) applied in SCADA-enabled IoT applications</v>
      </c>
      <c r="C332">
        <v>2024</v>
      </c>
      <c r="D332">
        <v>17</v>
      </c>
    </row>
    <row r="333" spans="1:4">
      <c r="A333" s="39" t="s">
        <v>4275</v>
      </c>
      <c r="B333" t="str">
        <f>HYPERLINK('references-it1-studies'!$D172,'references-it1-studies'!$B172)</f>
        <v>Performance evaluation of modbus and DNP3 protocols in the communication network of a university campus microgrid</v>
      </c>
      <c r="C333">
        <v>2024</v>
      </c>
      <c r="D333">
        <v>12</v>
      </c>
    </row>
    <row r="334" spans="1:4">
      <c r="A334" s="39" t="s">
        <v>4275</v>
      </c>
      <c r="B334" t="str">
        <f>HYPERLINK('references-it1-studies'!$D175,'references-it1-studies'!$B175)</f>
        <v>Development of an Open-Source Testbed Based on the Modbus Protocol for Cybersecurity Analysis of Nuclear Power Plants</v>
      </c>
      <c r="C334">
        <v>2022</v>
      </c>
      <c r="D334">
        <v>31</v>
      </c>
    </row>
    <row r="335" spans="1:4">
      <c r="A335" s="39" t="s">
        <v>4275</v>
      </c>
      <c r="B335" t="str">
        <f>HYPERLINK('references-it1-studies'!$D194,'references-it1-studies'!$B194)</f>
        <v>Wireless Technologies for Industry 4.0 Applications</v>
      </c>
      <c r="C335">
        <v>2023</v>
      </c>
      <c r="D335">
        <v>13</v>
      </c>
    </row>
    <row r="336" spans="1:4">
      <c r="A336" s="39" t="s">
        <v>4275</v>
      </c>
      <c r="B336" t="str">
        <f>HYPERLINK('references-it1-studies'!$D197,'references-it1-studies'!$B197)</f>
        <v>Key Challenges and Emerging Technologies in Industrial IoT Architectures: A Review.</v>
      </c>
      <c r="C336">
        <v>2022</v>
      </c>
      <c r="D336">
        <v>31</v>
      </c>
    </row>
  </sheetData>
  <conditionalFormatting sqref="B368:B1048576 B169:B336 B1:B162">
    <cfRule type="duplicateValues" dxfId="65" priority="1997"/>
  </conditionalFormatting>
  <conditionalFormatting sqref="E2">
    <cfRule type="cellIs" dxfId="64" priority="2" operator="equal">
      <formula>$E$149</formula>
    </cfRule>
  </conditionalFormatting>
  <conditionalFormatting sqref="N2">
    <cfRule type="cellIs" dxfId="63" priority="3" operator="equal">
      <formula>"Exclude"</formula>
    </cfRule>
    <cfRule type="cellIs" dxfId="62" priority="4" operator="equal">
      <formula>"Include"</formula>
    </cfRule>
  </conditionalFormatting>
  <dataValidations count="1">
    <dataValidation type="whole" operator="greaterThan" allowBlank="1" showInputMessage="1" showErrorMessage="1" sqref="D368:D1048576 D1:D336" xr:uid="{2925D00B-92E1-47E7-8496-C048CDEF6A59}">
      <formula1>4</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E431-F7AF-4220-9522-82E766ADB36F}">
  <dimension ref="A1:AE389"/>
  <sheetViews>
    <sheetView topLeftCell="A298" zoomScaleNormal="100" workbookViewId="0">
      <selection activeCell="A201" sqref="A201:XFD201"/>
    </sheetView>
  </sheetViews>
  <sheetFormatPr defaultRowHeight="12.75"/>
  <cols>
    <col min="2" max="2" width="47" customWidth="1"/>
    <col min="25" max="25" width="27.5703125" customWidth="1"/>
    <col min="29" max="29" width="21.28515625" customWidth="1"/>
  </cols>
  <sheetData>
    <row r="1" spans="1:31">
      <c r="A1" t="s">
        <v>47</v>
      </c>
      <c r="B1" t="s">
        <v>2</v>
      </c>
      <c r="C1" t="s">
        <v>32</v>
      </c>
      <c r="D1" t="s">
        <v>327</v>
      </c>
      <c r="E1" s="2" t="s">
        <v>1399</v>
      </c>
      <c r="F1" s="2" t="s">
        <v>3</v>
      </c>
      <c r="G1" s="2" t="s">
        <v>4</v>
      </c>
      <c r="H1" s="2" t="s">
        <v>328</v>
      </c>
      <c r="I1" s="2" t="s">
        <v>329</v>
      </c>
      <c r="J1" s="2" t="s">
        <v>330</v>
      </c>
      <c r="K1" s="2" t="s">
        <v>331</v>
      </c>
      <c r="L1" s="2" t="s">
        <v>332</v>
      </c>
      <c r="M1" s="2" t="s">
        <v>1432</v>
      </c>
      <c r="N1" s="2" t="s">
        <v>325</v>
      </c>
      <c r="O1" s="2" t="s">
        <v>6</v>
      </c>
    </row>
    <row r="2" spans="1:31">
      <c r="A2" t="s">
        <v>4274</v>
      </c>
      <c r="B2" s="39" t="str">
        <f>HYPERLINK('citations-it1-studies'!$D2,'citations-it1-studies'!$B2)</f>
        <v>Practical approaches towards IoT dataset generation for security experiments</v>
      </c>
      <c r="C2">
        <f>'citations-it1-studies'!$C2</f>
        <v>2025</v>
      </c>
      <c r="D2">
        <f>'citations-it1-studies'!$H2</f>
        <v>65</v>
      </c>
      <c r="E2" t="s">
        <v>1398</v>
      </c>
      <c r="F2" s="9" t="s">
        <v>51</v>
      </c>
      <c r="G2" s="9" t="s">
        <v>51</v>
      </c>
      <c r="H2" s="9" t="s">
        <v>51</v>
      </c>
      <c r="I2" s="9" t="s">
        <v>51</v>
      </c>
      <c r="J2" s="9" t="s">
        <v>51</v>
      </c>
      <c r="K2" s="9" t="s">
        <v>51</v>
      </c>
      <c r="L2" s="9" t="s">
        <v>1397</v>
      </c>
      <c r="M2" t="s">
        <v>1397</v>
      </c>
      <c r="N2" t="str">
        <f>IF(COUNTIF(F2:M2,"X")&gt;0,"Exclude",IF(UPPER(TRIM(E2))="O","Include",""))</f>
        <v>Exclude</v>
      </c>
      <c r="O2" t="s">
        <v>4276</v>
      </c>
    </row>
    <row r="3" spans="1:31">
      <c r="A3" t="s">
        <v>4274</v>
      </c>
      <c r="B3" s="39" t="str">
        <f>HYPERLINK('citations-it1-studies'!$D3,'citations-it1-studies'!$B3)</f>
        <v>Performance Evaluation of IoT-Enabled Edge Computing Infrastructure for mHealth Services</v>
      </c>
      <c r="C3">
        <f>'citations-it1-studies'!$C3</f>
        <v>2025</v>
      </c>
      <c r="D3">
        <f>'citations-it1-studies'!$H3</f>
        <v>12</v>
      </c>
      <c r="E3" t="s">
        <v>1398</v>
      </c>
      <c r="F3" s="10" t="s">
        <v>51</v>
      </c>
      <c r="G3" s="10" t="s">
        <v>51</v>
      </c>
      <c r="H3" s="10" t="s">
        <v>1397</v>
      </c>
      <c r="I3" s="10" t="s">
        <v>51</v>
      </c>
      <c r="J3" s="10" t="s">
        <v>51</v>
      </c>
      <c r="K3" s="10" t="s">
        <v>51</v>
      </c>
      <c r="L3" s="10" t="s">
        <v>51</v>
      </c>
      <c r="M3" t="s">
        <v>1397</v>
      </c>
      <c r="N3" t="str">
        <f t="shared" ref="N3:N30" si="0">IF(COUNTIF(F3:M3,"X")&gt;0,"Exclude",IF(UPPER(TRIM(E3))="O","Include",""))</f>
        <v>Exclude</v>
      </c>
      <c r="O3" t="s">
        <v>4277</v>
      </c>
    </row>
    <row r="4" spans="1:31">
      <c r="A4" t="s">
        <v>4274</v>
      </c>
      <c r="B4" s="39" t="str">
        <f>HYPERLINK('citations-it1-studies'!$D4,'citations-it1-studies'!$B4)</f>
        <v>Learning Temporal and Spatial Features Jointly: A Unified Framework for Space-Time Data Prediction in Industrial IoT Networks</v>
      </c>
      <c r="C4">
        <f>'citations-it1-studies'!$C4</f>
        <v>2023</v>
      </c>
      <c r="D4">
        <f>'citations-it1-studies'!$H4</f>
        <v>13</v>
      </c>
      <c r="E4" t="s">
        <v>1398</v>
      </c>
      <c r="F4" s="9" t="s">
        <v>51</v>
      </c>
      <c r="G4" s="9" t="s">
        <v>51</v>
      </c>
      <c r="H4" s="9" t="s">
        <v>51</v>
      </c>
      <c r="I4" s="9" t="s">
        <v>51</v>
      </c>
      <c r="J4" s="9" t="s">
        <v>51</v>
      </c>
      <c r="K4" s="9" t="s">
        <v>51</v>
      </c>
      <c r="L4" s="9" t="s">
        <v>1397</v>
      </c>
      <c r="M4" t="s">
        <v>1397</v>
      </c>
      <c r="N4" t="str">
        <f t="shared" si="0"/>
        <v>Exclude</v>
      </c>
      <c r="O4" t="s">
        <v>4278</v>
      </c>
      <c r="U4" s="2" t="s">
        <v>1522</v>
      </c>
      <c r="V4" t="s">
        <v>1406</v>
      </c>
      <c r="W4" t="s">
        <v>1407</v>
      </c>
      <c r="Y4" s="2" t="s">
        <v>1523</v>
      </c>
      <c r="Z4" t="s">
        <v>1406</v>
      </c>
      <c r="AA4" t="s">
        <v>1407</v>
      </c>
      <c r="AC4" s="23" t="s">
        <v>1524</v>
      </c>
      <c r="AD4" s="18" t="s">
        <v>1406</v>
      </c>
      <c r="AE4" s="21" t="s">
        <v>1407</v>
      </c>
    </row>
    <row r="5" spans="1:31">
      <c r="A5" t="s">
        <v>4274</v>
      </c>
      <c r="B5" s="39" t="str">
        <f>HYPERLINK('citations-it1-studies'!$D5,'citations-it1-studies'!$B5)</f>
        <v>Design of 5G private network quality monitoring System based on edge computing</v>
      </c>
      <c r="C5">
        <f>'citations-it1-studies'!$C5</f>
        <v>2023</v>
      </c>
      <c r="D5">
        <f>'citations-it1-studies'!$H5</f>
        <v>5</v>
      </c>
      <c r="E5" t="s">
        <v>1398</v>
      </c>
      <c r="F5" s="10" t="s">
        <v>51</v>
      </c>
      <c r="G5" s="10" t="s">
        <v>51</v>
      </c>
      <c r="H5" s="10" t="s">
        <v>1397</v>
      </c>
      <c r="I5" s="10" t="s">
        <v>51</v>
      </c>
      <c r="J5" s="10" t="s">
        <v>51</v>
      </c>
      <c r="K5" s="10" t="s">
        <v>51</v>
      </c>
      <c r="L5" s="10" t="s">
        <v>51</v>
      </c>
      <c r="M5" t="s">
        <v>1397</v>
      </c>
      <c r="N5" t="str">
        <f t="shared" si="0"/>
        <v>Exclude</v>
      </c>
      <c r="O5" t="s">
        <v>4277</v>
      </c>
      <c r="U5" t="s">
        <v>1403</v>
      </c>
      <c r="V5" s="1">
        <f>COUNTIF(A2:A1948,"&lt;&gt;")</f>
        <v>335</v>
      </c>
      <c r="Y5" t="s">
        <v>1403</v>
      </c>
      <c r="Z5" s="1">
        <f>COUNTIF($A2:$A1948,"&lt;&gt;")</f>
        <v>335</v>
      </c>
      <c r="AC5" s="19" t="s">
        <v>1403</v>
      </c>
      <c r="AD5" s="24">
        <f>Z7</f>
        <v>51</v>
      </c>
      <c r="AE5" s="22"/>
    </row>
    <row r="6" spans="1:31">
      <c r="A6" t="s">
        <v>4274</v>
      </c>
      <c r="B6" s="39" t="str">
        <f>HYPERLINK('citations-it1-studies'!$D7,'citations-it1-studies'!$B7)</f>
        <v>Challenges in Resource-Constrained IoT Devices: Energy and Communication as Critical Success Factors for Future IoT Deployment.</v>
      </c>
      <c r="C6">
        <f>'citations-it1-studies'!$C7</f>
        <v>2020</v>
      </c>
      <c r="D6">
        <f>'citations-it1-studies'!$H7</f>
        <v>0</v>
      </c>
      <c r="E6" t="s">
        <v>1398</v>
      </c>
      <c r="F6" s="9" t="s">
        <v>51</v>
      </c>
      <c r="G6" s="9" t="s">
        <v>51</v>
      </c>
      <c r="H6" s="9" t="s">
        <v>1397</v>
      </c>
      <c r="I6" s="9" t="s">
        <v>1397</v>
      </c>
      <c r="J6" s="9" t="s">
        <v>51</v>
      </c>
      <c r="K6" s="9" t="s">
        <v>51</v>
      </c>
      <c r="L6" s="9" t="s">
        <v>51</v>
      </c>
      <c r="M6" t="s">
        <v>1397</v>
      </c>
      <c r="N6" t="str">
        <f t="shared" si="0"/>
        <v>Exclude</v>
      </c>
      <c r="O6" t="s">
        <v>4277</v>
      </c>
      <c r="U6" t="s">
        <v>1404</v>
      </c>
      <c r="V6">
        <f>COUNTIF(N2:N1948,"Exclude")</f>
        <v>311</v>
      </c>
      <c r="W6" s="15">
        <f>((V6/V5))</f>
        <v>0.92835820895522392</v>
      </c>
      <c r="Y6" t="s">
        <v>1404</v>
      </c>
      <c r="Z6">
        <f>COUNTIFS($N2:$N1948,"Exclude",$M2:$M1948,"X")</f>
        <v>284</v>
      </c>
      <c r="AA6" s="15">
        <f>((Z6/Z5))</f>
        <v>0.84776119402985073</v>
      </c>
      <c r="AC6" s="19" t="s">
        <v>1404</v>
      </c>
      <c r="AD6" s="20">
        <f>COUNTIFS($N2:$N1948,"Exclude",$M2:$M1948,"&lt;&gt;X")</f>
        <v>27</v>
      </c>
      <c r="AE6" s="25">
        <f>((AD6/AD5))</f>
        <v>0.52941176470588236</v>
      </c>
    </row>
    <row r="7" spans="1:31">
      <c r="A7" t="s">
        <v>4274</v>
      </c>
      <c r="B7" s="39" t="str">
        <f>HYPERLINK('citations-it1-studies'!$D9,'citations-it1-studies'!$B9)</f>
        <v>Construction of intelligent integrated model framework for the workshop manufacturing system via digital twin</v>
      </c>
      <c r="C7">
        <f>'citations-it1-studies'!$C9</f>
        <v>2021</v>
      </c>
      <c r="D7">
        <f>'citations-it1-studies'!$H9</f>
        <v>14</v>
      </c>
      <c r="E7" t="s">
        <v>1398</v>
      </c>
      <c r="F7" s="10" t="s">
        <v>51</v>
      </c>
      <c r="G7" s="10" t="s">
        <v>51</v>
      </c>
      <c r="H7" s="10" t="s">
        <v>51</v>
      </c>
      <c r="I7" s="10" t="s">
        <v>51</v>
      </c>
      <c r="J7" s="10" t="s">
        <v>51</v>
      </c>
      <c r="K7" s="10" t="s">
        <v>51</v>
      </c>
      <c r="L7" s="10" t="s">
        <v>1397</v>
      </c>
      <c r="M7" t="s">
        <v>1397</v>
      </c>
      <c r="N7" t="str">
        <f t="shared" si="0"/>
        <v>Exclude</v>
      </c>
      <c r="O7" t="s">
        <v>4278</v>
      </c>
      <c r="U7" t="s">
        <v>1405</v>
      </c>
      <c r="V7">
        <f>COUNTIF(N2:N1948,"Include")</f>
        <v>24</v>
      </c>
      <c r="W7" s="15">
        <f>((V7/V5))</f>
        <v>7.1641791044776124E-2</v>
      </c>
      <c r="Y7" t="s">
        <v>1405</v>
      </c>
      <c r="Z7">
        <f>COUNTIFS($M2:$M1948,"&lt;&gt;X",$E2:$E1948,"O")</f>
        <v>51</v>
      </c>
      <c r="AA7" s="15">
        <f>((Z7/Z5))</f>
        <v>0.15223880597014924</v>
      </c>
      <c r="AC7" s="19" t="s">
        <v>1405</v>
      </c>
      <c r="AD7" s="20">
        <f>COUNTIFS($N2:$N1948,"Include", $M2:$M1948,"&lt;&gt;X")</f>
        <v>24</v>
      </c>
      <c r="AE7" s="25">
        <f>((AD7/AD5))</f>
        <v>0.47058823529411764</v>
      </c>
    </row>
    <row r="8" spans="1:31">
      <c r="A8" t="s">
        <v>4274</v>
      </c>
      <c r="B8" s="39" t="str">
        <f>HYPERLINK('citations-it1-studies'!$D10,'citations-it1-studies'!$B10)</f>
        <v>Communication and Coordination for Multi AGVs Based on MQTT Protocol</v>
      </c>
      <c r="C8">
        <f>'citations-it1-studies'!$C10</f>
        <v>2023</v>
      </c>
      <c r="D8">
        <f>'citations-it1-studies'!$H10</f>
        <v>6</v>
      </c>
      <c r="E8" t="s">
        <v>1398</v>
      </c>
      <c r="F8" s="9" t="s">
        <v>51</v>
      </c>
      <c r="G8" s="9" t="s">
        <v>51</v>
      </c>
      <c r="H8" s="9" t="s">
        <v>1397</v>
      </c>
      <c r="I8" s="9" t="s">
        <v>51</v>
      </c>
      <c r="J8" s="9" t="s">
        <v>51</v>
      </c>
      <c r="K8" s="9" t="s">
        <v>51</v>
      </c>
      <c r="L8" s="9" t="s">
        <v>51</v>
      </c>
      <c r="M8" t="s">
        <v>1397</v>
      </c>
      <c r="N8" t="str">
        <f t="shared" si="0"/>
        <v>Exclude</v>
      </c>
      <c r="O8" t="s">
        <v>4277</v>
      </c>
      <c r="U8" s="2" t="s">
        <v>1408</v>
      </c>
      <c r="Y8" s="2" t="s">
        <v>1408</v>
      </c>
      <c r="AC8" s="26" t="s">
        <v>1408</v>
      </c>
      <c r="AD8" s="20"/>
      <c r="AE8" s="22"/>
    </row>
    <row r="9" spans="1:31">
      <c r="A9" t="s">
        <v>4274</v>
      </c>
      <c r="B9" s="39" t="str">
        <f>HYPERLINK('citations-it1-studies'!$D11,'citations-it1-studies'!$B11)</f>
        <v>QoSmart-IoT: Secure QoS-Based Reconfiguration and Protocol Adaptation for Hybrid Clustered IoT Systems in Constrained Environments</v>
      </c>
      <c r="C9">
        <f>'citations-it1-studies'!$C11</f>
        <v>2025</v>
      </c>
      <c r="D9">
        <f>'citations-it1-studies'!$H11</f>
        <v>13</v>
      </c>
      <c r="E9" t="s">
        <v>1398</v>
      </c>
      <c r="F9" s="10" t="s">
        <v>51</v>
      </c>
      <c r="G9" s="10" t="s">
        <v>51</v>
      </c>
      <c r="H9" s="10" t="s">
        <v>1397</v>
      </c>
      <c r="I9" s="10" t="s">
        <v>51</v>
      </c>
      <c r="J9" s="10" t="s">
        <v>51</v>
      </c>
      <c r="K9" s="10" t="s">
        <v>51</v>
      </c>
      <c r="L9" s="10" t="s">
        <v>51</v>
      </c>
      <c r="M9" t="s">
        <v>1397</v>
      </c>
      <c r="N9" t="str">
        <f t="shared" si="0"/>
        <v>Exclude</v>
      </c>
      <c r="O9" t="s">
        <v>4277</v>
      </c>
      <c r="U9" t="s">
        <v>3</v>
      </c>
      <c r="V9">
        <f>COUNTIF($F$2:$F$1948,"X")</f>
        <v>2</v>
      </c>
      <c r="W9" s="15">
        <f>((V9/V$5))</f>
        <v>5.9701492537313433E-3</v>
      </c>
      <c r="Y9" t="s">
        <v>3</v>
      </c>
      <c r="Z9">
        <f>COUNTIFS($F2:$F1948,"X", $M2:$M1948,"X")</f>
        <v>0</v>
      </c>
      <c r="AA9" s="15">
        <f t="shared" ref="AA9:AA15" si="1">((Z9/Z$5))</f>
        <v>0</v>
      </c>
      <c r="AC9" s="19" t="s">
        <v>3</v>
      </c>
      <c r="AD9" s="20">
        <f>COUNTIFS($F2:$F1948,"X", $M2:$M1948,"&lt;&gt;X")</f>
        <v>2</v>
      </c>
      <c r="AE9" s="25">
        <f t="shared" ref="AE9:AE15" si="2">((AD9/AD$5))</f>
        <v>3.9215686274509803E-2</v>
      </c>
    </row>
    <row r="10" spans="1:31">
      <c r="A10" t="s">
        <v>4274</v>
      </c>
      <c r="B10" s="39" t="str">
        <f>HYPERLINK('citations-it1-studies'!$D12,'citations-it1-studies'!$B12)</f>
        <v>APT Adversarial Defence Mechanism for Industrial IoT Enabled Cyber-Physical System</v>
      </c>
      <c r="C10">
        <f>'citations-it1-studies'!$C12</f>
        <v>2023</v>
      </c>
      <c r="D10">
        <f>'citations-it1-studies'!$H12</f>
        <v>21</v>
      </c>
      <c r="E10" t="s">
        <v>1398</v>
      </c>
      <c r="F10" s="9" t="s">
        <v>51</v>
      </c>
      <c r="G10" s="9" t="s">
        <v>51</v>
      </c>
      <c r="H10" s="9" t="s">
        <v>51</v>
      </c>
      <c r="I10" s="9" t="s">
        <v>51</v>
      </c>
      <c r="J10" s="9" t="s">
        <v>51</v>
      </c>
      <c r="K10" s="9" t="s">
        <v>51</v>
      </c>
      <c r="L10" s="9" t="s">
        <v>1397</v>
      </c>
      <c r="M10" t="s">
        <v>1397</v>
      </c>
      <c r="N10" t="str">
        <f t="shared" si="0"/>
        <v>Exclude</v>
      </c>
      <c r="O10" t="s">
        <v>4278</v>
      </c>
      <c r="U10" t="s">
        <v>4</v>
      </c>
      <c r="V10">
        <f>COUNTIF($G$2:$G$1948,"X")</f>
        <v>1</v>
      </c>
      <c r="W10" s="15">
        <f t="shared" ref="W10:W16" si="3">((V10/V$5))</f>
        <v>2.9850746268656717E-3</v>
      </c>
      <c r="Y10" t="s">
        <v>4</v>
      </c>
      <c r="Z10">
        <f>COUNTIFS($G2:$G1948,"X", $M2:$M1948,"X")</f>
        <v>1</v>
      </c>
      <c r="AA10" s="15">
        <f t="shared" si="1"/>
        <v>2.9850746268656717E-3</v>
      </c>
      <c r="AC10" s="19" t="s">
        <v>4</v>
      </c>
      <c r="AD10" s="20">
        <f>COUNTIFS($G2:$G1948,"X", $M2:$M1948,"&lt;&gt;X")</f>
        <v>0</v>
      </c>
      <c r="AE10" s="25">
        <f t="shared" si="2"/>
        <v>0</v>
      </c>
    </row>
    <row r="11" spans="1:31">
      <c r="A11" t="s">
        <v>4274</v>
      </c>
      <c r="B11" s="39" t="str">
        <f>HYPERLINK('citations-it1-studies'!$D13,'citations-it1-studies'!$B13)</f>
        <v>Secure Communication Protocols: Safeguarding Information in The Digital Age</v>
      </c>
      <c r="C11">
        <f>'citations-it1-studies'!$C13</f>
        <v>2025</v>
      </c>
      <c r="D11">
        <f>'citations-it1-studies'!$H13</f>
        <v>65</v>
      </c>
      <c r="E11" t="s">
        <v>1398</v>
      </c>
      <c r="F11" s="10" t="s">
        <v>51</v>
      </c>
      <c r="G11" s="10" t="s">
        <v>51</v>
      </c>
      <c r="H11" s="10" t="s">
        <v>1397</v>
      </c>
      <c r="I11" s="10" t="s">
        <v>51</v>
      </c>
      <c r="J11" s="10" t="s">
        <v>51</v>
      </c>
      <c r="K11" s="10" t="s">
        <v>51</v>
      </c>
      <c r="L11" s="10" t="s">
        <v>51</v>
      </c>
      <c r="M11" t="s">
        <v>1397</v>
      </c>
      <c r="N11" t="str">
        <f t="shared" si="0"/>
        <v>Exclude</v>
      </c>
      <c r="O11" t="s">
        <v>4277</v>
      </c>
      <c r="U11" t="s">
        <v>328</v>
      </c>
      <c r="V11">
        <f>COUNTIF($H$2:$H$1948,"X")</f>
        <v>124</v>
      </c>
      <c r="W11" s="15">
        <f t="shared" si="3"/>
        <v>0.37014925373134328</v>
      </c>
      <c r="Y11" t="s">
        <v>328</v>
      </c>
      <c r="Z11">
        <f>COUNTIFS($H2:$H1948,"X", $M2:$M1948,"X")</f>
        <v>120</v>
      </c>
      <c r="AA11" s="15">
        <f t="shared" si="1"/>
        <v>0.35820895522388058</v>
      </c>
      <c r="AC11" s="19" t="s">
        <v>328</v>
      </c>
      <c r="AD11" s="20">
        <f>COUNTIFS($H2:$H1948,"X", $M2:$M1948,"&lt;&gt;X")</f>
        <v>4</v>
      </c>
      <c r="AE11" s="25">
        <f t="shared" si="2"/>
        <v>7.8431372549019607E-2</v>
      </c>
    </row>
    <row r="12" spans="1:31">
      <c r="A12" t="s">
        <v>4274</v>
      </c>
      <c r="B12" s="39" t="str">
        <f>HYPERLINK('citations-it1-studies'!$D14,'citations-it1-studies'!$B14)</f>
        <v>IBAM: IPFS and Blockchain based Authentication for MQTT protocol in IoT</v>
      </c>
      <c r="C12">
        <f>'citations-it1-studies'!$C14</f>
        <v>2023</v>
      </c>
      <c r="D12">
        <f>'citations-it1-studies'!$H14</f>
        <v>6</v>
      </c>
      <c r="E12" t="s">
        <v>1398</v>
      </c>
      <c r="F12" s="9" t="s">
        <v>51</v>
      </c>
      <c r="G12" s="9" t="s">
        <v>51</v>
      </c>
      <c r="H12" s="9" t="s">
        <v>1397</v>
      </c>
      <c r="I12" s="9" t="s">
        <v>51</v>
      </c>
      <c r="J12" s="9" t="s">
        <v>51</v>
      </c>
      <c r="K12" s="9" t="s">
        <v>51</v>
      </c>
      <c r="L12" s="9" t="s">
        <v>51</v>
      </c>
      <c r="M12" t="s">
        <v>1397</v>
      </c>
      <c r="N12" t="str">
        <f t="shared" si="0"/>
        <v>Exclude</v>
      </c>
      <c r="O12" t="s">
        <v>4277</v>
      </c>
      <c r="U12" t="s">
        <v>329</v>
      </c>
      <c r="V12">
        <f>COUNTIF($I$2:$I$1948,"X")</f>
        <v>37</v>
      </c>
      <c r="W12" s="15">
        <f t="shared" si="3"/>
        <v>0.11044776119402985</v>
      </c>
      <c r="Y12" t="s">
        <v>329</v>
      </c>
      <c r="Z12">
        <f>COUNTIFS($I2:$I1948,"X", $M2:$M1948,"X")</f>
        <v>37</v>
      </c>
      <c r="AA12" s="15">
        <f t="shared" si="1"/>
        <v>0.11044776119402985</v>
      </c>
      <c r="AC12" s="19" t="s">
        <v>329</v>
      </c>
      <c r="AD12" s="20">
        <f>COUNTIFS($I2:$I1948,"X", $M2:$M1948,"&lt;&gt;X")</f>
        <v>0</v>
      </c>
      <c r="AE12" s="25">
        <f t="shared" si="2"/>
        <v>0</v>
      </c>
    </row>
    <row r="13" spans="1:31">
      <c r="A13" t="s">
        <v>4274</v>
      </c>
      <c r="B13" s="39" t="str">
        <f>HYPERLINK('citations-it1-studies'!$D15,'citations-it1-studies'!$B15)</f>
        <v>Integration of MQTT and CoAP Protocols in OneM2M for IoT Applications</v>
      </c>
      <c r="C13">
        <f>'citations-it1-studies'!$C15</f>
        <v>2025</v>
      </c>
      <c r="D13">
        <f>'citations-it1-studies'!$H15</f>
        <v>11</v>
      </c>
      <c r="E13" t="s">
        <v>1398</v>
      </c>
      <c r="F13" s="10" t="s">
        <v>51</v>
      </c>
      <c r="G13" s="10" t="s">
        <v>51</v>
      </c>
      <c r="H13" s="10" t="s">
        <v>1397</v>
      </c>
      <c r="I13" s="10" t="s">
        <v>51</v>
      </c>
      <c r="J13" s="10" t="s">
        <v>51</v>
      </c>
      <c r="K13" s="10" t="s">
        <v>51</v>
      </c>
      <c r="L13" s="10" t="s">
        <v>51</v>
      </c>
      <c r="M13" t="s">
        <v>1397</v>
      </c>
      <c r="N13" t="str">
        <f t="shared" si="0"/>
        <v>Exclude</v>
      </c>
      <c r="O13" t="s">
        <v>4277</v>
      </c>
      <c r="U13" t="s">
        <v>330</v>
      </c>
      <c r="V13">
        <f>COUNTIF(J$2:J$1948,"X")</f>
        <v>43</v>
      </c>
      <c r="W13" s="15">
        <f t="shared" si="3"/>
        <v>0.12835820895522387</v>
      </c>
      <c r="Y13" t="s">
        <v>330</v>
      </c>
      <c r="Z13">
        <f>COUNTIFS($J2:$J1948,"X", $M2:$M1948,"X")</f>
        <v>43</v>
      </c>
      <c r="AA13" s="15">
        <f t="shared" si="1"/>
        <v>0.12835820895522387</v>
      </c>
      <c r="AC13" s="19" t="s">
        <v>330</v>
      </c>
      <c r="AD13" s="20">
        <f>COUNTIFS($J2:$J1948,"X", $M2:$M1948,"&lt;&gt;X")</f>
        <v>0</v>
      </c>
      <c r="AE13" s="25">
        <f t="shared" si="2"/>
        <v>0</v>
      </c>
    </row>
    <row r="14" spans="1:31">
      <c r="A14" t="s">
        <v>4274</v>
      </c>
      <c r="B14" s="39" t="str">
        <f>HYPERLINK('citations-it1-studies'!$D16,'citations-it1-studies'!$B16)</f>
        <v>MECInOT: a multi-access edge computing and industrial internet of things emulator for the modelling and study of cybersecurity threats</v>
      </c>
      <c r="C14">
        <f>'citations-it1-studies'!$C16</f>
        <v>2023</v>
      </c>
      <c r="D14">
        <f>'citations-it1-studies'!$H16</f>
        <v>39</v>
      </c>
      <c r="E14" t="s">
        <v>1398</v>
      </c>
      <c r="F14" s="9" t="s">
        <v>51</v>
      </c>
      <c r="G14" s="9" t="s">
        <v>51</v>
      </c>
      <c r="H14" s="9" t="s">
        <v>51</v>
      </c>
      <c r="I14" s="9" t="s">
        <v>51</v>
      </c>
      <c r="J14" s="9" t="s">
        <v>51</v>
      </c>
      <c r="K14" s="9" t="s">
        <v>51</v>
      </c>
      <c r="L14" s="9" t="s">
        <v>1397</v>
      </c>
      <c r="N14" t="str">
        <f t="shared" si="0"/>
        <v>Exclude</v>
      </c>
      <c r="O14" t="s">
        <v>4283</v>
      </c>
      <c r="U14" t="s">
        <v>331</v>
      </c>
      <c r="V14">
        <f>COUNTIF($K$2:$K$1948,"X")</f>
        <v>0</v>
      </c>
      <c r="W14" s="15">
        <f t="shared" si="3"/>
        <v>0</v>
      </c>
      <c r="Y14" t="s">
        <v>331</v>
      </c>
      <c r="Z14">
        <f>COUNTIFS($K2:$K1948,"X", $M2:$M1948,"X")</f>
        <v>0</v>
      </c>
      <c r="AA14" s="15">
        <f t="shared" si="1"/>
        <v>0</v>
      </c>
      <c r="AC14" s="19" t="s">
        <v>331</v>
      </c>
      <c r="AD14" s="20">
        <f>COUNTIFS($K2:$K1948,"X", $M2:$M1948,"&lt;&gt;X")</f>
        <v>0</v>
      </c>
      <c r="AE14" s="25">
        <f t="shared" si="2"/>
        <v>0</v>
      </c>
    </row>
    <row r="15" spans="1:31">
      <c r="A15" t="s">
        <v>4274</v>
      </c>
      <c r="B15" s="39" t="str">
        <f>HYPERLINK('citations-it1-studies'!$D17,'citations-it1-studies'!$B17)</f>
        <v>Implementing Dead Letter Exchanges in MQTT and Proposing a Broker Failure Algorithm Utilizing Blockchain DNS</v>
      </c>
      <c r="C15">
        <f>'citations-it1-studies'!$C17</f>
        <v>2023</v>
      </c>
      <c r="D15">
        <f>'citations-it1-studies'!$H17</f>
        <v>6</v>
      </c>
      <c r="E15" t="s">
        <v>1398</v>
      </c>
      <c r="F15" s="10" t="s">
        <v>51</v>
      </c>
      <c r="G15" s="10" t="s">
        <v>51</v>
      </c>
      <c r="H15" s="10" t="s">
        <v>1397</v>
      </c>
      <c r="I15" s="10" t="s">
        <v>51</v>
      </c>
      <c r="J15" s="10" t="s">
        <v>51</v>
      </c>
      <c r="K15" s="10" t="s">
        <v>51</v>
      </c>
      <c r="L15" s="10" t="s">
        <v>51</v>
      </c>
      <c r="M15" t="s">
        <v>1397</v>
      </c>
      <c r="N15" t="str">
        <f t="shared" si="0"/>
        <v>Exclude</v>
      </c>
      <c r="O15" t="s">
        <v>4277</v>
      </c>
      <c r="U15" t="s">
        <v>332</v>
      </c>
      <c r="V15">
        <f>COUNTIF($L$2:$L$1948,"X")</f>
        <v>143</v>
      </c>
      <c r="W15" s="15">
        <f t="shared" si="3"/>
        <v>0.42686567164179107</v>
      </c>
      <c r="Y15" t="s">
        <v>332</v>
      </c>
      <c r="Z15">
        <f>COUNTIFS($L2:$L1948,"X", $M2:$M1948,"X")</f>
        <v>121</v>
      </c>
      <c r="AA15" s="15">
        <f t="shared" si="1"/>
        <v>0.36119402985074628</v>
      </c>
      <c r="AC15" s="27" t="s">
        <v>332</v>
      </c>
      <c r="AD15" s="28">
        <f>COUNTIFS($L2:$L1948,"X", $M2:$M1948,"&lt;&gt;X")</f>
        <v>22</v>
      </c>
      <c r="AE15" s="29">
        <f t="shared" si="2"/>
        <v>0.43137254901960786</v>
      </c>
    </row>
    <row r="16" spans="1:31">
      <c r="A16" t="s">
        <v>4274</v>
      </c>
      <c r="B16" s="39" t="str">
        <f>HYPERLINK('citations-it1-studies'!$D18,'citations-it1-studies'!$B18)</f>
        <v>X-IIoTID: A Connectivity-Agnostic and Device-Agnostic Intrusion Data Set for Industrial Internet of Things</v>
      </c>
      <c r="C16">
        <f>'citations-it1-studies'!$C18</f>
        <v>2022</v>
      </c>
      <c r="D16">
        <f>'citations-it1-studies'!$H18</f>
        <v>16</v>
      </c>
      <c r="E16" t="s">
        <v>1398</v>
      </c>
      <c r="F16" s="9" t="s">
        <v>51</v>
      </c>
      <c r="G16" s="9" t="s">
        <v>51</v>
      </c>
      <c r="H16" s="9" t="s">
        <v>51</v>
      </c>
      <c r="I16" s="9" t="s">
        <v>51</v>
      </c>
      <c r="J16" s="9" t="s">
        <v>51</v>
      </c>
      <c r="K16" s="9" t="s">
        <v>51</v>
      </c>
      <c r="L16" s="9" t="s">
        <v>1397</v>
      </c>
      <c r="M16" t="s">
        <v>1397</v>
      </c>
      <c r="N16" t="str">
        <f t="shared" si="0"/>
        <v>Exclude</v>
      </c>
      <c r="O16" t="s">
        <v>4278</v>
      </c>
      <c r="U16" t="s">
        <v>1432</v>
      </c>
      <c r="V16">
        <f>COUNTIF($M$2:$M$1948,"X")</f>
        <v>284</v>
      </c>
      <c r="W16" s="15">
        <f t="shared" si="3"/>
        <v>0.84776119402985073</v>
      </c>
      <c r="AA16" s="30"/>
      <c r="AE16" s="15"/>
    </row>
    <row r="17" spans="1:15">
      <c r="A17" t="s">
        <v>4274</v>
      </c>
      <c r="B17" s="39" t="str">
        <f>HYPERLINK('citations-it1-studies'!$D19,'citations-it1-studies'!$B19)</f>
        <v>Intelligent Monitoring and Control Systems for Smart Water Management</v>
      </c>
      <c r="C17">
        <f>'citations-it1-studies'!$C19</f>
        <v>2025</v>
      </c>
      <c r="D17">
        <f>'citations-it1-studies'!$H19</f>
        <v>22</v>
      </c>
      <c r="E17" t="s">
        <v>1398</v>
      </c>
      <c r="F17" s="10" t="s">
        <v>51</v>
      </c>
      <c r="G17" s="10" t="s">
        <v>51</v>
      </c>
      <c r="H17" s="10" t="s">
        <v>1397</v>
      </c>
      <c r="I17" s="10" t="s">
        <v>51</v>
      </c>
      <c r="J17" s="10" t="s">
        <v>51</v>
      </c>
      <c r="K17" s="10" t="s">
        <v>51</v>
      </c>
      <c r="L17" s="10" t="s">
        <v>51</v>
      </c>
      <c r="M17" t="s">
        <v>1397</v>
      </c>
      <c r="N17" t="str">
        <f t="shared" si="0"/>
        <v>Exclude</v>
      </c>
      <c r="O17" t="s">
        <v>4277</v>
      </c>
    </row>
    <row r="18" spans="1:15">
      <c r="A18" t="s">
        <v>4274</v>
      </c>
      <c r="B18" s="39" t="str">
        <f>HYPERLINK('citations-it1-studies'!$D20,'citations-it1-studies'!$B20)</f>
        <v>Multisensory Fusion, Haptic, and Visual Feedback Teleoperation System Under IoT Framework</v>
      </c>
      <c r="C18">
        <f>'citations-it1-studies'!$C20</f>
        <v>2022</v>
      </c>
      <c r="D18">
        <f>'citations-it1-studies'!$H20</f>
        <v>11</v>
      </c>
      <c r="E18" t="s">
        <v>1398</v>
      </c>
      <c r="F18" s="9" t="s">
        <v>51</v>
      </c>
      <c r="G18" s="9" t="s">
        <v>51</v>
      </c>
      <c r="H18" s="9" t="s">
        <v>1397</v>
      </c>
      <c r="I18" s="9" t="s">
        <v>51</v>
      </c>
      <c r="J18" s="9" t="s">
        <v>51</v>
      </c>
      <c r="K18" s="9" t="s">
        <v>51</v>
      </c>
      <c r="L18" s="9" t="s">
        <v>51</v>
      </c>
      <c r="M18" t="s">
        <v>1397</v>
      </c>
      <c r="N18" t="str">
        <f t="shared" si="0"/>
        <v>Exclude</v>
      </c>
      <c r="O18" t="s">
        <v>4277</v>
      </c>
    </row>
    <row r="19" spans="1:15">
      <c r="A19" t="s">
        <v>4274</v>
      </c>
      <c r="B19" s="39" t="str">
        <f>HYPERLINK('citations-it1-studies'!$D21,'citations-it1-studies'!$B21)</f>
        <v>Transfer Fuzzy Learning enabled Streebog Cryptographic Substitution Permutation based zero trust security in IIOT</v>
      </c>
      <c r="C19">
        <f>'citations-it1-studies'!$C21</f>
        <v>2023</v>
      </c>
      <c r="D19">
        <f>'citations-it1-studies'!$H21</f>
        <v>11</v>
      </c>
      <c r="E19" t="s">
        <v>1398</v>
      </c>
      <c r="F19" s="10" t="s">
        <v>51</v>
      </c>
      <c r="G19" s="10" t="s">
        <v>51</v>
      </c>
      <c r="H19" s="10" t="s">
        <v>51</v>
      </c>
      <c r="I19" s="10" t="s">
        <v>51</v>
      </c>
      <c r="J19" s="10" t="s">
        <v>51</v>
      </c>
      <c r="K19" s="10" t="s">
        <v>51</v>
      </c>
      <c r="L19" s="10" t="s">
        <v>1397</v>
      </c>
      <c r="M19" t="s">
        <v>1397</v>
      </c>
      <c r="N19" t="str">
        <f t="shared" si="0"/>
        <v>Exclude</v>
      </c>
      <c r="O19" t="s">
        <v>4278</v>
      </c>
    </row>
    <row r="20" spans="1:15">
      <c r="A20" t="s">
        <v>4274</v>
      </c>
      <c r="B20" s="39" t="str">
        <f>HYPERLINK('citations-it1-studies'!$D22,'citations-it1-studies'!$B22)</f>
        <v>High Precision Open Laboratory 3D Positioning System for Automated Underwater Measurements</v>
      </c>
      <c r="C20">
        <f>'citations-it1-studies'!$C22</f>
        <v>2021</v>
      </c>
      <c r="D20">
        <f>'citations-it1-studies'!$H22</f>
        <v>5</v>
      </c>
      <c r="E20" t="s">
        <v>1398</v>
      </c>
      <c r="F20" s="9" t="s">
        <v>51</v>
      </c>
      <c r="G20" s="9" t="s">
        <v>51</v>
      </c>
      <c r="H20" s="9" t="s">
        <v>1397</v>
      </c>
      <c r="I20" s="9" t="s">
        <v>51</v>
      </c>
      <c r="J20" s="9" t="s">
        <v>51</v>
      </c>
      <c r="K20" s="9" t="s">
        <v>51</v>
      </c>
      <c r="L20" s="9" t="s">
        <v>51</v>
      </c>
      <c r="M20" t="s">
        <v>1397</v>
      </c>
      <c r="N20" t="str">
        <f t="shared" si="0"/>
        <v>Exclude</v>
      </c>
      <c r="O20" t="s">
        <v>4277</v>
      </c>
    </row>
    <row r="21" spans="1:15">
      <c r="A21" t="s">
        <v>4274</v>
      </c>
      <c r="B21" s="39" t="str">
        <f>HYPERLINK('citations-it1-studies'!$D23,'citations-it1-studies'!$B23)</f>
        <v>Architecture for data-centric and semantic-enhanced industrial metaverse: Bridging physical factories and virtual landscape</v>
      </c>
      <c r="C21">
        <f>'citations-it1-studies'!$C23</f>
        <v>2024</v>
      </c>
      <c r="D21">
        <f>'citations-it1-studies'!$H23</f>
        <v>15</v>
      </c>
      <c r="E21" t="s">
        <v>1398</v>
      </c>
      <c r="F21" s="10" t="s">
        <v>51</v>
      </c>
      <c r="G21" s="10" t="s">
        <v>51</v>
      </c>
      <c r="H21" s="10" t="s">
        <v>51</v>
      </c>
      <c r="I21" s="10" t="s">
        <v>51</v>
      </c>
      <c r="J21" s="10" t="s">
        <v>51</v>
      </c>
      <c r="K21" s="10" t="s">
        <v>51</v>
      </c>
      <c r="L21" s="10" t="s">
        <v>1397</v>
      </c>
      <c r="M21" t="s">
        <v>1397</v>
      </c>
      <c r="N21" t="str">
        <f t="shared" si="0"/>
        <v>Exclude</v>
      </c>
      <c r="O21" t="s">
        <v>4278</v>
      </c>
    </row>
    <row r="22" spans="1:15">
      <c r="A22" t="s">
        <v>4274</v>
      </c>
      <c r="B22" s="39" t="str">
        <f>HYPERLINK('citations-it1-studies'!$D24,'citations-it1-studies'!$B24)</f>
        <v>Developing a Low-cost SCADA System for Industrial Application</v>
      </c>
      <c r="C22">
        <f>'citations-it1-studies'!$C24</f>
        <v>2022</v>
      </c>
      <c r="D22">
        <f>'citations-it1-studies'!$H24</f>
        <v>6</v>
      </c>
      <c r="E22" t="s">
        <v>1398</v>
      </c>
      <c r="F22" s="9" t="s">
        <v>51</v>
      </c>
      <c r="G22" s="9" t="s">
        <v>51</v>
      </c>
      <c r="H22" s="9" t="s">
        <v>51</v>
      </c>
      <c r="I22" s="9" t="s">
        <v>51</v>
      </c>
      <c r="J22" s="9" t="s">
        <v>51</v>
      </c>
      <c r="K22" s="9" t="s">
        <v>51</v>
      </c>
      <c r="L22" s="9" t="s">
        <v>1397</v>
      </c>
      <c r="M22" t="s">
        <v>1397</v>
      </c>
      <c r="N22" t="str">
        <f t="shared" si="0"/>
        <v>Exclude</v>
      </c>
      <c r="O22" t="s">
        <v>4278</v>
      </c>
    </row>
    <row r="23" spans="1:15">
      <c r="A23" t="s">
        <v>4274</v>
      </c>
      <c r="B23" s="39" t="str">
        <f>HYPERLINK('citations-it1-studies'!$D25,'citations-it1-studies'!$B25)</f>
        <v>Evaluating Real-Time Ethernet performance indicators for SERCOS III networks</v>
      </c>
      <c r="C23">
        <f>'citations-it1-studies'!$C25</f>
        <v>2021</v>
      </c>
      <c r="D23">
        <f>'citations-it1-studies'!$H25</f>
        <v>7</v>
      </c>
      <c r="E23" t="s">
        <v>1398</v>
      </c>
      <c r="F23" s="10" t="s">
        <v>51</v>
      </c>
      <c r="G23" s="10" t="s">
        <v>51</v>
      </c>
      <c r="H23" s="10" t="s">
        <v>51</v>
      </c>
      <c r="I23" s="10" t="s">
        <v>51</v>
      </c>
      <c r="J23" s="10" t="s">
        <v>51</v>
      </c>
      <c r="K23" s="10" t="s">
        <v>51</v>
      </c>
      <c r="L23" s="10" t="s">
        <v>51</v>
      </c>
      <c r="N23" t="str">
        <f t="shared" si="0"/>
        <v>Include</v>
      </c>
      <c r="O23" t="s">
        <v>4284</v>
      </c>
    </row>
    <row r="24" spans="1:15">
      <c r="A24" t="s">
        <v>4274</v>
      </c>
      <c r="B24" s="39" t="str">
        <f>HYPERLINK('citations-it1-studies'!$D27,'citations-it1-studies'!$B27)</f>
        <v>Cloud-Fog Automation: The New Paradigm Toward Autonomous Industrial Cyber-Physical Systems</v>
      </c>
      <c r="C24">
        <f>'citations-it1-studies'!$C27</f>
        <v>2025</v>
      </c>
      <c r="D24">
        <f>'citations-it1-studies'!$H27</f>
        <v>21</v>
      </c>
      <c r="E24" t="s">
        <v>1398</v>
      </c>
      <c r="F24" s="9" t="s">
        <v>51</v>
      </c>
      <c r="G24" s="9" t="s">
        <v>51</v>
      </c>
      <c r="H24" s="9" t="s">
        <v>51</v>
      </c>
      <c r="I24" s="9" t="s">
        <v>51</v>
      </c>
      <c r="J24" s="9" t="s">
        <v>51</v>
      </c>
      <c r="K24" s="9" t="s">
        <v>51</v>
      </c>
      <c r="L24" s="9" t="s">
        <v>1397</v>
      </c>
      <c r="M24" t="s">
        <v>1397</v>
      </c>
      <c r="N24" t="str">
        <f t="shared" si="0"/>
        <v>Exclude</v>
      </c>
      <c r="O24" t="s">
        <v>4278</v>
      </c>
    </row>
    <row r="25" spans="1:15">
      <c r="A25" t="s">
        <v>4274</v>
      </c>
      <c r="B25" s="39" t="str">
        <f>HYPERLINK('citations-it1-studies'!$D28,'citations-it1-studies'!$B28)</f>
        <v>Integrating Fieldbus and Data-Centric Middleware: An STM32 Modbus Master Gateway for DDS-Based IIoT Systems</v>
      </c>
      <c r="C25">
        <f>'citations-it1-studies'!$C28</f>
        <v>2025</v>
      </c>
      <c r="D25">
        <f>'citations-it1-studies'!$H28</f>
        <v>0</v>
      </c>
      <c r="E25" t="s">
        <v>1398</v>
      </c>
      <c r="F25" s="10" t="s">
        <v>51</v>
      </c>
      <c r="G25" s="10" t="s">
        <v>51</v>
      </c>
      <c r="H25" s="10" t="s">
        <v>51</v>
      </c>
      <c r="I25" s="10" t="s">
        <v>1397</v>
      </c>
      <c r="J25" s="10" t="s">
        <v>51</v>
      </c>
      <c r="K25" s="10" t="s">
        <v>51</v>
      </c>
      <c r="L25" s="10" t="s">
        <v>1397</v>
      </c>
      <c r="M25" t="s">
        <v>1397</v>
      </c>
      <c r="N25" t="str">
        <f t="shared" si="0"/>
        <v>Exclude</v>
      </c>
      <c r="O25" t="s">
        <v>4280</v>
      </c>
    </row>
    <row r="26" spans="1:15">
      <c r="A26" t="s">
        <v>4274</v>
      </c>
      <c r="B26" s="39" t="str">
        <f>HYPERLINK('citations-it1-studies'!$D29,'citations-it1-studies'!$B29)</f>
        <v>Online Compensation Method for Contour Error in the Parallel Module of a Hybrid Gantry Machining Center</v>
      </c>
      <c r="C26">
        <f>'citations-it1-studies'!$C29</f>
        <v>2025</v>
      </c>
      <c r="D26">
        <f>'citations-it1-studies'!$H29</f>
        <v>0</v>
      </c>
      <c r="E26" t="s">
        <v>1398</v>
      </c>
      <c r="F26" s="9" t="s">
        <v>51</v>
      </c>
      <c r="G26" s="9" t="s">
        <v>51</v>
      </c>
      <c r="H26" s="9" t="s">
        <v>1397</v>
      </c>
      <c r="I26" s="9" t="s">
        <v>1397</v>
      </c>
      <c r="J26" s="9" t="s">
        <v>51</v>
      </c>
      <c r="K26" s="9" t="s">
        <v>51</v>
      </c>
      <c r="L26" s="9" t="s">
        <v>51</v>
      </c>
      <c r="M26" t="s">
        <v>1397</v>
      </c>
      <c r="N26" t="str">
        <f t="shared" si="0"/>
        <v>Exclude</v>
      </c>
      <c r="O26" t="s">
        <v>4277</v>
      </c>
    </row>
    <row r="27" spans="1:15">
      <c r="A27" t="s">
        <v>4274</v>
      </c>
      <c r="B27" s="39" t="str">
        <f>HYPERLINK('citations-it1-studies'!$D30,'citations-it1-studies'!$B30)</f>
        <v>RAPTOR: Advanced Persistent Threat Detection in Industrial IoT via Attack Stage Correlation</v>
      </c>
      <c r="C27">
        <f>'citations-it1-studies'!$C30</f>
        <v>2023</v>
      </c>
      <c r="D27">
        <f>'citations-it1-studies'!$H30</f>
        <v>12</v>
      </c>
      <c r="E27" t="s">
        <v>1398</v>
      </c>
      <c r="F27" s="10" t="s">
        <v>51</v>
      </c>
      <c r="G27" s="10" t="s">
        <v>51</v>
      </c>
      <c r="H27" s="10" t="s">
        <v>51</v>
      </c>
      <c r="I27" s="10" t="s">
        <v>51</v>
      </c>
      <c r="J27" s="10" t="s">
        <v>51</v>
      </c>
      <c r="K27" s="10" t="s">
        <v>51</v>
      </c>
      <c r="L27" s="10" t="s">
        <v>1397</v>
      </c>
      <c r="M27" t="s">
        <v>1397</v>
      </c>
      <c r="N27" t="str">
        <f t="shared" si="0"/>
        <v>Exclude</v>
      </c>
      <c r="O27" t="s">
        <v>4278</v>
      </c>
    </row>
    <row r="28" spans="1:15">
      <c r="A28" t="s">
        <v>4274</v>
      </c>
      <c r="B28" s="39" t="str">
        <f>HYPERLINK('citations-it1-studies'!$D31,'citations-it1-studies'!$B31)</f>
        <v>Improving Security and Preventing Cyber Attacks in Smart Device Networks</v>
      </c>
      <c r="C28">
        <f>'citations-it1-studies'!$C31</f>
        <v>2025</v>
      </c>
      <c r="D28">
        <f>'citations-it1-studies'!$H31</f>
        <v>6</v>
      </c>
      <c r="E28" t="s">
        <v>1398</v>
      </c>
      <c r="F28" s="9" t="s">
        <v>51</v>
      </c>
      <c r="G28" s="9" t="s">
        <v>51</v>
      </c>
      <c r="H28" s="9" t="s">
        <v>1397</v>
      </c>
      <c r="I28" s="9" t="s">
        <v>51</v>
      </c>
      <c r="J28" s="9" t="s">
        <v>51</v>
      </c>
      <c r="K28" s="9" t="s">
        <v>51</v>
      </c>
      <c r="L28" s="9" t="s">
        <v>51</v>
      </c>
      <c r="M28" t="s">
        <v>1397</v>
      </c>
      <c r="N28" t="str">
        <f t="shared" si="0"/>
        <v>Exclude</v>
      </c>
      <c r="O28" t="s">
        <v>4277</v>
      </c>
    </row>
    <row r="29" spans="1:15">
      <c r="A29" t="s">
        <v>4274</v>
      </c>
      <c r="B29" s="39" t="str">
        <f>HYPERLINK('citations-it1-studies'!$D32,'citations-it1-studies'!$B32)</f>
        <v>KOTO: A Kubernetes-Based Platform for Secure and Scalable OT Orchestration in Industry 5.0</v>
      </c>
      <c r="C29">
        <f>'citations-it1-studies'!$C32</f>
        <v>2025</v>
      </c>
      <c r="D29">
        <f>'citations-it1-studies'!$H32</f>
        <v>6</v>
      </c>
      <c r="E29" t="s">
        <v>1398</v>
      </c>
      <c r="F29" s="10" t="s">
        <v>51</v>
      </c>
      <c r="G29" s="10" t="s">
        <v>51</v>
      </c>
      <c r="H29" s="10" t="s">
        <v>51</v>
      </c>
      <c r="I29" s="10" t="s">
        <v>51</v>
      </c>
      <c r="J29" s="10" t="s">
        <v>51</v>
      </c>
      <c r="K29" s="10" t="s">
        <v>51</v>
      </c>
      <c r="L29" s="10" t="s">
        <v>1397</v>
      </c>
      <c r="M29" t="s">
        <v>1397</v>
      </c>
      <c r="N29" t="str">
        <f t="shared" si="0"/>
        <v>Exclude</v>
      </c>
      <c r="O29" t="s">
        <v>4278</v>
      </c>
    </row>
    <row r="30" spans="1:15">
      <c r="A30" t="s">
        <v>4274</v>
      </c>
      <c r="B30" s="39" t="str">
        <f>HYPERLINK('citations-it1-studies'!$D33,'citations-it1-studies'!$B33)</f>
        <v>A Survey of Public IoT Datasets for Network Security Research</v>
      </c>
      <c r="C30">
        <f>'citations-it1-studies'!$C33</f>
        <v>2023</v>
      </c>
      <c r="D30">
        <f>'citations-it1-studies'!$H33</f>
        <v>33</v>
      </c>
      <c r="E30" t="s">
        <v>1398</v>
      </c>
      <c r="F30" s="9" t="s">
        <v>51</v>
      </c>
      <c r="G30" s="9" t="s">
        <v>51</v>
      </c>
      <c r="H30" s="9" t="s">
        <v>51</v>
      </c>
      <c r="I30" s="9" t="s">
        <v>51</v>
      </c>
      <c r="J30" s="9" t="s">
        <v>1397</v>
      </c>
      <c r="K30" s="9" t="s">
        <v>51</v>
      </c>
      <c r="L30" s="9" t="s">
        <v>51</v>
      </c>
      <c r="M30" t="s">
        <v>1397</v>
      </c>
      <c r="N30" t="str">
        <f t="shared" si="0"/>
        <v>Exclude</v>
      </c>
      <c r="O30" t="s">
        <v>4281</v>
      </c>
    </row>
    <row r="31" spans="1:15">
      <c r="A31" t="s">
        <v>4274</v>
      </c>
      <c r="B31" s="39" t="str">
        <f>HYPERLINK('citations-it1-studies'!$D37,'citations-it1-studies'!$B37)</f>
        <v>ExaMon-X: A Predictive Maintenance Framework for Automatic Monitoring in Industrial IoT Systems</v>
      </c>
      <c r="C31">
        <f>'citations-it1-studies'!$C37</f>
        <v>2023</v>
      </c>
      <c r="D31">
        <f>'citations-it1-studies'!$H37</f>
        <v>11</v>
      </c>
      <c r="E31" t="s">
        <v>1398</v>
      </c>
      <c r="F31" s="9" t="s">
        <v>51</v>
      </c>
      <c r="G31" s="9" t="s">
        <v>51</v>
      </c>
      <c r="H31" s="9" t="s">
        <v>51</v>
      </c>
      <c r="I31" s="9" t="s">
        <v>51</v>
      </c>
      <c r="J31" s="9" t="s">
        <v>51</v>
      </c>
      <c r="K31" s="9" t="s">
        <v>51</v>
      </c>
      <c r="L31" s="9" t="s">
        <v>1397</v>
      </c>
      <c r="M31" t="s">
        <v>1397</v>
      </c>
      <c r="N31" t="str">
        <f t="shared" ref="N31:N62" si="4">IF(COUNTIF(F31:M31,"X")&gt;0,"Exclude",IF(UPPER(TRIM(E31))="O","Include",""))</f>
        <v>Exclude</v>
      </c>
      <c r="O31" t="s">
        <v>4278</v>
      </c>
    </row>
    <row r="32" spans="1:15">
      <c r="A32" t="s">
        <v>4274</v>
      </c>
      <c r="B32" s="39" t="str">
        <f>HYPERLINK('citations-it1-studies'!$D39,'citations-it1-studies'!$B39)</f>
        <v>Interaction of Artificial Intelligence and Machining Processes Regarding Industry 4.0 Production Systems</v>
      </c>
      <c r="C32">
        <f>'citations-it1-studies'!$C39</f>
        <v>2023</v>
      </c>
      <c r="D32">
        <f>'citations-it1-studies'!$H39</f>
        <v>10</v>
      </c>
      <c r="E32" t="s">
        <v>1398</v>
      </c>
      <c r="F32" s="9" t="s">
        <v>51</v>
      </c>
      <c r="G32" s="9" t="s">
        <v>51</v>
      </c>
      <c r="H32" s="9" t="s">
        <v>51</v>
      </c>
      <c r="I32" s="9" t="s">
        <v>51</v>
      </c>
      <c r="J32" s="9" t="s">
        <v>51</v>
      </c>
      <c r="K32" s="9" t="s">
        <v>51</v>
      </c>
      <c r="L32" s="9" t="s">
        <v>1397</v>
      </c>
      <c r="M32" t="s">
        <v>1397</v>
      </c>
      <c r="N32" t="str">
        <f t="shared" si="4"/>
        <v>Exclude</v>
      </c>
      <c r="O32" t="s">
        <v>4278</v>
      </c>
    </row>
    <row r="33" spans="1:15">
      <c r="A33" t="s">
        <v>4274</v>
      </c>
      <c r="B33" s="39" t="str">
        <f>HYPERLINK('citations-it1-studies'!$D40,'citations-it1-studies'!$B40)</f>
        <v>The Influence of Choosing Sensor Locations Inside Closed Facilities on the Reliability, Adaptability, and Energy Efficiency of IoT Systems</v>
      </c>
      <c r="C33">
        <f>'citations-it1-studies'!$C40</f>
        <v>2024</v>
      </c>
      <c r="D33">
        <f>'citations-it1-studies'!$H40</f>
        <v>6</v>
      </c>
      <c r="E33" t="s">
        <v>1398</v>
      </c>
      <c r="F33" s="10" t="s">
        <v>51</v>
      </c>
      <c r="G33" s="10" t="s">
        <v>51</v>
      </c>
      <c r="H33" s="10" t="s">
        <v>1397</v>
      </c>
      <c r="I33" s="10" t="s">
        <v>51</v>
      </c>
      <c r="J33" s="10" t="s">
        <v>51</v>
      </c>
      <c r="K33" s="10" t="s">
        <v>51</v>
      </c>
      <c r="L33" s="10" t="s">
        <v>51</v>
      </c>
      <c r="M33" t="s">
        <v>1397</v>
      </c>
      <c r="N33" t="str">
        <f t="shared" si="4"/>
        <v>Exclude</v>
      </c>
      <c r="O33" t="s">
        <v>4277</v>
      </c>
    </row>
    <row r="34" spans="1:15">
      <c r="A34" t="s">
        <v>4274</v>
      </c>
      <c r="B34" s="39" t="str">
        <f>HYPERLINK('citations-it1-studies'!$D41,'citations-it1-studies'!$B41)</f>
        <v>Messaging Protocols for IoT Systems-A Pragmatic Comparison.</v>
      </c>
      <c r="C34">
        <f>'citations-it1-studies'!$C41</f>
        <v>2021</v>
      </c>
      <c r="D34">
        <f>'citations-it1-studies'!$H41</f>
        <v>0</v>
      </c>
      <c r="E34" t="s">
        <v>1398</v>
      </c>
      <c r="F34" s="9" t="s">
        <v>51</v>
      </c>
      <c r="G34" s="9" t="s">
        <v>51</v>
      </c>
      <c r="H34" s="9" t="s">
        <v>1397</v>
      </c>
      <c r="I34" s="9" t="s">
        <v>1397</v>
      </c>
      <c r="J34" s="9" t="s">
        <v>51</v>
      </c>
      <c r="K34" s="9" t="s">
        <v>51</v>
      </c>
      <c r="L34" s="9" t="s">
        <v>51</v>
      </c>
      <c r="M34" t="s">
        <v>1397</v>
      </c>
      <c r="N34" t="str">
        <f t="shared" si="4"/>
        <v>Exclude</v>
      </c>
      <c r="O34" t="s">
        <v>4277</v>
      </c>
    </row>
    <row r="35" spans="1:15">
      <c r="A35" t="s">
        <v>4274</v>
      </c>
      <c r="B35" s="39" t="str">
        <f>HYPERLINK('citations-it1-studies'!$D42,'citations-it1-studies'!$B42)</f>
        <v>Deep Learning-Based Intrusion Detection for Distributed Denial of Service Attack in Agriculture 4.0</v>
      </c>
      <c r="C35">
        <f>'citations-it1-studies'!$C42</f>
        <v>2021</v>
      </c>
      <c r="D35">
        <f>'citations-it1-studies'!$H42</f>
        <v>0</v>
      </c>
      <c r="E35" t="s">
        <v>1398</v>
      </c>
      <c r="F35" s="9" t="s">
        <v>51</v>
      </c>
      <c r="G35" s="9" t="s">
        <v>51</v>
      </c>
      <c r="H35" s="9" t="s">
        <v>51</v>
      </c>
      <c r="I35" s="9" t="s">
        <v>1397</v>
      </c>
      <c r="J35" s="9" t="s">
        <v>51</v>
      </c>
      <c r="K35" s="9" t="s">
        <v>51</v>
      </c>
      <c r="L35" s="9" t="s">
        <v>1397</v>
      </c>
      <c r="M35" t="s">
        <v>1397</v>
      </c>
      <c r="N35" t="str">
        <f t="shared" si="4"/>
        <v>Exclude</v>
      </c>
      <c r="O35" t="s">
        <v>4276</v>
      </c>
    </row>
    <row r="36" spans="1:15">
      <c r="A36" t="s">
        <v>4274</v>
      </c>
      <c r="B36" s="39" t="str">
        <f>HYPERLINK('citations-it1-studies'!$D44,'citations-it1-studies'!$B44)</f>
        <v>Enhancing Cybersecurity in Industrial Internet of Things: Machine Learning-Based Approaches for Cyber-Attack Detection in a Realworld Testbed Environment</v>
      </c>
      <c r="C36">
        <f>'citations-it1-studies'!$C44</f>
        <v>2025</v>
      </c>
      <c r="D36">
        <f>'citations-it1-studies'!$H44</f>
        <v>14</v>
      </c>
      <c r="E36" t="s">
        <v>1398</v>
      </c>
      <c r="F36" s="10" t="s">
        <v>51</v>
      </c>
      <c r="G36" s="10" t="s">
        <v>51</v>
      </c>
      <c r="H36" s="10" t="s">
        <v>51</v>
      </c>
      <c r="I36" s="10" t="s">
        <v>51</v>
      </c>
      <c r="J36" s="10" t="s">
        <v>51</v>
      </c>
      <c r="K36" s="10" t="s">
        <v>51</v>
      </c>
      <c r="L36" s="10" t="s">
        <v>1397</v>
      </c>
      <c r="N36" t="str">
        <f t="shared" si="4"/>
        <v>Exclude</v>
      </c>
      <c r="O36" t="s">
        <v>4285</v>
      </c>
    </row>
    <row r="37" spans="1:15">
      <c r="A37" t="s">
        <v>4274</v>
      </c>
      <c r="B37" s="39" t="str">
        <f>HYPERLINK('citations-it1-studies'!$D45,'citations-it1-studies'!$B45)</f>
        <v>Wireless Cyber-Physical Systems Performance Evaluation through a Graph Database Approach.</v>
      </c>
      <c r="C37">
        <f>'citations-it1-studies'!$C45</f>
        <v>2020</v>
      </c>
      <c r="D37">
        <f>'citations-it1-studies'!$H45</f>
        <v>19</v>
      </c>
      <c r="E37" t="s">
        <v>1398</v>
      </c>
      <c r="F37" s="9" t="s">
        <v>51</v>
      </c>
      <c r="G37" s="9" t="s">
        <v>51</v>
      </c>
      <c r="H37" s="9" t="s">
        <v>1397</v>
      </c>
      <c r="I37" s="9" t="s">
        <v>51</v>
      </c>
      <c r="J37" s="9" t="s">
        <v>51</v>
      </c>
      <c r="K37" s="9" t="s">
        <v>51</v>
      </c>
      <c r="L37" s="9" t="s">
        <v>51</v>
      </c>
      <c r="M37" t="s">
        <v>1397</v>
      </c>
      <c r="N37" t="str">
        <f t="shared" si="4"/>
        <v>Exclude</v>
      </c>
      <c r="O37" t="s">
        <v>4277</v>
      </c>
    </row>
    <row r="38" spans="1:15">
      <c r="A38" t="s">
        <v>4274</v>
      </c>
      <c r="B38" s="39" t="str">
        <f>HYPERLINK('citations-it1-studies'!$D46,'citations-it1-studies'!$B46)</f>
        <v>Orchestrating Embodied Systems through the Embodied Context Protocol: Motivation, Progress, and Directions.</v>
      </c>
      <c r="C38">
        <f>'citations-it1-studies'!$C46</f>
        <v>2025</v>
      </c>
      <c r="D38">
        <f>'citations-it1-studies'!$H46</f>
        <v>0</v>
      </c>
      <c r="E38" t="s">
        <v>1398</v>
      </c>
      <c r="F38" s="10" t="s">
        <v>51</v>
      </c>
      <c r="G38" s="10" t="s">
        <v>51</v>
      </c>
      <c r="H38" s="10" t="s">
        <v>1397</v>
      </c>
      <c r="I38" s="10" t="s">
        <v>1397</v>
      </c>
      <c r="J38" s="10" t="s">
        <v>51</v>
      </c>
      <c r="K38" s="10" t="s">
        <v>51</v>
      </c>
      <c r="L38" s="10" t="s">
        <v>51</v>
      </c>
      <c r="M38" t="s">
        <v>1397</v>
      </c>
      <c r="N38" t="str">
        <f t="shared" si="4"/>
        <v>Exclude</v>
      </c>
      <c r="O38" t="s">
        <v>4277</v>
      </c>
    </row>
    <row r="39" spans="1:15">
      <c r="A39" t="s">
        <v>4274</v>
      </c>
      <c r="B39" s="39" t="str">
        <f>HYPERLINK('citations-it1-studies'!$D47,'citations-it1-studies'!$B47)</f>
        <v>Functioning and Development of a Real-Time Information System for the Oil Treatment Technological Process Control</v>
      </c>
      <c r="C39">
        <f>'citations-it1-studies'!$C47</f>
        <v>2020</v>
      </c>
      <c r="D39">
        <f>'citations-it1-studies'!$H47</f>
        <v>6</v>
      </c>
      <c r="E39" t="s">
        <v>1398</v>
      </c>
      <c r="F39" s="9" t="s">
        <v>51</v>
      </c>
      <c r="G39" s="9" t="s">
        <v>51</v>
      </c>
      <c r="H39" s="9" t="s">
        <v>1397</v>
      </c>
      <c r="I39" s="9" t="s">
        <v>51</v>
      </c>
      <c r="J39" s="9" t="s">
        <v>51</v>
      </c>
      <c r="K39" s="9" t="s">
        <v>51</v>
      </c>
      <c r="L39" s="9" t="s">
        <v>51</v>
      </c>
      <c r="M39" t="s">
        <v>1397</v>
      </c>
      <c r="N39" t="str">
        <f t="shared" si="4"/>
        <v>Exclude</v>
      </c>
      <c r="O39" t="s">
        <v>4277</v>
      </c>
    </row>
    <row r="40" spans="1:15">
      <c r="A40" t="s">
        <v>4274</v>
      </c>
      <c r="B40" s="39" t="str">
        <f>HYPERLINK('citations-it1-studies'!$D48,'citations-it1-studies'!$B48)</f>
        <v>OPC UA PubSub and Industrial Controller Redundancy</v>
      </c>
      <c r="C40">
        <f>'citations-it1-studies'!$C48</f>
        <v>2024</v>
      </c>
      <c r="D40">
        <f>'citations-it1-studies'!$H48</f>
        <v>8</v>
      </c>
      <c r="E40" t="s">
        <v>1398</v>
      </c>
      <c r="F40" s="10" t="s">
        <v>51</v>
      </c>
      <c r="G40" s="10" t="s">
        <v>51</v>
      </c>
      <c r="H40" s="10" t="s">
        <v>51</v>
      </c>
      <c r="I40" s="10" t="s">
        <v>51</v>
      </c>
      <c r="J40" s="10" t="s">
        <v>51</v>
      </c>
      <c r="K40" s="10" t="s">
        <v>51</v>
      </c>
      <c r="L40" s="10" t="s">
        <v>1397</v>
      </c>
      <c r="M40" t="s">
        <v>1397</v>
      </c>
      <c r="N40" t="str">
        <f t="shared" si="4"/>
        <v>Exclude</v>
      </c>
      <c r="O40" t="s">
        <v>4280</v>
      </c>
    </row>
    <row r="41" spans="1:15">
      <c r="A41" t="s">
        <v>4274</v>
      </c>
      <c r="B41" s="39" t="str">
        <f>HYPERLINK('citations-it1-studies'!$D49,'citations-it1-studies'!$B49)</f>
        <v>Evaluation of quality of service parameters for MQTT communication in IoT application by using deep neural network</v>
      </c>
      <c r="C41">
        <f>'citations-it1-studies'!$C49</f>
        <v>2023</v>
      </c>
      <c r="D41">
        <f>'citations-it1-studies'!$H49</f>
        <v>14</v>
      </c>
      <c r="E41" t="s">
        <v>1398</v>
      </c>
      <c r="F41" s="9" t="s">
        <v>51</v>
      </c>
      <c r="G41" s="9" t="s">
        <v>51</v>
      </c>
      <c r="H41" s="9" t="s">
        <v>1397</v>
      </c>
      <c r="I41" s="9" t="s">
        <v>51</v>
      </c>
      <c r="J41" s="9" t="s">
        <v>51</v>
      </c>
      <c r="K41" s="9" t="s">
        <v>51</v>
      </c>
      <c r="L41" s="9" t="s">
        <v>51</v>
      </c>
      <c r="M41" t="s">
        <v>1397</v>
      </c>
      <c r="N41" t="str">
        <f t="shared" si="4"/>
        <v>Exclude</v>
      </c>
      <c r="O41" t="s">
        <v>4277</v>
      </c>
    </row>
    <row r="42" spans="1:15">
      <c r="A42" t="s">
        <v>4274</v>
      </c>
      <c r="B42" s="39" t="str">
        <f>HYPERLINK('citations-it1-studies'!$D50,'citations-it1-studies'!$B50)</f>
        <v>Game Theoretic Feedback Control for Reliability Enhancement of EtherCAT-Based Networked Systems</v>
      </c>
      <c r="C42">
        <f>'citations-it1-studies'!$C50</f>
        <v>2019</v>
      </c>
      <c r="D42">
        <f>'citations-it1-studies'!$H50</f>
        <v>12</v>
      </c>
      <c r="E42" t="s">
        <v>1398</v>
      </c>
      <c r="F42" s="10" t="s">
        <v>51</v>
      </c>
      <c r="G42" s="10" t="s">
        <v>51</v>
      </c>
      <c r="H42" s="10" t="s">
        <v>51</v>
      </c>
      <c r="I42" s="10" t="s">
        <v>51</v>
      </c>
      <c r="J42" s="10" t="s">
        <v>51</v>
      </c>
      <c r="K42" s="10" t="s">
        <v>51</v>
      </c>
      <c r="L42" s="10" t="s">
        <v>1397</v>
      </c>
      <c r="M42" t="s">
        <v>1397</v>
      </c>
      <c r="N42" t="str">
        <f t="shared" si="4"/>
        <v>Exclude</v>
      </c>
      <c r="O42" t="s">
        <v>4280</v>
      </c>
    </row>
    <row r="43" spans="1:15">
      <c r="A43" t="s">
        <v>4274</v>
      </c>
      <c r="B43" s="39" t="str">
        <f>HYPERLINK('citations-it1-studies'!$D51,'citations-it1-studies'!$B51)</f>
        <v>Centralized controlling of distributed PV systems using cloud and IoT technologies</v>
      </c>
      <c r="C43">
        <f>'citations-it1-studies'!$C51</f>
        <v>2023</v>
      </c>
      <c r="D43">
        <f>'citations-it1-studies'!$H51</f>
        <v>6</v>
      </c>
      <c r="E43" t="s">
        <v>1398</v>
      </c>
      <c r="F43" s="9" t="s">
        <v>51</v>
      </c>
      <c r="G43" s="9" t="s">
        <v>51</v>
      </c>
      <c r="H43" s="9" t="s">
        <v>1397</v>
      </c>
      <c r="I43" s="9" t="s">
        <v>51</v>
      </c>
      <c r="J43" s="9" t="s">
        <v>51</v>
      </c>
      <c r="K43" s="9" t="s">
        <v>51</v>
      </c>
      <c r="L43" s="9" t="s">
        <v>51</v>
      </c>
      <c r="M43" t="s">
        <v>1397</v>
      </c>
      <c r="N43" t="str">
        <f t="shared" si="4"/>
        <v>Exclude</v>
      </c>
      <c r="O43" t="s">
        <v>4277</v>
      </c>
    </row>
    <row r="44" spans="1:15">
      <c r="A44" t="s">
        <v>4274</v>
      </c>
      <c r="B44" s="39" t="str">
        <f>HYPERLINK('citations-it1-studies'!$D52,'citations-it1-studies'!$B52)</f>
        <v>A Thorough Analysis and Comparison of Data Communication Protocols Used in Industry 4.0: the Case of Smart-CNC</v>
      </c>
      <c r="C44">
        <f>'citations-it1-studies'!$C52</f>
        <v>2022</v>
      </c>
      <c r="D44">
        <f>'citations-it1-studies'!$H52</f>
        <v>8</v>
      </c>
      <c r="E44" t="s">
        <v>1398</v>
      </c>
      <c r="F44" s="10" t="s">
        <v>51</v>
      </c>
      <c r="G44" s="10" t="s">
        <v>51</v>
      </c>
      <c r="H44" s="10" t="s">
        <v>51</v>
      </c>
      <c r="I44" s="10" t="s">
        <v>51</v>
      </c>
      <c r="J44" s="10" t="s">
        <v>51</v>
      </c>
      <c r="K44" s="10" t="s">
        <v>51</v>
      </c>
      <c r="L44" s="10" t="s">
        <v>1397</v>
      </c>
      <c r="N44" t="str">
        <f t="shared" si="4"/>
        <v>Exclude</v>
      </c>
      <c r="O44" t="s">
        <v>4286</v>
      </c>
    </row>
    <row r="45" spans="1:15">
      <c r="A45" t="s">
        <v>4274</v>
      </c>
      <c r="B45" s="39" t="str">
        <f>HYPERLINK('citations-it1-studies'!$D53,'citations-it1-studies'!$B53)</f>
        <v>Redundancy for an all-in-one ISA100.11a Gateway: Protocol Design and Hardware Integration</v>
      </c>
      <c r="C45">
        <f>'citations-it1-studies'!$C53</f>
        <v>2019</v>
      </c>
      <c r="D45">
        <f>'citations-it1-studies'!$H53</f>
        <v>6</v>
      </c>
      <c r="E45" t="s">
        <v>1398</v>
      </c>
      <c r="F45" s="9" t="s">
        <v>51</v>
      </c>
      <c r="G45" s="9" t="s">
        <v>51</v>
      </c>
      <c r="H45" s="9" t="s">
        <v>51</v>
      </c>
      <c r="I45" s="9" t="s">
        <v>51</v>
      </c>
      <c r="J45" s="9" t="s">
        <v>51</v>
      </c>
      <c r="K45" s="9" t="s">
        <v>51</v>
      </c>
      <c r="L45" s="9" t="s">
        <v>1397</v>
      </c>
      <c r="M45" t="s">
        <v>1397</v>
      </c>
      <c r="N45" t="str">
        <f t="shared" si="4"/>
        <v>Exclude</v>
      </c>
      <c r="O45" t="s">
        <v>4280</v>
      </c>
    </row>
    <row r="46" spans="1:15">
      <c r="A46" t="s">
        <v>4274</v>
      </c>
      <c r="B46" s="39" t="str">
        <f>HYPERLINK('citations-it1-studies'!$D54,'citations-it1-studies'!$B54)</f>
        <v>Driving Factors Behind Adopting Virtual Testbeds for ICS Cybersecurity Education.</v>
      </c>
      <c r="C46">
        <f>'citations-it1-studies'!$C54</f>
        <v>2025</v>
      </c>
      <c r="D46">
        <f>'citations-it1-studies'!$H54</f>
        <v>7</v>
      </c>
      <c r="E46" t="s">
        <v>1398</v>
      </c>
      <c r="F46" s="10" t="s">
        <v>51</v>
      </c>
      <c r="G46" s="10" t="s">
        <v>51</v>
      </c>
      <c r="H46" s="10" t="s">
        <v>51</v>
      </c>
      <c r="I46" s="10" t="s">
        <v>51</v>
      </c>
      <c r="J46" s="10" t="s">
        <v>51</v>
      </c>
      <c r="K46" s="10" t="s">
        <v>51</v>
      </c>
      <c r="L46" s="10" t="s">
        <v>1397</v>
      </c>
      <c r="M46" t="s">
        <v>1397</v>
      </c>
      <c r="N46" t="str">
        <f t="shared" si="4"/>
        <v>Exclude</v>
      </c>
      <c r="O46" t="s">
        <v>4278</v>
      </c>
    </row>
    <row r="47" spans="1:15">
      <c r="A47" t="s">
        <v>4274</v>
      </c>
      <c r="B47" s="39" t="str">
        <f>HYPERLINK('citations-it1-studies'!$D55,'citations-it1-studies'!$B55)</f>
        <v>A platform-enabled CNC within edge-cloud environments: perspectives, challenges, and potential solutions</v>
      </c>
      <c r="C47">
        <f>'citations-it1-studies'!$C55</f>
        <v>2025</v>
      </c>
      <c r="D47">
        <f>'citations-it1-studies'!$H55</f>
        <v>17</v>
      </c>
      <c r="E47" t="s">
        <v>1398</v>
      </c>
      <c r="F47" s="9" t="s">
        <v>51</v>
      </c>
      <c r="G47" s="9" t="s">
        <v>51</v>
      </c>
      <c r="H47" s="9" t="s">
        <v>1397</v>
      </c>
      <c r="I47" s="9" t="s">
        <v>51</v>
      </c>
      <c r="J47" s="9" t="s">
        <v>51</v>
      </c>
      <c r="K47" s="9" t="s">
        <v>51</v>
      </c>
      <c r="L47" s="9" t="s">
        <v>51</v>
      </c>
      <c r="M47" t="s">
        <v>1397</v>
      </c>
      <c r="N47" t="str">
        <f t="shared" si="4"/>
        <v>Exclude</v>
      </c>
      <c r="O47" t="s">
        <v>4277</v>
      </c>
    </row>
    <row r="48" spans="1:15">
      <c r="A48" t="s">
        <v>4274</v>
      </c>
      <c r="B48" s="39" t="str">
        <f>HYPERLINK('citations-it1-studies'!$D56,'citations-it1-studies'!$B56)</f>
        <v>Voltage Regulation in Microgrids via Modulation Communication: A Distributed Output Consensus Approach</v>
      </c>
      <c r="C48">
        <f>'citations-it1-studies'!$C56</f>
        <v>2025</v>
      </c>
      <c r="D48">
        <f>'citations-it1-studies'!$H56</f>
        <v>10</v>
      </c>
      <c r="E48" t="s">
        <v>1398</v>
      </c>
      <c r="F48" s="10" t="s">
        <v>51</v>
      </c>
      <c r="G48" s="10" t="s">
        <v>51</v>
      </c>
      <c r="H48" s="10" t="s">
        <v>1397</v>
      </c>
      <c r="I48" s="10" t="s">
        <v>51</v>
      </c>
      <c r="J48" s="10" t="s">
        <v>51</v>
      </c>
      <c r="K48" s="10" t="s">
        <v>51</v>
      </c>
      <c r="L48" s="10" t="s">
        <v>51</v>
      </c>
      <c r="M48" t="s">
        <v>1397</v>
      </c>
      <c r="N48" t="str">
        <f t="shared" si="4"/>
        <v>Exclude</v>
      </c>
      <c r="O48" t="s">
        <v>4277</v>
      </c>
    </row>
    <row r="49" spans="1:15">
      <c r="A49" t="s">
        <v>4274</v>
      </c>
      <c r="B49" s="39" t="str">
        <f>HYPERLINK('citations-it1-studies'!$D57,'citations-it1-studies'!$B57)</f>
        <v>Trustworthy and Reliable Deep Learning-based Cyberattack Detection in Industrial IoT.</v>
      </c>
      <c r="C49">
        <f>'citations-it1-studies'!$C57</f>
        <v>2022</v>
      </c>
      <c r="D49">
        <f>'citations-it1-studies'!$H57</f>
        <v>9</v>
      </c>
      <c r="E49" t="s">
        <v>1398</v>
      </c>
      <c r="F49" s="9" t="s">
        <v>51</v>
      </c>
      <c r="G49" s="9" t="s">
        <v>51</v>
      </c>
      <c r="H49" s="9" t="s">
        <v>51</v>
      </c>
      <c r="I49" s="9" t="s">
        <v>51</v>
      </c>
      <c r="J49" s="9" t="s">
        <v>51</v>
      </c>
      <c r="K49" s="9" t="s">
        <v>51</v>
      </c>
      <c r="L49" s="9" t="s">
        <v>1397</v>
      </c>
      <c r="M49" t="s">
        <v>1397</v>
      </c>
      <c r="N49" t="str">
        <f t="shared" si="4"/>
        <v>Exclude</v>
      </c>
      <c r="O49" t="s">
        <v>4276</v>
      </c>
    </row>
    <row r="50" spans="1:15">
      <c r="A50" t="s">
        <v>4274</v>
      </c>
      <c r="B50" s="39" t="str">
        <f>HYPERLINK('citations-it1-studies'!$D58,'citations-it1-studies'!$B58)</f>
        <v>Characterizing the Real-Time Communication Performance of Virtual PLC in Industrial Edge Platform</v>
      </c>
      <c r="C50">
        <f>'citations-it1-studies'!$C58</f>
        <v>2025</v>
      </c>
      <c r="D50">
        <f>'citations-it1-studies'!$H58</f>
        <v>11</v>
      </c>
      <c r="E50" t="s">
        <v>1398</v>
      </c>
      <c r="F50" s="10" t="s">
        <v>51</v>
      </c>
      <c r="G50" s="10" t="s">
        <v>51</v>
      </c>
      <c r="H50" s="10" t="s">
        <v>51</v>
      </c>
      <c r="I50" s="10" t="s">
        <v>51</v>
      </c>
      <c r="J50" s="10" t="s">
        <v>51</v>
      </c>
      <c r="K50" s="10" t="s">
        <v>51</v>
      </c>
      <c r="L50" s="10" t="s">
        <v>51</v>
      </c>
      <c r="N50" t="str">
        <f t="shared" si="4"/>
        <v>Include</v>
      </c>
      <c r="O50" t="s">
        <v>4287</v>
      </c>
    </row>
    <row r="51" spans="1:15">
      <c r="A51" t="s">
        <v>4274</v>
      </c>
      <c r="B51" s="39" t="str">
        <f>HYPERLINK('citations-it1-studies'!$D60,'citations-it1-studies'!$B60)</f>
        <v>A Hybrid VLC/RF Parking Automation System</v>
      </c>
      <c r="C51">
        <f>'citations-it1-studies'!$C60</f>
        <v>2023</v>
      </c>
      <c r="D51">
        <f>'citations-it1-studies'!$H60</f>
        <v>19</v>
      </c>
      <c r="E51" t="s">
        <v>1398</v>
      </c>
      <c r="F51" s="10" t="s">
        <v>51</v>
      </c>
      <c r="G51" s="10" t="s">
        <v>51</v>
      </c>
      <c r="H51" s="10" t="s">
        <v>51</v>
      </c>
      <c r="I51" s="10" t="s">
        <v>51</v>
      </c>
      <c r="J51" s="10" t="s">
        <v>51</v>
      </c>
      <c r="K51" s="10" t="s">
        <v>51</v>
      </c>
      <c r="L51" s="10" t="s">
        <v>1397</v>
      </c>
      <c r="M51" t="s">
        <v>1397</v>
      </c>
      <c r="N51" t="str">
        <f t="shared" si="4"/>
        <v>Exclude</v>
      </c>
      <c r="O51" t="s">
        <v>4278</v>
      </c>
    </row>
    <row r="52" spans="1:15">
      <c r="A52" t="s">
        <v>4274</v>
      </c>
      <c r="B52" s="39" t="str">
        <f>HYPERLINK('citations-it1-studies'!$D62,'citations-it1-studies'!$B62)</f>
        <v>A Novel Industrial Software Model for Social Manufacturing</v>
      </c>
      <c r="C52">
        <f>'citations-it1-studies'!$C62</f>
        <v>2024</v>
      </c>
      <c r="D52">
        <f>'citations-it1-studies'!$H62</f>
        <v>0</v>
      </c>
      <c r="E52" t="s">
        <v>1398</v>
      </c>
      <c r="F52" s="9" t="s">
        <v>51</v>
      </c>
      <c r="G52" s="9" t="s">
        <v>51</v>
      </c>
      <c r="H52" s="9" t="s">
        <v>51</v>
      </c>
      <c r="I52" s="9" t="s">
        <v>1397</v>
      </c>
      <c r="J52" s="9" t="s">
        <v>51</v>
      </c>
      <c r="K52" s="9" t="s">
        <v>51</v>
      </c>
      <c r="L52" s="9" t="s">
        <v>1397</v>
      </c>
      <c r="M52" t="s">
        <v>1397</v>
      </c>
      <c r="N52" t="str">
        <f t="shared" si="4"/>
        <v>Exclude</v>
      </c>
      <c r="O52" t="s">
        <v>4278</v>
      </c>
    </row>
    <row r="53" spans="1:15">
      <c r="A53" t="s">
        <v>4274</v>
      </c>
      <c r="B53" s="39" t="str">
        <f>HYPERLINK('citations-it1-studies'!$D63,'citations-it1-studies'!$B63)</f>
        <v>A Systematic Review of Recent Advances in IoT-Based Sensor Networks for Warehouse Management</v>
      </c>
      <c r="C53">
        <f>'citations-it1-studies'!$C63</f>
        <v>2025</v>
      </c>
      <c r="D53">
        <f>'citations-it1-studies'!$H63</f>
        <v>0</v>
      </c>
      <c r="E53" t="s">
        <v>1398</v>
      </c>
      <c r="F53" s="10" t="s">
        <v>51</v>
      </c>
      <c r="G53" s="10" t="s">
        <v>51</v>
      </c>
      <c r="H53" s="10" t="s">
        <v>51</v>
      </c>
      <c r="I53" s="10" t="s">
        <v>1397</v>
      </c>
      <c r="J53" s="10" t="s">
        <v>1397</v>
      </c>
      <c r="K53" s="10" t="s">
        <v>51</v>
      </c>
      <c r="L53" s="10" t="s">
        <v>51</v>
      </c>
      <c r="M53" t="s">
        <v>1397</v>
      </c>
      <c r="N53" t="str">
        <f t="shared" si="4"/>
        <v>Exclude</v>
      </c>
      <c r="O53" t="s">
        <v>4281</v>
      </c>
    </row>
    <row r="54" spans="1:15">
      <c r="A54" t="s">
        <v>4274</v>
      </c>
      <c r="B54" s="39" t="str">
        <f>HYPERLINK('citations-it1-studies'!$D65,'citations-it1-studies'!$B65)</f>
        <v>Blake-2s based Improved Authentication Scheme for IEC 61850 GOOSE Messages</v>
      </c>
      <c r="C54">
        <f>'citations-it1-studies'!$C65</f>
        <v>2025</v>
      </c>
      <c r="D54">
        <f>'citations-it1-studies'!$H65</f>
        <v>6</v>
      </c>
      <c r="E54" t="s">
        <v>1398</v>
      </c>
      <c r="F54" s="9" t="s">
        <v>51</v>
      </c>
      <c r="G54" s="9" t="s">
        <v>51</v>
      </c>
      <c r="H54" s="9" t="s">
        <v>51</v>
      </c>
      <c r="I54" s="9" t="s">
        <v>51</v>
      </c>
      <c r="J54" s="9" t="s">
        <v>51</v>
      </c>
      <c r="K54" s="9" t="s">
        <v>51</v>
      </c>
      <c r="L54" s="9" t="s">
        <v>1397</v>
      </c>
      <c r="N54" t="str">
        <f t="shared" si="4"/>
        <v>Exclude</v>
      </c>
      <c r="O54" t="s">
        <v>4288</v>
      </c>
    </row>
    <row r="55" spans="1:15">
      <c r="A55" t="s">
        <v>4274</v>
      </c>
      <c r="B55" s="39" t="str">
        <f>HYPERLINK('citations-it1-studies'!$D67,'citations-it1-studies'!$B67)</f>
        <v>Communication in collaborating construction equipment</v>
      </c>
      <c r="C55">
        <f>'citations-it1-studies'!$C67</f>
        <v>2023</v>
      </c>
      <c r="D55">
        <f>'citations-it1-studies'!$H67</f>
        <v>10</v>
      </c>
      <c r="E55" t="s">
        <v>1398</v>
      </c>
      <c r="F55" s="10" t="s">
        <v>51</v>
      </c>
      <c r="G55" s="10" t="s">
        <v>51</v>
      </c>
      <c r="H55" s="10" t="s">
        <v>1397</v>
      </c>
      <c r="I55" s="10" t="s">
        <v>51</v>
      </c>
      <c r="J55" s="10" t="s">
        <v>51</v>
      </c>
      <c r="K55" s="10" t="s">
        <v>51</v>
      </c>
      <c r="L55" s="10" t="s">
        <v>51</v>
      </c>
      <c r="M55" t="s">
        <v>1397</v>
      </c>
      <c r="N55" t="str">
        <f t="shared" si="4"/>
        <v>Exclude</v>
      </c>
      <c r="O55" t="s">
        <v>4277</v>
      </c>
    </row>
    <row r="56" spans="1:15">
      <c r="A56" t="s">
        <v>4274</v>
      </c>
      <c r="B56" s="39" t="str">
        <f>HYPERLINK('citations-it1-studies'!$D68,'citations-it1-studies'!$B68)</f>
        <v>A Blockchain-Reinforced Federated Intrusion Detection Architecture for IIoT</v>
      </c>
      <c r="C56">
        <f>'citations-it1-studies'!$C68</f>
        <v>2024</v>
      </c>
      <c r="D56">
        <f>'citations-it1-studies'!$H68</f>
        <v>13</v>
      </c>
      <c r="E56" t="s">
        <v>1398</v>
      </c>
      <c r="F56" s="9" t="s">
        <v>51</v>
      </c>
      <c r="G56" s="9" t="s">
        <v>51</v>
      </c>
      <c r="H56" s="9" t="s">
        <v>51</v>
      </c>
      <c r="I56" s="9" t="s">
        <v>51</v>
      </c>
      <c r="J56" s="9" t="s">
        <v>51</v>
      </c>
      <c r="K56" s="9" t="s">
        <v>51</v>
      </c>
      <c r="L56" s="9" t="s">
        <v>1397</v>
      </c>
      <c r="M56" t="s">
        <v>1397</v>
      </c>
      <c r="N56" t="str">
        <f t="shared" si="4"/>
        <v>Exclude</v>
      </c>
      <c r="O56" t="s">
        <v>4276</v>
      </c>
    </row>
    <row r="57" spans="1:15">
      <c r="A57" t="s">
        <v>4274</v>
      </c>
      <c r="B57" s="39" t="str">
        <f>HYPERLINK('citations-it1-studies'!$D69,'citations-it1-studies'!$B69)</f>
        <v>OPC UA client-server connection over an ISO 11783 vehicle network</v>
      </c>
      <c r="C57">
        <f>'citations-it1-studies'!$C69</f>
        <v>2023</v>
      </c>
      <c r="D57">
        <f>'citations-it1-studies'!$H69</f>
        <v>12</v>
      </c>
      <c r="E57" t="s">
        <v>1398</v>
      </c>
      <c r="F57" s="10" t="s">
        <v>51</v>
      </c>
      <c r="G57" s="10" t="s">
        <v>51</v>
      </c>
      <c r="H57" s="10" t="s">
        <v>51</v>
      </c>
      <c r="I57" s="10" t="s">
        <v>51</v>
      </c>
      <c r="J57" s="10" t="s">
        <v>51</v>
      </c>
      <c r="K57" s="10" t="s">
        <v>51</v>
      </c>
      <c r="L57" s="10" t="s">
        <v>1397</v>
      </c>
      <c r="M57" t="s">
        <v>1397</v>
      </c>
      <c r="N57" t="str">
        <f t="shared" si="4"/>
        <v>Exclude</v>
      </c>
      <c r="O57" t="s">
        <v>4280</v>
      </c>
    </row>
    <row r="58" spans="1:15">
      <c r="A58" t="s">
        <v>4274</v>
      </c>
      <c r="B58" s="39" t="str">
        <f>HYPERLINK('citations-it1-studies'!$D71,'citations-it1-studies'!$B71)</f>
        <v>WiSEE - Wireless Transmission of Sensor Data over UWB in Spacecraft Payload Networks</v>
      </c>
      <c r="C58">
        <f>'citations-it1-studies'!$C71</f>
        <v>2018</v>
      </c>
      <c r="D58">
        <f>'citations-it1-studies'!$H71</f>
        <v>6</v>
      </c>
      <c r="E58" t="s">
        <v>1398</v>
      </c>
      <c r="F58" s="9" t="s">
        <v>51</v>
      </c>
      <c r="G58" s="9" t="s">
        <v>51</v>
      </c>
      <c r="H58" s="9" t="s">
        <v>1397</v>
      </c>
      <c r="I58" s="9" t="s">
        <v>51</v>
      </c>
      <c r="J58" s="9" t="s">
        <v>51</v>
      </c>
      <c r="K58" s="9" t="s">
        <v>51</v>
      </c>
      <c r="L58" s="9" t="s">
        <v>51</v>
      </c>
      <c r="M58" t="s">
        <v>1397</v>
      </c>
      <c r="N58" t="str">
        <f t="shared" si="4"/>
        <v>Exclude</v>
      </c>
      <c r="O58" t="s">
        <v>4277</v>
      </c>
    </row>
    <row r="59" spans="1:15">
      <c r="A59" t="s">
        <v>4274</v>
      </c>
      <c r="B59" s="39" t="str">
        <f>HYPERLINK('citations-it1-studies'!$D72,'citations-it1-studies'!$B72)</f>
        <v>The Digital Backbone of Manufacturing: A Framework for Network Protocol Selection</v>
      </c>
      <c r="C59">
        <f>'citations-it1-studies'!$C72</f>
        <v>2025</v>
      </c>
      <c r="D59">
        <f>'citations-it1-studies'!$H72</f>
        <v>0</v>
      </c>
      <c r="E59" t="s">
        <v>1398</v>
      </c>
      <c r="F59" s="10" t="s">
        <v>1397</v>
      </c>
      <c r="G59" s="10" t="s">
        <v>51</v>
      </c>
      <c r="H59" s="10" t="s">
        <v>51</v>
      </c>
      <c r="I59" s="10" t="s">
        <v>51</v>
      </c>
      <c r="J59" s="10" t="s">
        <v>51</v>
      </c>
      <c r="K59" s="10" t="s">
        <v>51</v>
      </c>
      <c r="L59" s="10" t="s">
        <v>51</v>
      </c>
      <c r="N59" t="str">
        <f t="shared" si="4"/>
        <v>Exclude</v>
      </c>
      <c r="O59" t="s">
        <v>4289</v>
      </c>
    </row>
    <row r="60" spans="1:15">
      <c r="A60" t="s">
        <v>4274</v>
      </c>
      <c r="B60" s="39" t="str">
        <f>HYPERLINK('citations-it1-studies'!$D73,'citations-it1-studies'!$B73)</f>
        <v>ETFA - Clock Synchronization in Integrated TSN-EtherCAT Networks</v>
      </c>
      <c r="C60">
        <f>'citations-it1-studies'!$C73</f>
        <v>2020</v>
      </c>
      <c r="D60">
        <f>'citations-it1-studies'!$H73</f>
        <v>8</v>
      </c>
      <c r="E60" t="s">
        <v>1398</v>
      </c>
      <c r="F60" s="9" t="s">
        <v>51</v>
      </c>
      <c r="G60" s="9" t="s">
        <v>51</v>
      </c>
      <c r="H60" s="9" t="s">
        <v>51</v>
      </c>
      <c r="I60" s="9" t="s">
        <v>51</v>
      </c>
      <c r="J60" s="9" t="s">
        <v>51</v>
      </c>
      <c r="K60" s="9" t="s">
        <v>51</v>
      </c>
      <c r="L60" s="9" t="s">
        <v>1397</v>
      </c>
      <c r="M60" t="s">
        <v>1397</v>
      </c>
      <c r="N60" t="str">
        <f t="shared" si="4"/>
        <v>Exclude</v>
      </c>
      <c r="O60" t="s">
        <v>4280</v>
      </c>
    </row>
    <row r="61" spans="1:15">
      <c r="A61" t="s">
        <v>4274</v>
      </c>
      <c r="B61" s="39" t="str">
        <f>HYPERLINK('citations-it1-studies'!$D74,'citations-it1-studies'!$B74)</f>
        <v>End-to-End Visual Control Framework in Wireless TSN Networks for Industrial IoT</v>
      </c>
      <c r="C61">
        <f>'citations-it1-studies'!$C74</f>
        <v>2025</v>
      </c>
      <c r="D61">
        <f>'citations-it1-studies'!$H74</f>
        <v>14</v>
      </c>
      <c r="E61" t="s">
        <v>1398</v>
      </c>
      <c r="F61" s="10" t="s">
        <v>51</v>
      </c>
      <c r="G61" s="10" t="s">
        <v>51</v>
      </c>
      <c r="H61" s="10" t="s">
        <v>51</v>
      </c>
      <c r="I61" s="10" t="s">
        <v>51</v>
      </c>
      <c r="J61" s="10" t="s">
        <v>51</v>
      </c>
      <c r="K61" s="10" t="s">
        <v>51</v>
      </c>
      <c r="L61" s="10" t="s">
        <v>1397</v>
      </c>
      <c r="N61" t="str">
        <f t="shared" si="4"/>
        <v>Exclude</v>
      </c>
      <c r="O61" t="s">
        <v>4290</v>
      </c>
    </row>
    <row r="62" spans="1:15">
      <c r="A62" t="s">
        <v>4274</v>
      </c>
      <c r="B62" s="39" t="str">
        <f>HYPERLINK('citations-it1-studies'!$D75,'citations-it1-studies'!$B75)</f>
        <v>Beyond the Virtual PLC Networking Constraints: MACvLAN Approach in Industrial Environments</v>
      </c>
      <c r="C62">
        <f>'citations-it1-studies'!$C75</f>
        <v>2025</v>
      </c>
      <c r="D62">
        <f>'citations-it1-studies'!$H75</f>
        <v>6</v>
      </c>
      <c r="E62" t="s">
        <v>1398</v>
      </c>
      <c r="F62" s="9" t="s">
        <v>51</v>
      </c>
      <c r="G62" s="9" t="s">
        <v>51</v>
      </c>
      <c r="H62" s="9" t="s">
        <v>51</v>
      </c>
      <c r="I62" s="9" t="s">
        <v>51</v>
      </c>
      <c r="J62" s="9" t="s">
        <v>51</v>
      </c>
      <c r="K62" s="9" t="s">
        <v>51</v>
      </c>
      <c r="L62" s="9" t="s">
        <v>1397</v>
      </c>
      <c r="M62" t="s">
        <v>1397</v>
      </c>
      <c r="N62" t="str">
        <f t="shared" si="4"/>
        <v>Exclude</v>
      </c>
      <c r="O62" t="s">
        <v>4278</v>
      </c>
    </row>
    <row r="63" spans="1:15">
      <c r="A63" t="s">
        <v>4274</v>
      </c>
      <c r="B63" s="39" t="str">
        <f>HYPERLINK('citations-it1-studies'!$D76,'citations-it1-studies'!$B76)</f>
        <v>A Study on 28 GHz Power Amplifiers for Industrial Revolution 4.0 Compatible 5G NR FR2 IoT Transceivers</v>
      </c>
      <c r="C63">
        <f>'citations-it1-studies'!$C76</f>
        <v>2023</v>
      </c>
      <c r="D63">
        <f>'citations-it1-studies'!$H76</f>
        <v>6</v>
      </c>
      <c r="E63" t="s">
        <v>1398</v>
      </c>
      <c r="F63" s="10" t="s">
        <v>51</v>
      </c>
      <c r="G63" s="10" t="s">
        <v>51</v>
      </c>
      <c r="H63" s="10" t="s">
        <v>51</v>
      </c>
      <c r="I63" s="10" t="s">
        <v>51</v>
      </c>
      <c r="J63" s="10" t="s">
        <v>51</v>
      </c>
      <c r="K63" s="10" t="s">
        <v>51</v>
      </c>
      <c r="L63" s="10" t="s">
        <v>1397</v>
      </c>
      <c r="M63" t="s">
        <v>1397</v>
      </c>
      <c r="N63" t="str">
        <f t="shared" ref="N63:N125" si="5">IF(COUNTIF(F63:M63,"X")&gt;0,"Exclude",IF(UPPER(TRIM(E63))="O","Include",""))</f>
        <v>Exclude</v>
      </c>
      <c r="O63" t="s">
        <v>4278</v>
      </c>
    </row>
    <row r="64" spans="1:15">
      <c r="A64" t="s">
        <v>4274</v>
      </c>
      <c r="B64" s="39" t="str">
        <f>HYPERLINK('citations-it1-studies'!$D78,'citations-it1-studies'!$B78)</f>
        <v>Asset Management Method of Industrial IoT Systems for Cyber-Security Countermeasures</v>
      </c>
      <c r="C64">
        <f>'citations-it1-studies'!$C78</f>
        <v>2021</v>
      </c>
      <c r="D64">
        <f>'citations-it1-studies'!$H78</f>
        <v>0</v>
      </c>
      <c r="E64" t="s">
        <v>1398</v>
      </c>
      <c r="F64" s="9" t="s">
        <v>51</v>
      </c>
      <c r="G64" s="9" t="s">
        <v>51</v>
      </c>
      <c r="H64" s="9" t="s">
        <v>51</v>
      </c>
      <c r="I64" s="9" t="s">
        <v>1397</v>
      </c>
      <c r="J64" s="9" t="s">
        <v>51</v>
      </c>
      <c r="K64" s="9" t="s">
        <v>51</v>
      </c>
      <c r="L64" s="9" t="s">
        <v>1397</v>
      </c>
      <c r="M64" t="s">
        <v>1397</v>
      </c>
      <c r="N64" t="str">
        <f t="shared" si="5"/>
        <v>Exclude</v>
      </c>
      <c r="O64" t="s">
        <v>4278</v>
      </c>
    </row>
    <row r="65" spans="1:15">
      <c r="A65" t="s">
        <v>4274</v>
      </c>
      <c r="B65" s="39" t="str">
        <f>HYPERLINK('citations-it1-studies'!$D79,'citations-it1-studies'!$B79)</f>
        <v>A threat intelligence framework for protecting smart satellite-based healthcare networks</v>
      </c>
      <c r="C65">
        <f>'citations-it1-studies'!$C79</f>
        <v>2021</v>
      </c>
      <c r="D65">
        <f>'citations-it1-studies'!$H79</f>
        <v>21</v>
      </c>
      <c r="E65" t="s">
        <v>1398</v>
      </c>
      <c r="F65" s="10" t="s">
        <v>51</v>
      </c>
      <c r="G65" s="10" t="s">
        <v>51</v>
      </c>
      <c r="H65" s="10" t="s">
        <v>1397</v>
      </c>
      <c r="I65" s="10" t="s">
        <v>51</v>
      </c>
      <c r="J65" s="10" t="s">
        <v>51</v>
      </c>
      <c r="K65" s="10" t="s">
        <v>51</v>
      </c>
      <c r="L65" s="10" t="s">
        <v>51</v>
      </c>
      <c r="M65" t="s">
        <v>1397</v>
      </c>
      <c r="N65" t="str">
        <f t="shared" si="5"/>
        <v>Exclude</v>
      </c>
      <c r="O65" t="s">
        <v>4277</v>
      </c>
    </row>
    <row r="66" spans="1:15">
      <c r="A66" t="s">
        <v>4274</v>
      </c>
      <c r="B66" s="39" t="str">
        <f>HYPERLINK('citations-it1-studies'!$D80,'citations-it1-studies'!$B80)</f>
        <v>Performance Analysis of OPC UA for Industrial Interoperability towards Industry 4.0</v>
      </c>
      <c r="C66">
        <f>'citations-it1-studies'!$C80</f>
        <v>2022</v>
      </c>
      <c r="D66">
        <f>'citations-it1-studies'!$H80</f>
        <v>19</v>
      </c>
      <c r="E66" t="s">
        <v>1398</v>
      </c>
      <c r="F66" s="9" t="s">
        <v>51</v>
      </c>
      <c r="G66" s="9" t="s">
        <v>51</v>
      </c>
      <c r="H66" s="9" t="s">
        <v>51</v>
      </c>
      <c r="I66" s="9" t="s">
        <v>51</v>
      </c>
      <c r="J66" s="9" t="s">
        <v>51</v>
      </c>
      <c r="K66" s="9" t="s">
        <v>51</v>
      </c>
      <c r="L66" s="9" t="s">
        <v>51</v>
      </c>
      <c r="N66" t="str">
        <f t="shared" si="5"/>
        <v>Include</v>
      </c>
      <c r="O66" t="s">
        <v>4291</v>
      </c>
    </row>
    <row r="67" spans="1:15">
      <c r="A67" t="s">
        <v>4274</v>
      </c>
      <c r="B67" s="39" t="str">
        <f>HYPERLINK('citations-it1-studies'!$D81,'citations-it1-studies'!$B81)</f>
        <v>Benchmark and Design Support for Demand-Oriented Cloud-Communication Architectures of Cyber-Physical Production Systems</v>
      </c>
      <c r="C67">
        <f>'citations-it1-studies'!$C81</f>
        <v>2023</v>
      </c>
      <c r="D67">
        <f>'citations-it1-studies'!$H81</f>
        <v>8</v>
      </c>
      <c r="E67" t="s">
        <v>1398</v>
      </c>
      <c r="F67" s="10" t="s">
        <v>51</v>
      </c>
      <c r="G67" s="10" t="s">
        <v>51</v>
      </c>
      <c r="H67" s="10" t="s">
        <v>1397</v>
      </c>
      <c r="I67" s="10" t="s">
        <v>51</v>
      </c>
      <c r="J67" s="10" t="s">
        <v>51</v>
      </c>
      <c r="K67" s="10" t="s">
        <v>51</v>
      </c>
      <c r="L67" s="10" t="s">
        <v>51</v>
      </c>
      <c r="M67" t="s">
        <v>1397</v>
      </c>
      <c r="N67" t="str">
        <f t="shared" si="5"/>
        <v>Exclude</v>
      </c>
      <c r="O67" t="s">
        <v>4277</v>
      </c>
    </row>
    <row r="68" spans="1:15">
      <c r="A68" t="s">
        <v>4274</v>
      </c>
      <c r="B68" s="39" t="str">
        <f>HYPERLINK('citations-it1-studies'!$D82,'citations-it1-studies'!$B82)</f>
        <v>A Real Network Performance Analysis Testbed for Encrypted MQTT in DMS</v>
      </c>
      <c r="C68">
        <f>'citations-it1-studies'!$C82</f>
        <v>2024</v>
      </c>
      <c r="D68">
        <f>'citations-it1-studies'!$H82</f>
        <v>6</v>
      </c>
      <c r="E68" t="s">
        <v>1398</v>
      </c>
      <c r="F68" s="9" t="s">
        <v>51</v>
      </c>
      <c r="G68" s="9" t="s">
        <v>51</v>
      </c>
      <c r="H68" s="9" t="s">
        <v>1397</v>
      </c>
      <c r="I68" s="9" t="s">
        <v>51</v>
      </c>
      <c r="J68" s="9" t="s">
        <v>51</v>
      </c>
      <c r="K68" s="9" t="s">
        <v>51</v>
      </c>
      <c r="L68" s="9" t="s">
        <v>51</v>
      </c>
      <c r="M68" t="s">
        <v>1397</v>
      </c>
      <c r="N68" t="str">
        <f t="shared" si="5"/>
        <v>Exclude</v>
      </c>
      <c r="O68" t="s">
        <v>4277</v>
      </c>
    </row>
    <row r="69" spans="1:15">
      <c r="A69" t="s">
        <v>4274</v>
      </c>
      <c r="B69" s="39" t="str">
        <f>HYPERLINK('citations-it1-studies'!$D83,'citations-it1-studies'!$B83)</f>
        <v>ДОСЛІДЖЕННЯ ЕФЕКТИВНОСТІ ВИКОРИСТАННЯ РОЗПОДІЛЕНИХ БАЗ ДАНИХ В СИСТЕМАХ IIOT</v>
      </c>
      <c r="C69">
        <f>'citations-it1-studies'!$C83</f>
        <v>2022</v>
      </c>
      <c r="D69">
        <f>'citations-it1-studies'!$H83</f>
        <v>7</v>
      </c>
      <c r="E69" t="s">
        <v>1398</v>
      </c>
      <c r="F69" s="10" t="s">
        <v>51</v>
      </c>
      <c r="G69" s="10" t="s">
        <v>1397</v>
      </c>
      <c r="H69" s="10" t="s">
        <v>51</v>
      </c>
      <c r="I69" s="10" t="s">
        <v>51</v>
      </c>
      <c r="J69" s="10" t="s">
        <v>51</v>
      </c>
      <c r="K69" s="10" t="s">
        <v>51</v>
      </c>
      <c r="L69" s="10" t="s">
        <v>51</v>
      </c>
      <c r="M69" t="s">
        <v>1397</v>
      </c>
      <c r="N69" t="str">
        <f t="shared" si="5"/>
        <v>Exclude</v>
      </c>
      <c r="O69" t="s">
        <v>4282</v>
      </c>
    </row>
    <row r="70" spans="1:15">
      <c r="A70" t="s">
        <v>4274</v>
      </c>
      <c r="B70" s="39" t="str">
        <f>HYPERLINK('citations-it1-studies'!$D84,'citations-it1-studies'!$B84)</f>
        <v>Performance Evaluation of an IEEE 802.11g Network in an Industrial Environment</v>
      </c>
      <c r="C70">
        <f>'citations-it1-studies'!$C84</f>
        <v>2020</v>
      </c>
      <c r="D70">
        <f>'citations-it1-studies'!$H84</f>
        <v>7</v>
      </c>
      <c r="E70" t="s">
        <v>1398</v>
      </c>
      <c r="F70" s="9" t="s">
        <v>51</v>
      </c>
      <c r="G70" s="9" t="s">
        <v>51</v>
      </c>
      <c r="H70" s="9" t="s">
        <v>51</v>
      </c>
      <c r="I70" s="9" t="s">
        <v>51</v>
      </c>
      <c r="J70" s="9" t="s">
        <v>51</v>
      </c>
      <c r="K70" s="9" t="s">
        <v>51</v>
      </c>
      <c r="L70" s="9" t="s">
        <v>1397</v>
      </c>
      <c r="N70" t="str">
        <f t="shared" si="5"/>
        <v>Exclude</v>
      </c>
      <c r="O70" t="s">
        <v>4292</v>
      </c>
    </row>
    <row r="71" spans="1:15">
      <c r="A71" t="s">
        <v>4274</v>
      </c>
      <c r="B71" s="39" t="str">
        <f>HYPERLINK('citations-it1-studies'!$D85,'citations-it1-studies'!$B85)</f>
        <v>Improving Fault Tolerance and Tackling Broker Failure in MQTT through Blockchain</v>
      </c>
      <c r="C71">
        <f>'citations-it1-studies'!$C85</f>
        <v>2023</v>
      </c>
      <c r="D71">
        <f>'citations-it1-studies'!$H85</f>
        <v>6</v>
      </c>
      <c r="E71" t="s">
        <v>1398</v>
      </c>
      <c r="F71" s="10" t="s">
        <v>51</v>
      </c>
      <c r="G71" s="10" t="s">
        <v>51</v>
      </c>
      <c r="H71" s="10" t="s">
        <v>1397</v>
      </c>
      <c r="I71" s="10" t="s">
        <v>51</v>
      </c>
      <c r="J71" s="10" t="s">
        <v>51</v>
      </c>
      <c r="K71" s="10" t="s">
        <v>51</v>
      </c>
      <c r="L71" s="10" t="s">
        <v>51</v>
      </c>
      <c r="M71" t="s">
        <v>1397</v>
      </c>
      <c r="N71" t="str">
        <f t="shared" si="5"/>
        <v>Exclude</v>
      </c>
      <c r="O71" t="s">
        <v>4277</v>
      </c>
    </row>
    <row r="72" spans="1:15">
      <c r="A72" t="s">
        <v>4274</v>
      </c>
      <c r="B72" s="39" t="str">
        <f>HYPERLINK('citations-it1-studies'!$D87,'citations-it1-studies'!$B87)</f>
        <v>Time Sensitive Networking for Future Enabling Technologies: Overview and Measurement Issues for Metrological Characterization</v>
      </c>
      <c r="C72">
        <f>'citations-it1-studies'!$C87</f>
        <v>2024</v>
      </c>
      <c r="D72">
        <f>'citations-it1-studies'!$H87</f>
        <v>6</v>
      </c>
      <c r="E72" t="s">
        <v>1398</v>
      </c>
      <c r="F72" s="9" t="s">
        <v>51</v>
      </c>
      <c r="G72" s="9" t="s">
        <v>51</v>
      </c>
      <c r="H72" s="9" t="s">
        <v>51</v>
      </c>
      <c r="I72" s="9" t="s">
        <v>51</v>
      </c>
      <c r="J72" s="9" t="s">
        <v>1397</v>
      </c>
      <c r="K72" s="9" t="s">
        <v>51</v>
      </c>
      <c r="L72" s="9" t="s">
        <v>51</v>
      </c>
      <c r="M72" t="s">
        <v>1397</v>
      </c>
      <c r="N72" t="str">
        <f t="shared" si="5"/>
        <v>Exclude</v>
      </c>
      <c r="O72" t="s">
        <v>4281</v>
      </c>
    </row>
    <row r="73" spans="1:15">
      <c r="A73" t="s">
        <v>4274</v>
      </c>
      <c r="B73" s="39" t="str">
        <f>HYPERLINK('citations-it1-studies'!$D88,'citations-it1-studies'!$B88)</f>
        <v>On the integration of OPC UA over Wired – Wireless Time Sensitive Networking</v>
      </c>
      <c r="C73">
        <f>'citations-it1-studies'!$C88</f>
        <v>2023</v>
      </c>
      <c r="D73">
        <f>'citations-it1-studies'!$H88</f>
        <v>6</v>
      </c>
      <c r="E73" t="s">
        <v>1398</v>
      </c>
      <c r="F73" s="10" t="s">
        <v>51</v>
      </c>
      <c r="G73" s="10" t="s">
        <v>51</v>
      </c>
      <c r="H73" s="10" t="s">
        <v>51</v>
      </c>
      <c r="I73" s="10" t="s">
        <v>51</v>
      </c>
      <c r="J73" s="10" t="s">
        <v>51</v>
      </c>
      <c r="K73" s="10" t="s">
        <v>51</v>
      </c>
      <c r="L73" s="10" t="s">
        <v>1397</v>
      </c>
      <c r="M73" t="s">
        <v>1397</v>
      </c>
      <c r="N73" t="str">
        <f t="shared" si="5"/>
        <v>Exclude</v>
      </c>
      <c r="O73" t="s">
        <v>4280</v>
      </c>
    </row>
    <row r="74" spans="1:15">
      <c r="A74" t="s">
        <v>4274</v>
      </c>
      <c r="B74" s="39" t="str">
        <f>HYPERLINK('citations-it1-studies'!$D90,'citations-it1-studies'!$B90)</f>
        <v>An Innovative Digital Twin of Integrated Transportation and Power Networks for Efficient Scheduling of Autonomous Electric Vehicles</v>
      </c>
      <c r="C74">
        <f>'citations-it1-studies'!$C90</f>
        <v>2024</v>
      </c>
      <c r="D74">
        <f>'citations-it1-studies'!$H90</f>
        <v>5</v>
      </c>
      <c r="E74" t="s">
        <v>1398</v>
      </c>
      <c r="F74" s="9" t="s">
        <v>51</v>
      </c>
      <c r="G74" s="9" t="s">
        <v>51</v>
      </c>
      <c r="H74" s="9" t="s">
        <v>1397</v>
      </c>
      <c r="I74" s="9" t="s">
        <v>51</v>
      </c>
      <c r="J74" s="9" t="s">
        <v>51</v>
      </c>
      <c r="K74" s="9" t="s">
        <v>51</v>
      </c>
      <c r="L74" s="9" t="s">
        <v>51</v>
      </c>
      <c r="M74" t="s">
        <v>1397</v>
      </c>
      <c r="N74" t="str">
        <f t="shared" si="5"/>
        <v>Exclude</v>
      </c>
      <c r="O74" t="s">
        <v>4277</v>
      </c>
    </row>
    <row r="75" spans="1:15">
      <c r="A75" t="s">
        <v>4274</v>
      </c>
      <c r="B75" s="39" t="str">
        <f>HYPERLINK('citations-it1-studies'!$D91,'citations-it1-studies'!$B91)</f>
        <v>A Comprehensive Review on 5G IIoT Test-Beds</v>
      </c>
      <c r="C75">
        <f>'citations-it1-studies'!$C91</f>
        <v>2025</v>
      </c>
      <c r="D75">
        <f>'citations-it1-studies'!$H91</f>
        <v>25</v>
      </c>
      <c r="E75" t="s">
        <v>1398</v>
      </c>
      <c r="F75" s="10" t="s">
        <v>51</v>
      </c>
      <c r="G75" s="10" t="s">
        <v>51</v>
      </c>
      <c r="H75" s="10" t="s">
        <v>51</v>
      </c>
      <c r="I75" s="10" t="s">
        <v>51</v>
      </c>
      <c r="J75" s="10" t="s">
        <v>1397</v>
      </c>
      <c r="K75" s="10" t="s">
        <v>51</v>
      </c>
      <c r="L75" s="10" t="s">
        <v>51</v>
      </c>
      <c r="M75" t="s">
        <v>1397</v>
      </c>
      <c r="N75" t="str">
        <f t="shared" si="5"/>
        <v>Exclude</v>
      </c>
      <c r="O75" t="s">
        <v>4281</v>
      </c>
    </row>
    <row r="76" spans="1:15">
      <c r="A76" t="s">
        <v>4274</v>
      </c>
      <c r="B76" s="39" t="str">
        <f>HYPERLINK('citations-it1-studies'!$D93,'citations-it1-studies'!$B93)</f>
        <v>Implementing and using smart maintenance technologies: Introducing challenges and enablers related to human, organizational and technological perspectives</v>
      </c>
      <c r="C76">
        <f>'citations-it1-studies'!$C93</f>
        <v>2025</v>
      </c>
      <c r="D76">
        <f>'citations-it1-studies'!$H93</f>
        <v>10</v>
      </c>
      <c r="E76" t="s">
        <v>1398</v>
      </c>
      <c r="F76" s="9" t="s">
        <v>51</v>
      </c>
      <c r="G76" s="9" t="s">
        <v>51</v>
      </c>
      <c r="H76" s="9" t="s">
        <v>1397</v>
      </c>
      <c r="I76" s="9" t="s">
        <v>51</v>
      </c>
      <c r="J76" s="9" t="s">
        <v>51</v>
      </c>
      <c r="K76" s="9" t="s">
        <v>51</v>
      </c>
      <c r="L76" s="9" t="s">
        <v>51</v>
      </c>
      <c r="M76" t="s">
        <v>1397</v>
      </c>
      <c r="N76" t="str">
        <f t="shared" si="5"/>
        <v>Exclude</v>
      </c>
      <c r="O76" t="s">
        <v>4277</v>
      </c>
    </row>
    <row r="77" spans="1:15">
      <c r="A77" t="s">
        <v>4274</v>
      </c>
      <c r="B77" s="39" t="str">
        <f>HYPERLINK('citations-it1-studies'!$D94,'citations-it1-studies'!$B94)</f>
        <v>Performance evaluation of industrial Ethernet protocols for networked control application</v>
      </c>
      <c r="C77">
        <f>'citations-it1-studies'!$C94</f>
        <v>2019</v>
      </c>
      <c r="D77">
        <f>'citations-it1-studies'!$H94</f>
        <v>10</v>
      </c>
      <c r="E77" t="s">
        <v>1398</v>
      </c>
      <c r="F77" s="10" t="s">
        <v>51</v>
      </c>
      <c r="G77" s="10" t="s">
        <v>51</v>
      </c>
      <c r="H77" s="10" t="s">
        <v>51</v>
      </c>
      <c r="I77" s="10" t="s">
        <v>51</v>
      </c>
      <c r="J77" s="10" t="s">
        <v>51</v>
      </c>
      <c r="K77" s="10" t="s">
        <v>51</v>
      </c>
      <c r="L77" s="10" t="s">
        <v>51</v>
      </c>
      <c r="N77" t="str">
        <f t="shared" si="5"/>
        <v>Include</v>
      </c>
      <c r="O77" t="s">
        <v>4293</v>
      </c>
    </row>
    <row r="78" spans="1:15">
      <c r="A78" t="s">
        <v>4274</v>
      </c>
      <c r="B78" s="39" t="str">
        <f>HYPERLINK('citations-it1-studies'!$D95,'citations-it1-studies'!$B95)</f>
        <v>Comprehensive Exploration of IoT Communication Protocol: CoAP, MQTT, HTTP, LoRaWAN and AMQP</v>
      </c>
      <c r="C78">
        <f>'citations-it1-studies'!$C95</f>
        <v>2024</v>
      </c>
      <c r="D78">
        <f>'citations-it1-studies'!$H95</f>
        <v>14</v>
      </c>
      <c r="E78" t="s">
        <v>1398</v>
      </c>
      <c r="F78" s="9" t="s">
        <v>51</v>
      </c>
      <c r="G78" s="9" t="s">
        <v>51</v>
      </c>
      <c r="H78" s="9" t="s">
        <v>1397</v>
      </c>
      <c r="I78" s="9" t="s">
        <v>51</v>
      </c>
      <c r="J78" s="9" t="s">
        <v>51</v>
      </c>
      <c r="K78" s="9" t="s">
        <v>51</v>
      </c>
      <c r="L78" s="9" t="s">
        <v>51</v>
      </c>
      <c r="M78" t="s">
        <v>1397</v>
      </c>
      <c r="N78" t="str">
        <f t="shared" si="5"/>
        <v>Exclude</v>
      </c>
      <c r="O78" t="s">
        <v>4277</v>
      </c>
    </row>
    <row r="79" spans="1:15">
      <c r="A79" t="s">
        <v>4274</v>
      </c>
      <c r="B79" s="39" t="str">
        <f>HYPERLINK('citations-it1-studies'!$D96,'citations-it1-studies'!$B96)</f>
        <v>System architecture for small‐scale personalized production lines based on industrial Internet</v>
      </c>
      <c r="C79">
        <f>'citations-it1-studies'!$C96</f>
        <v>2024</v>
      </c>
      <c r="D79">
        <f>'citations-it1-studies'!$H96</f>
        <v>0</v>
      </c>
      <c r="E79" t="s">
        <v>1398</v>
      </c>
      <c r="F79" s="10" t="s">
        <v>51</v>
      </c>
      <c r="G79" s="10" t="s">
        <v>51</v>
      </c>
      <c r="H79" s="10" t="s">
        <v>51</v>
      </c>
      <c r="I79" s="10" t="s">
        <v>1397</v>
      </c>
      <c r="J79" s="10" t="s">
        <v>51</v>
      </c>
      <c r="K79" s="10" t="s">
        <v>51</v>
      </c>
      <c r="L79" s="10" t="s">
        <v>1397</v>
      </c>
      <c r="M79" t="s">
        <v>1397</v>
      </c>
      <c r="N79" t="str">
        <f t="shared" si="5"/>
        <v>Exclude</v>
      </c>
      <c r="O79" t="s">
        <v>4278</v>
      </c>
    </row>
    <row r="80" spans="1:15">
      <c r="A80" t="s">
        <v>4274</v>
      </c>
      <c r="B80" s="39" t="str">
        <f>HYPERLINK('citations-it1-studies'!$D98,'citations-it1-studies'!$B98)</f>
        <v>Encryption for Industrial Control Systems: A Survey of Application-Level and Network-Level Approaches in Smart Grids</v>
      </c>
      <c r="C80">
        <f>'citations-it1-studies'!$C98</f>
        <v>2026</v>
      </c>
      <c r="D80">
        <f>'citations-it1-studies'!$H98</f>
        <v>0</v>
      </c>
      <c r="E80" t="s">
        <v>1398</v>
      </c>
      <c r="F80" s="9" t="s">
        <v>51</v>
      </c>
      <c r="G80" s="9" t="s">
        <v>51</v>
      </c>
      <c r="H80" s="9" t="s">
        <v>51</v>
      </c>
      <c r="I80" s="9" t="s">
        <v>1397</v>
      </c>
      <c r="J80" s="9" t="s">
        <v>1397</v>
      </c>
      <c r="K80" s="9" t="s">
        <v>51</v>
      </c>
      <c r="L80" s="9" t="s">
        <v>51</v>
      </c>
      <c r="M80" t="s">
        <v>1397</v>
      </c>
      <c r="N80" t="str">
        <f t="shared" si="5"/>
        <v>Exclude</v>
      </c>
      <c r="O80" t="s">
        <v>4281</v>
      </c>
    </row>
    <row r="81" spans="1:15">
      <c r="A81" t="s">
        <v>4274</v>
      </c>
      <c r="B81" s="39" t="str">
        <f>HYPERLINK('citations-it1-studies'!$D101,'citations-it1-studies'!$B101)</f>
        <v>Design of Cloud-Edge-Gateway Collaborative Zero-Trust Architecture and Workflow for Smart Factories</v>
      </c>
      <c r="C81">
        <f>'citations-it1-studies'!$C101</f>
        <v>2024</v>
      </c>
      <c r="D81">
        <f>'citations-it1-studies'!$H101</f>
        <v>5</v>
      </c>
      <c r="E81" t="s">
        <v>1398</v>
      </c>
      <c r="F81" s="10" t="s">
        <v>51</v>
      </c>
      <c r="G81" s="10" t="s">
        <v>51</v>
      </c>
      <c r="H81" s="10" t="s">
        <v>1397</v>
      </c>
      <c r="I81" s="10" t="s">
        <v>51</v>
      </c>
      <c r="J81" s="10" t="s">
        <v>51</v>
      </c>
      <c r="K81" s="10" t="s">
        <v>51</v>
      </c>
      <c r="L81" s="10" t="s">
        <v>51</v>
      </c>
      <c r="M81" t="s">
        <v>1397</v>
      </c>
      <c r="N81" t="str">
        <f t="shared" si="5"/>
        <v>Exclude</v>
      </c>
      <c r="O81" t="s">
        <v>4277</v>
      </c>
    </row>
    <row r="82" spans="1:15">
      <c r="A82" t="s">
        <v>4274</v>
      </c>
      <c r="B82" s="39" t="str">
        <f>HYPERLINK('citations-it1-studies'!$D102,'citations-it1-studies'!$B102)</f>
        <v>Performance Evaluation of Application Layer IoT Protocols: MQTT and CoAP</v>
      </c>
      <c r="C82">
        <f>'citations-it1-studies'!$C102</f>
        <v>2024</v>
      </c>
      <c r="D82">
        <f>'citations-it1-studies'!$H102</f>
        <v>6</v>
      </c>
      <c r="E82" t="s">
        <v>1398</v>
      </c>
      <c r="F82" s="9" t="s">
        <v>51</v>
      </c>
      <c r="G82" s="9" t="s">
        <v>51</v>
      </c>
      <c r="H82" s="9" t="s">
        <v>1397</v>
      </c>
      <c r="I82" s="9" t="s">
        <v>51</v>
      </c>
      <c r="J82" s="9" t="s">
        <v>51</v>
      </c>
      <c r="K82" s="9" t="s">
        <v>51</v>
      </c>
      <c r="L82" s="9" t="s">
        <v>51</v>
      </c>
      <c r="M82" t="s">
        <v>1397</v>
      </c>
      <c r="N82" t="str">
        <f t="shared" si="5"/>
        <v>Exclude</v>
      </c>
      <c r="O82" t="s">
        <v>4277</v>
      </c>
    </row>
    <row r="83" spans="1:15">
      <c r="A83" t="s">
        <v>4274</v>
      </c>
      <c r="B83" s="39" t="str">
        <f>HYPERLINK('citations-it1-studies'!$D103,'citations-it1-studies'!$B103)</f>
        <v>Mitigating 3D printing defects via cyber-physical systems: a process for fabricating defect-free components</v>
      </c>
      <c r="C83">
        <f>'citations-it1-studies'!$C103</f>
        <v>2025</v>
      </c>
      <c r="D83">
        <f>'citations-it1-studies'!$H103</f>
        <v>22</v>
      </c>
      <c r="E83" t="s">
        <v>1398</v>
      </c>
      <c r="F83" s="10" t="s">
        <v>51</v>
      </c>
      <c r="G83" s="10" t="s">
        <v>51</v>
      </c>
      <c r="H83" s="10" t="s">
        <v>1397</v>
      </c>
      <c r="I83" s="10" t="s">
        <v>51</v>
      </c>
      <c r="J83" s="10" t="s">
        <v>51</v>
      </c>
      <c r="K83" s="10" t="s">
        <v>51</v>
      </c>
      <c r="L83" s="10" t="s">
        <v>51</v>
      </c>
      <c r="M83" t="s">
        <v>1397</v>
      </c>
      <c r="N83" t="str">
        <f t="shared" si="5"/>
        <v>Exclude</v>
      </c>
      <c r="O83" t="s">
        <v>4277</v>
      </c>
    </row>
    <row r="84" spans="1:15">
      <c r="A84" t="s">
        <v>4274</v>
      </c>
      <c r="B84" s="39" t="str">
        <f>HYPERLINK('citations-it1-studies'!$D104,'citations-it1-studies'!$B104)</f>
        <v>Environment Monitoring Subsystem Based on Recursive InterNetwork Architecture</v>
      </c>
      <c r="C84">
        <f>'citations-it1-studies'!$C104</f>
        <v>2024</v>
      </c>
      <c r="D84">
        <f>'citations-it1-studies'!$H104</f>
        <v>19</v>
      </c>
      <c r="E84" t="s">
        <v>1398</v>
      </c>
      <c r="F84" s="9" t="s">
        <v>51</v>
      </c>
      <c r="G84" s="9" t="s">
        <v>51</v>
      </c>
      <c r="H84" s="9" t="s">
        <v>1397</v>
      </c>
      <c r="I84" s="9" t="s">
        <v>51</v>
      </c>
      <c r="J84" s="9" t="s">
        <v>51</v>
      </c>
      <c r="K84" s="9" t="s">
        <v>51</v>
      </c>
      <c r="L84" s="9" t="s">
        <v>51</v>
      </c>
      <c r="M84" t="s">
        <v>1397</v>
      </c>
      <c r="N84" t="str">
        <f t="shared" si="5"/>
        <v>Exclude</v>
      </c>
      <c r="O84" t="s">
        <v>4277</v>
      </c>
    </row>
    <row r="85" spans="1:15">
      <c r="A85" t="s">
        <v>4274</v>
      </c>
      <c r="B85" s="39" t="str">
        <f>HYPERLINK('citations-it1-studies'!$D105,'citations-it1-studies'!$B105)</f>
        <v>When the digital twin meets the preventive conservation of movable wooden artifacts</v>
      </c>
      <c r="C85">
        <f>'citations-it1-studies'!$C105</f>
        <v>2023</v>
      </c>
      <c r="D85">
        <f>'citations-it1-studies'!$H105</f>
        <v>0</v>
      </c>
      <c r="E85" t="s">
        <v>1398</v>
      </c>
      <c r="F85" s="10" t="s">
        <v>51</v>
      </c>
      <c r="G85" s="10" t="s">
        <v>51</v>
      </c>
      <c r="H85" s="10" t="s">
        <v>1397</v>
      </c>
      <c r="I85" s="10" t="s">
        <v>1397</v>
      </c>
      <c r="J85" s="10" t="s">
        <v>51</v>
      </c>
      <c r="K85" s="10" t="s">
        <v>51</v>
      </c>
      <c r="L85" s="10" t="s">
        <v>51</v>
      </c>
      <c r="M85" t="s">
        <v>1397</v>
      </c>
      <c r="N85" t="str">
        <f t="shared" si="5"/>
        <v>Exclude</v>
      </c>
      <c r="O85" t="s">
        <v>4277</v>
      </c>
    </row>
    <row r="86" spans="1:15">
      <c r="A86" t="s">
        <v>4274</v>
      </c>
      <c r="B86" s="39" t="str">
        <f>HYPERLINK('citations-it1-studies'!$D106,'citations-it1-studies'!$B106)</f>
        <v>Deep Learning Applications for Blockchain in Industrial IoT</v>
      </c>
      <c r="C86">
        <f>'citations-it1-studies'!$C106</f>
        <v>2022</v>
      </c>
      <c r="D86">
        <f>'citations-it1-studies'!$H106</f>
        <v>6</v>
      </c>
      <c r="E86" t="s">
        <v>1398</v>
      </c>
      <c r="F86" s="9" t="s">
        <v>51</v>
      </c>
      <c r="G86" s="9" t="s">
        <v>51</v>
      </c>
      <c r="H86" s="9" t="s">
        <v>51</v>
      </c>
      <c r="I86" s="9" t="s">
        <v>51</v>
      </c>
      <c r="J86" s="9" t="s">
        <v>51</v>
      </c>
      <c r="K86" s="9" t="s">
        <v>51</v>
      </c>
      <c r="L86" s="9" t="s">
        <v>1397</v>
      </c>
      <c r="M86" t="s">
        <v>1397</v>
      </c>
      <c r="N86" t="str">
        <f t="shared" si="5"/>
        <v>Exclude</v>
      </c>
      <c r="O86" t="s">
        <v>4276</v>
      </c>
    </row>
    <row r="87" spans="1:15">
      <c r="A87" t="s">
        <v>4274</v>
      </c>
      <c r="B87" s="39" t="str">
        <f>HYPERLINK('citations-it1-studies'!$D107,'citations-it1-studies'!$B107)</f>
        <v>Edge Computing: Use Cases and Research Challenges</v>
      </c>
      <c r="C87">
        <f>'citations-it1-studies'!$C107</f>
        <v>2023</v>
      </c>
      <c r="D87">
        <f>'citations-it1-studies'!$H107</f>
        <v>18</v>
      </c>
      <c r="E87" t="s">
        <v>1398</v>
      </c>
      <c r="F87" s="10" t="s">
        <v>51</v>
      </c>
      <c r="G87" s="10" t="s">
        <v>51</v>
      </c>
      <c r="H87" s="10" t="s">
        <v>1397</v>
      </c>
      <c r="I87" s="10" t="s">
        <v>51</v>
      </c>
      <c r="J87" s="10" t="s">
        <v>51</v>
      </c>
      <c r="K87" s="10" t="s">
        <v>51</v>
      </c>
      <c r="L87" s="10" t="s">
        <v>51</v>
      </c>
      <c r="M87" t="s">
        <v>1397</v>
      </c>
      <c r="N87" t="str">
        <f t="shared" si="5"/>
        <v>Exclude</v>
      </c>
      <c r="O87" t="s">
        <v>4277</v>
      </c>
    </row>
    <row r="88" spans="1:15">
      <c r="A88" t="s">
        <v>4274</v>
      </c>
      <c r="B88" s="39" t="str">
        <f>HYPERLINK('citations-it1-studies'!$D108,'citations-it1-studies'!$B108)</f>
        <v>Data Security and Privacy in Industrial IoT</v>
      </c>
      <c r="C88">
        <f>'citations-it1-studies'!$C108</f>
        <v>2021</v>
      </c>
      <c r="D88">
        <f>'citations-it1-studies'!$H108</f>
        <v>19</v>
      </c>
      <c r="E88" t="s">
        <v>1398</v>
      </c>
      <c r="F88" s="9" t="s">
        <v>51</v>
      </c>
      <c r="G88" s="9" t="s">
        <v>51</v>
      </c>
      <c r="H88" s="9" t="s">
        <v>51</v>
      </c>
      <c r="I88" s="9" t="s">
        <v>51</v>
      </c>
      <c r="J88" s="9" t="s">
        <v>51</v>
      </c>
      <c r="K88" s="9" t="s">
        <v>51</v>
      </c>
      <c r="L88" s="9" t="s">
        <v>1397</v>
      </c>
      <c r="M88" t="s">
        <v>1397</v>
      </c>
      <c r="N88" t="str">
        <f t="shared" si="5"/>
        <v>Exclude</v>
      </c>
      <c r="O88" t="s">
        <v>4278</v>
      </c>
    </row>
    <row r="89" spans="1:15">
      <c r="A89" t="s">
        <v>4274</v>
      </c>
      <c r="B89" s="39" t="str">
        <f>HYPERLINK('citations-it1-studies'!$D109,'citations-it1-studies'!$B109)</f>
        <v>Cloud Computing for High Voltage Substation Based Relay Protection</v>
      </c>
      <c r="C89">
        <f>'citations-it1-studies'!$C109</f>
        <v>2024</v>
      </c>
      <c r="D89">
        <f>'citations-it1-studies'!$H109</f>
        <v>7</v>
      </c>
      <c r="E89" t="s">
        <v>1398</v>
      </c>
      <c r="F89" s="10" t="s">
        <v>51</v>
      </c>
      <c r="G89" s="10" t="s">
        <v>51</v>
      </c>
      <c r="H89" s="10" t="s">
        <v>51</v>
      </c>
      <c r="I89" s="10" t="s">
        <v>51</v>
      </c>
      <c r="J89" s="10" t="s">
        <v>51</v>
      </c>
      <c r="K89" s="10" t="s">
        <v>51</v>
      </c>
      <c r="L89" s="10" t="s">
        <v>1397</v>
      </c>
      <c r="M89" t="s">
        <v>1397</v>
      </c>
      <c r="N89" t="str">
        <f t="shared" si="5"/>
        <v>Exclude</v>
      </c>
      <c r="O89" t="s">
        <v>4278</v>
      </c>
    </row>
    <row r="90" spans="1:15">
      <c r="A90" t="s">
        <v>4274</v>
      </c>
      <c r="B90" s="39" t="str">
        <f>HYPERLINK('citations-it1-studies'!$D110,'citations-it1-studies'!$B110)</f>
        <v>An Online Model to Minimize Energy Consumption of IoT Sensors in Smart Cities</v>
      </c>
      <c r="C90">
        <f>'citations-it1-studies'!$C110</f>
        <v>2022</v>
      </c>
      <c r="D90">
        <f>'citations-it1-studies'!$H110</f>
        <v>9</v>
      </c>
      <c r="E90" t="s">
        <v>1398</v>
      </c>
      <c r="F90" s="9" t="s">
        <v>51</v>
      </c>
      <c r="G90" s="9" t="s">
        <v>51</v>
      </c>
      <c r="H90" s="9" t="s">
        <v>1397</v>
      </c>
      <c r="I90" s="9" t="s">
        <v>51</v>
      </c>
      <c r="J90" s="9" t="s">
        <v>51</v>
      </c>
      <c r="K90" s="9" t="s">
        <v>51</v>
      </c>
      <c r="L90" s="9" t="s">
        <v>51</v>
      </c>
      <c r="M90" t="s">
        <v>1397</v>
      </c>
      <c r="N90" t="str">
        <f t="shared" si="5"/>
        <v>Exclude</v>
      </c>
      <c r="O90" t="s">
        <v>4277</v>
      </c>
    </row>
    <row r="91" spans="1:15">
      <c r="A91" t="s">
        <v>4274</v>
      </c>
      <c r="B91" s="39" t="str">
        <f>HYPERLINK('citations-it1-studies'!$D111,'citations-it1-studies'!$B111)</f>
        <v>Model of a Device-Level Combined Wireless Network Based on NB-IoT and IEEE 802.15.4 Standards for Low-Power Applications in a Diverse IoT Framework.</v>
      </c>
      <c r="C91">
        <f>'citations-it1-studies'!$C111</f>
        <v>2021</v>
      </c>
      <c r="D91">
        <f>'citations-it1-studies'!$H111</f>
        <v>0</v>
      </c>
      <c r="E91" t="s">
        <v>1398</v>
      </c>
      <c r="F91" s="10" t="s">
        <v>51</v>
      </c>
      <c r="G91" s="10" t="s">
        <v>51</v>
      </c>
      <c r="H91" s="10" t="s">
        <v>1397</v>
      </c>
      <c r="I91" s="10" t="s">
        <v>1397</v>
      </c>
      <c r="J91" s="10" t="s">
        <v>51</v>
      </c>
      <c r="K91" s="10" t="s">
        <v>51</v>
      </c>
      <c r="L91" s="10" t="s">
        <v>51</v>
      </c>
      <c r="M91" t="s">
        <v>1397</v>
      </c>
      <c r="N91" t="str">
        <f t="shared" si="5"/>
        <v>Exclude</v>
      </c>
      <c r="O91" t="s">
        <v>4277</v>
      </c>
    </row>
    <row r="92" spans="1:15">
      <c r="A92" t="s">
        <v>4274</v>
      </c>
      <c r="B92" s="39" t="str">
        <f>HYPERLINK('citations-it1-studies'!$D113,'citations-it1-studies'!$B113)</f>
        <v>Joint Security-Reliability Performance Optimization in Low-Latency Industrial IoT Networks</v>
      </c>
      <c r="C92">
        <f>'citations-it1-studies'!$C113</f>
        <v>2025</v>
      </c>
      <c r="D92">
        <f>'citations-it1-studies'!$H113</f>
        <v>5</v>
      </c>
      <c r="E92" t="s">
        <v>1398</v>
      </c>
      <c r="F92" s="9" t="s">
        <v>51</v>
      </c>
      <c r="G92" s="9" t="s">
        <v>51</v>
      </c>
      <c r="H92" s="9" t="s">
        <v>51</v>
      </c>
      <c r="I92" s="9" t="s">
        <v>51</v>
      </c>
      <c r="J92" s="9" t="s">
        <v>51</v>
      </c>
      <c r="K92" s="9" t="s">
        <v>51</v>
      </c>
      <c r="L92" s="9" t="s">
        <v>1397</v>
      </c>
      <c r="N92" t="str">
        <f t="shared" si="5"/>
        <v>Exclude</v>
      </c>
      <c r="O92" t="s">
        <v>4294</v>
      </c>
    </row>
    <row r="93" spans="1:15">
      <c r="A93" t="s">
        <v>4274</v>
      </c>
      <c r="B93" s="39" t="str">
        <f>HYPERLINK('citations-it1-studies'!$D114,'citations-it1-studies'!$B114)</f>
        <v>Identifying key attacks on an IEEE 9-Bus System by leveraging the MITRE ATT&amp;CK ICS Matrix</v>
      </c>
      <c r="C93">
        <f>'citations-it1-studies'!$C114</f>
        <v>2025</v>
      </c>
      <c r="D93">
        <f>'citations-it1-studies'!$H114</f>
        <v>8</v>
      </c>
      <c r="E93" t="s">
        <v>1398</v>
      </c>
      <c r="F93" s="10" t="s">
        <v>51</v>
      </c>
      <c r="G93" s="10" t="s">
        <v>51</v>
      </c>
      <c r="H93" s="10" t="s">
        <v>51</v>
      </c>
      <c r="I93" s="10" t="s">
        <v>51</v>
      </c>
      <c r="J93" s="10" t="s">
        <v>51</v>
      </c>
      <c r="K93" s="10" t="s">
        <v>51</v>
      </c>
      <c r="L93" s="10" t="s">
        <v>1397</v>
      </c>
      <c r="M93" t="s">
        <v>1397</v>
      </c>
      <c r="N93" t="str">
        <f t="shared" si="5"/>
        <v>Exclude</v>
      </c>
      <c r="O93" t="s">
        <v>4278</v>
      </c>
    </row>
    <row r="94" spans="1:15">
      <c r="A94" t="s">
        <v>4274</v>
      </c>
      <c r="B94" s="39" t="str">
        <f>HYPERLINK('citations-it1-studies'!$D116,'citations-it1-studies'!$B116)</f>
        <v>Engineering Interoperable, Plug-and-Play, Distributed, Robotic Control Systems for Futureproof Fusion Power Plants</v>
      </c>
      <c r="C94">
        <f>'citations-it1-studies'!$C116</f>
        <v>2021</v>
      </c>
      <c r="D94">
        <f>'citations-it1-studies'!$H116</f>
        <v>0</v>
      </c>
      <c r="E94" t="s">
        <v>1398</v>
      </c>
      <c r="F94" s="9" t="s">
        <v>51</v>
      </c>
      <c r="G94" s="9" t="s">
        <v>51</v>
      </c>
      <c r="H94" s="9" t="s">
        <v>1397</v>
      </c>
      <c r="I94" s="9" t="s">
        <v>1397</v>
      </c>
      <c r="J94" s="9" t="s">
        <v>51</v>
      </c>
      <c r="K94" s="9" t="s">
        <v>51</v>
      </c>
      <c r="L94" s="9" t="s">
        <v>51</v>
      </c>
      <c r="M94" t="s">
        <v>1397</v>
      </c>
      <c r="N94" t="str">
        <f t="shared" si="5"/>
        <v>Exclude</v>
      </c>
      <c r="O94" t="s">
        <v>4277</v>
      </c>
    </row>
    <row r="95" spans="1:15">
      <c r="A95" t="s">
        <v>4274</v>
      </c>
      <c r="B95" s="39" t="str">
        <f>HYPERLINK('citations-it1-studies'!$D117,'citations-it1-studies'!$B117)</f>
        <v>Cybersecurity Testbeds for IoT: A Systematic Literature Review and Taxonomy</v>
      </c>
      <c r="C95">
        <f>'citations-it1-studies'!$C117</f>
        <v>2024</v>
      </c>
      <c r="D95">
        <f>'citations-it1-studies'!$H117</f>
        <v>24</v>
      </c>
      <c r="E95" t="s">
        <v>1398</v>
      </c>
      <c r="F95" s="10" t="s">
        <v>51</v>
      </c>
      <c r="G95" s="10" t="s">
        <v>51</v>
      </c>
      <c r="H95" s="10" t="s">
        <v>51</v>
      </c>
      <c r="I95" s="10" t="s">
        <v>51</v>
      </c>
      <c r="J95" s="10" t="s">
        <v>1397</v>
      </c>
      <c r="K95" s="10" t="s">
        <v>51</v>
      </c>
      <c r="L95" s="10" t="s">
        <v>51</v>
      </c>
      <c r="M95" t="s">
        <v>1397</v>
      </c>
      <c r="N95" t="str">
        <f t="shared" si="5"/>
        <v>Exclude</v>
      </c>
      <c r="O95" t="s">
        <v>4281</v>
      </c>
    </row>
    <row r="96" spans="1:15">
      <c r="A96" t="s">
        <v>4274</v>
      </c>
      <c r="B96" s="39" t="str">
        <f>HYPERLINK('citations-it1-studies'!$D118,'citations-it1-studies'!$B118)</f>
        <v>A systematic literature review: Messaging protocols and electronic platforms used in the internet of things for the purpose of building smart homes</v>
      </c>
      <c r="C96">
        <f>'citations-it1-studies'!$C118</f>
        <v>2023</v>
      </c>
      <c r="D96">
        <f>'citations-it1-studies'!$H118</f>
        <v>10</v>
      </c>
      <c r="E96" t="s">
        <v>1398</v>
      </c>
      <c r="F96" s="9" t="s">
        <v>51</v>
      </c>
      <c r="G96" s="9" t="s">
        <v>51</v>
      </c>
      <c r="H96" s="9" t="s">
        <v>51</v>
      </c>
      <c r="I96" s="9" t="s">
        <v>51</v>
      </c>
      <c r="J96" s="9" t="s">
        <v>1397</v>
      </c>
      <c r="K96" s="9" t="s">
        <v>51</v>
      </c>
      <c r="L96" s="9" t="s">
        <v>51</v>
      </c>
      <c r="M96" t="s">
        <v>1397</v>
      </c>
      <c r="N96" t="str">
        <f t="shared" si="5"/>
        <v>Exclude</v>
      </c>
      <c r="O96" t="s">
        <v>4281</v>
      </c>
    </row>
    <row r="97" spans="1:15">
      <c r="A97" t="s">
        <v>4274</v>
      </c>
      <c r="B97" s="39" t="str">
        <f>HYPERLINK('citations-it1-studies'!$D119,'citations-it1-studies'!$B119)</f>
        <v>Data-Based Process Monitoring for Structural Bonding of Fiber-Reinforced Thermoplastics in Aviation</v>
      </c>
      <c r="C97">
        <f>'citations-it1-studies'!$C119</f>
        <v>2025</v>
      </c>
      <c r="D97">
        <f>'citations-it1-studies'!$H119</f>
        <v>6</v>
      </c>
      <c r="E97" t="s">
        <v>1398</v>
      </c>
      <c r="F97" s="10" t="s">
        <v>51</v>
      </c>
      <c r="G97" s="10" t="s">
        <v>51</v>
      </c>
      <c r="H97" s="10" t="s">
        <v>1397</v>
      </c>
      <c r="I97" s="10" t="s">
        <v>51</v>
      </c>
      <c r="J97" s="10" t="s">
        <v>51</v>
      </c>
      <c r="K97" s="10" t="s">
        <v>51</v>
      </c>
      <c r="L97" s="10" t="s">
        <v>51</v>
      </c>
      <c r="M97" t="s">
        <v>1397</v>
      </c>
      <c r="N97" t="str">
        <f t="shared" si="5"/>
        <v>Exclude</v>
      </c>
      <c r="O97" t="s">
        <v>4277</v>
      </c>
    </row>
    <row r="98" spans="1:15">
      <c r="A98" t="s">
        <v>4274</v>
      </c>
      <c r="B98" s="39" t="str">
        <f>HYPERLINK('citations-it1-studies'!$D120,'citations-it1-studies'!$B120)</f>
        <v>Smart Tree: An Architectural, Greening and ICT Multidisciplinary Approach to Smart Campus Environments.</v>
      </c>
      <c r="C98">
        <f>'citations-it1-studies'!$C120</f>
        <v>2021</v>
      </c>
      <c r="D98">
        <f>'citations-it1-studies'!$H120</f>
        <v>0</v>
      </c>
      <c r="E98" t="s">
        <v>1398</v>
      </c>
      <c r="F98" s="9" t="s">
        <v>51</v>
      </c>
      <c r="G98" s="9" t="s">
        <v>51</v>
      </c>
      <c r="H98" s="9" t="s">
        <v>1397</v>
      </c>
      <c r="I98" s="9" t="s">
        <v>1397</v>
      </c>
      <c r="J98" s="9" t="s">
        <v>51</v>
      </c>
      <c r="K98" s="9" t="s">
        <v>51</v>
      </c>
      <c r="L98" s="9" t="s">
        <v>51</v>
      </c>
      <c r="M98" t="s">
        <v>1397</v>
      </c>
      <c r="N98" t="str">
        <f t="shared" si="5"/>
        <v>Exclude</v>
      </c>
      <c r="O98" t="s">
        <v>4277</v>
      </c>
    </row>
    <row r="99" spans="1:15">
      <c r="A99" t="s">
        <v>4274</v>
      </c>
      <c r="B99" s="39" t="str">
        <f>HYPERLINK('citations-it1-studies'!$D121,'citations-it1-studies'!$B121)</f>
        <v>The Nexus Between Digital Transformation and Economic Efficiency: Evidence from Selected Countries</v>
      </c>
      <c r="C99">
        <f>'citations-it1-studies'!$C121</f>
        <v>2023</v>
      </c>
      <c r="D99">
        <f>'citations-it1-studies'!$H121</f>
        <v>10</v>
      </c>
      <c r="E99" t="s">
        <v>1398</v>
      </c>
      <c r="F99" s="10" t="s">
        <v>51</v>
      </c>
      <c r="G99" s="10" t="s">
        <v>51</v>
      </c>
      <c r="H99" s="10" t="s">
        <v>1397</v>
      </c>
      <c r="I99" s="10" t="s">
        <v>51</v>
      </c>
      <c r="J99" s="10" t="s">
        <v>51</v>
      </c>
      <c r="K99" s="10" t="s">
        <v>51</v>
      </c>
      <c r="L99" s="10" t="s">
        <v>51</v>
      </c>
      <c r="M99" t="s">
        <v>1397</v>
      </c>
      <c r="N99" t="str">
        <f t="shared" si="5"/>
        <v>Exclude</v>
      </c>
      <c r="O99" t="s">
        <v>4277</v>
      </c>
    </row>
    <row r="100" spans="1:15">
      <c r="A100" t="s">
        <v>4274</v>
      </c>
      <c r="B100" s="39" t="str">
        <f>HYPERLINK('citations-it1-studies'!$D123,'citations-it1-studies'!$B123)</f>
        <v>Methods and means of conflict-free data exchange in the group of mobile robotic platforms</v>
      </c>
      <c r="C100">
        <f>'citations-it1-studies'!$C123</f>
        <v>2024</v>
      </c>
      <c r="D100">
        <f>'citations-it1-studies'!$H123</f>
        <v>11</v>
      </c>
      <c r="E100" t="s">
        <v>1398</v>
      </c>
      <c r="F100" s="9" t="s">
        <v>51</v>
      </c>
      <c r="G100" s="9" t="s">
        <v>51</v>
      </c>
      <c r="H100" s="9" t="s">
        <v>1397</v>
      </c>
      <c r="I100" s="9" t="s">
        <v>51</v>
      </c>
      <c r="J100" s="9" t="s">
        <v>51</v>
      </c>
      <c r="K100" s="9" t="s">
        <v>51</v>
      </c>
      <c r="L100" s="9" t="s">
        <v>51</v>
      </c>
      <c r="M100" t="s">
        <v>1397</v>
      </c>
      <c r="N100" t="str">
        <f t="shared" si="5"/>
        <v>Exclude</v>
      </c>
      <c r="O100" t="s">
        <v>4277</v>
      </c>
    </row>
    <row r="101" spans="1:15">
      <c r="A101" t="s">
        <v>4274</v>
      </c>
      <c r="B101" s="39" t="str">
        <f>HYPERLINK('citations-it1-studies'!$D124,'citations-it1-studies'!$B124)</f>
        <v>A Survey on Industrial Internet With ISA100 Wireless</v>
      </c>
      <c r="C101">
        <f>'citations-it1-studies'!$C124</f>
        <v>2020</v>
      </c>
      <c r="D101">
        <f>'citations-it1-studies'!$H124</f>
        <v>20</v>
      </c>
      <c r="E101" t="s">
        <v>1398</v>
      </c>
      <c r="F101" s="10" t="s">
        <v>51</v>
      </c>
      <c r="G101" s="10" t="s">
        <v>51</v>
      </c>
      <c r="H101" s="10" t="s">
        <v>51</v>
      </c>
      <c r="I101" s="10" t="s">
        <v>51</v>
      </c>
      <c r="J101" s="10" t="s">
        <v>1397</v>
      </c>
      <c r="K101" s="10" t="s">
        <v>51</v>
      </c>
      <c r="L101" s="10" t="s">
        <v>51</v>
      </c>
      <c r="M101" t="s">
        <v>1397</v>
      </c>
      <c r="N101" t="str">
        <f t="shared" si="5"/>
        <v>Exclude</v>
      </c>
      <c r="O101" t="s">
        <v>4281</v>
      </c>
    </row>
    <row r="102" spans="1:15">
      <c r="A102" t="s">
        <v>4274</v>
      </c>
      <c r="B102" s="39" t="str">
        <f>HYPERLINK('citations-it1-studies'!$D125,'citations-it1-studies'!$B125)</f>
        <v>A Comprehensive Systematic Survey of IoT Protocols: Implications for Data Quality and Performance</v>
      </c>
      <c r="C102">
        <f>'citations-it1-studies'!$C125</f>
        <v>2025</v>
      </c>
      <c r="D102">
        <f>'citations-it1-studies'!$H125</f>
        <v>30</v>
      </c>
      <c r="E102" t="s">
        <v>1398</v>
      </c>
      <c r="F102" s="9" t="s">
        <v>51</v>
      </c>
      <c r="G102" s="9" t="s">
        <v>51</v>
      </c>
      <c r="H102" s="9" t="s">
        <v>51</v>
      </c>
      <c r="I102" s="9" t="s">
        <v>51</v>
      </c>
      <c r="J102" s="9" t="s">
        <v>1397</v>
      </c>
      <c r="K102" s="9" t="s">
        <v>51</v>
      </c>
      <c r="L102" s="9" t="s">
        <v>51</v>
      </c>
      <c r="M102" t="s">
        <v>1397</v>
      </c>
      <c r="N102" t="str">
        <f t="shared" si="5"/>
        <v>Exclude</v>
      </c>
      <c r="O102" t="s">
        <v>4281</v>
      </c>
    </row>
    <row r="103" spans="1:15">
      <c r="A103" t="s">
        <v>4274</v>
      </c>
      <c r="B103" s="39" t="str">
        <f>HYPERLINK('citations-it1-studies'!$D127,'citations-it1-studies'!$B127)</f>
        <v>Wide area, IoT-based PID control of slow systems over LoRaWAN</v>
      </c>
      <c r="C103">
        <f>'citations-it1-studies'!$C127</f>
        <v>2025</v>
      </c>
      <c r="D103">
        <f>'citations-it1-studies'!$H127</f>
        <v>6</v>
      </c>
      <c r="E103" t="s">
        <v>1398</v>
      </c>
      <c r="F103" s="10" t="s">
        <v>51</v>
      </c>
      <c r="G103" s="10" t="s">
        <v>51</v>
      </c>
      <c r="H103" s="10" t="s">
        <v>1397</v>
      </c>
      <c r="I103" s="10" t="s">
        <v>51</v>
      </c>
      <c r="J103" s="10" t="s">
        <v>51</v>
      </c>
      <c r="K103" s="10" t="s">
        <v>51</v>
      </c>
      <c r="L103" s="10" t="s">
        <v>51</v>
      </c>
      <c r="M103" t="s">
        <v>1397</v>
      </c>
      <c r="N103" t="str">
        <f t="shared" si="5"/>
        <v>Exclude</v>
      </c>
      <c r="O103" t="s">
        <v>4277</v>
      </c>
    </row>
    <row r="104" spans="1:15">
      <c r="A104" t="s">
        <v>4274</v>
      </c>
      <c r="B104" s="39" t="str">
        <f>HYPERLINK('citations-it1-studies'!$D128,'citations-it1-studies'!$B128)</f>
        <v>ETFA - Modular Signal Processing Unit for Motion Control Applications Based on System-on-Chip with FPGA</v>
      </c>
      <c r="C104">
        <f>'citations-it1-studies'!$C128</f>
        <v>2019</v>
      </c>
      <c r="D104">
        <f>'citations-it1-studies'!$H128</f>
        <v>7</v>
      </c>
      <c r="E104" t="s">
        <v>1398</v>
      </c>
      <c r="F104" s="9" t="s">
        <v>51</v>
      </c>
      <c r="G104" s="9" t="s">
        <v>51</v>
      </c>
      <c r="H104" s="9" t="s">
        <v>1397</v>
      </c>
      <c r="I104" s="9" t="s">
        <v>51</v>
      </c>
      <c r="J104" s="9" t="s">
        <v>51</v>
      </c>
      <c r="K104" s="9" t="s">
        <v>51</v>
      </c>
      <c r="L104" s="9" t="s">
        <v>51</v>
      </c>
      <c r="M104" t="s">
        <v>1397</v>
      </c>
      <c r="N104" t="str">
        <f t="shared" si="5"/>
        <v>Exclude</v>
      </c>
      <c r="O104" t="s">
        <v>4277</v>
      </c>
    </row>
    <row r="105" spans="1:15">
      <c r="A105" t="s">
        <v>4274</v>
      </c>
      <c r="B105" s="39" t="str">
        <f>HYPERLINK('citations-it1-studies'!$D131,'citations-it1-studies'!$B131)</f>
        <v>Faster Implementation Time Through Interoperability: Let's Prove it!</v>
      </c>
      <c r="C105">
        <f>'citations-it1-studies'!$C131</f>
        <v>2025</v>
      </c>
      <c r="D105">
        <f>'citations-it1-studies'!$H131</f>
        <v>7</v>
      </c>
      <c r="E105" t="s">
        <v>1398</v>
      </c>
      <c r="F105" s="10" t="s">
        <v>51</v>
      </c>
      <c r="G105" s="10" t="s">
        <v>51</v>
      </c>
      <c r="H105" s="10" t="s">
        <v>1397</v>
      </c>
      <c r="I105" s="10" t="s">
        <v>51</v>
      </c>
      <c r="J105" s="10" t="s">
        <v>51</v>
      </c>
      <c r="K105" s="10" t="s">
        <v>51</v>
      </c>
      <c r="L105" s="10" t="s">
        <v>51</v>
      </c>
      <c r="M105" t="s">
        <v>1397</v>
      </c>
      <c r="N105" t="str">
        <f t="shared" si="5"/>
        <v>Exclude</v>
      </c>
      <c r="O105" t="s">
        <v>4277</v>
      </c>
    </row>
    <row r="106" spans="1:15">
      <c r="A106" t="s">
        <v>4274</v>
      </c>
      <c r="B106" s="39" t="str">
        <f>HYPERLINK('citations-it1-studies'!$D132,'citations-it1-studies'!$B132)</f>
        <v>AI-Enhanced Process Digital Twins for Circular Manufacturing: Design, Architecture, and Deployment</v>
      </c>
      <c r="C106">
        <f>'citations-it1-studies'!$C132</f>
        <v>2025</v>
      </c>
      <c r="D106">
        <f>'citations-it1-studies'!$H132</f>
        <v>8</v>
      </c>
      <c r="E106" t="s">
        <v>1398</v>
      </c>
      <c r="F106" s="9" t="s">
        <v>51</v>
      </c>
      <c r="G106" s="9" t="s">
        <v>51</v>
      </c>
      <c r="H106" s="9" t="s">
        <v>51</v>
      </c>
      <c r="I106" s="9" t="s">
        <v>51</v>
      </c>
      <c r="J106" s="9" t="s">
        <v>51</v>
      </c>
      <c r="K106" s="9" t="s">
        <v>51</v>
      </c>
      <c r="L106" s="9" t="s">
        <v>1397</v>
      </c>
      <c r="M106" t="s">
        <v>1397</v>
      </c>
      <c r="N106" t="str">
        <f t="shared" si="5"/>
        <v>Exclude</v>
      </c>
      <c r="O106" t="s">
        <v>4278</v>
      </c>
    </row>
    <row r="107" spans="1:15">
      <c r="A107" t="s">
        <v>4274</v>
      </c>
      <c r="B107" s="39" t="str">
        <f>HYPERLINK('citations-it1-studies'!$D133,'citations-it1-studies'!$B133)</f>
        <v>Web Based PLC Integrated Process Simulator</v>
      </c>
      <c r="C107">
        <f>'citations-it1-studies'!$C133</f>
        <v>2022</v>
      </c>
      <c r="D107">
        <f>'citations-it1-studies'!$H133</f>
        <v>9</v>
      </c>
      <c r="E107" t="s">
        <v>1398</v>
      </c>
      <c r="F107" s="10" t="s">
        <v>51</v>
      </c>
      <c r="G107" s="10" t="s">
        <v>51</v>
      </c>
      <c r="H107" s="10" t="s">
        <v>51</v>
      </c>
      <c r="I107" s="10" t="s">
        <v>51</v>
      </c>
      <c r="J107" s="10" t="s">
        <v>51</v>
      </c>
      <c r="K107" s="10" t="s">
        <v>51</v>
      </c>
      <c r="L107" s="10" t="s">
        <v>1397</v>
      </c>
      <c r="M107" t="s">
        <v>1397</v>
      </c>
      <c r="N107" t="str">
        <f t="shared" si="5"/>
        <v>Exclude</v>
      </c>
      <c r="O107" t="s">
        <v>4278</v>
      </c>
    </row>
    <row r="108" spans="1:15">
      <c r="A108" t="s">
        <v>4274</v>
      </c>
      <c r="B108" s="39" t="str">
        <f>HYPERLINK('citations-it1-studies'!$D134,'citations-it1-studies'!$B134)</f>
        <v>Asynchronous Peer-to-Peer Federated Capability-Based Targeted Ransomware Detection Model for Industrial IoT</v>
      </c>
      <c r="C108">
        <f>'citations-it1-studies'!$C134</f>
        <v>2021</v>
      </c>
      <c r="D108">
        <f>'citations-it1-studies'!$H134</f>
        <v>18</v>
      </c>
      <c r="E108" t="s">
        <v>1398</v>
      </c>
      <c r="F108" s="9" t="s">
        <v>51</v>
      </c>
      <c r="G108" s="9" t="s">
        <v>51</v>
      </c>
      <c r="H108" s="9" t="s">
        <v>51</v>
      </c>
      <c r="I108" s="9" t="s">
        <v>51</v>
      </c>
      <c r="J108" s="9" t="s">
        <v>51</v>
      </c>
      <c r="K108" s="9" t="s">
        <v>51</v>
      </c>
      <c r="L108" s="9" t="s">
        <v>1397</v>
      </c>
      <c r="M108" t="s">
        <v>1397</v>
      </c>
      <c r="N108" t="str">
        <f t="shared" si="5"/>
        <v>Exclude</v>
      </c>
      <c r="O108" t="s">
        <v>4276</v>
      </c>
    </row>
    <row r="109" spans="1:15">
      <c r="A109" t="s">
        <v>4274</v>
      </c>
      <c r="B109" s="39" t="str">
        <f>HYPERLINK('citations-it1-studies'!$D136,'citations-it1-studies'!$B136)</f>
        <v>Analysis of Penetration Testing Methods for Specific IoT Device: IP Camera</v>
      </c>
      <c r="C109">
        <f>'citations-it1-studies'!$C136</f>
        <v>2024</v>
      </c>
      <c r="D109">
        <f>'citations-it1-studies'!$H136</f>
        <v>7</v>
      </c>
      <c r="E109" t="s">
        <v>1398</v>
      </c>
      <c r="F109" s="10" t="s">
        <v>51</v>
      </c>
      <c r="G109" s="10" t="s">
        <v>51</v>
      </c>
      <c r="H109" s="10" t="s">
        <v>1397</v>
      </c>
      <c r="I109" s="10" t="s">
        <v>51</v>
      </c>
      <c r="J109" s="10" t="s">
        <v>51</v>
      </c>
      <c r="K109" s="10" t="s">
        <v>51</v>
      </c>
      <c r="L109" s="10" t="s">
        <v>51</v>
      </c>
      <c r="M109" t="s">
        <v>1397</v>
      </c>
      <c r="N109" t="str">
        <f t="shared" si="5"/>
        <v>Exclude</v>
      </c>
      <c r="O109" t="s">
        <v>4277</v>
      </c>
    </row>
    <row r="110" spans="1:15">
      <c r="A110" t="s">
        <v>4274</v>
      </c>
      <c r="B110" s="39" t="str">
        <f>HYPERLINK('citations-it1-studies'!$D137,'citations-it1-studies'!$B137)</f>
        <v>Edge-Fog Enhanced Post-Quantum Network Security: Applications, Challenges and Solutions</v>
      </c>
      <c r="C110">
        <f>'citations-it1-studies'!$C137</f>
        <v>2025</v>
      </c>
      <c r="D110">
        <f>'citations-it1-studies'!$H137</f>
        <v>31</v>
      </c>
      <c r="E110" t="s">
        <v>1398</v>
      </c>
      <c r="F110" s="9" t="s">
        <v>51</v>
      </c>
      <c r="G110" s="9" t="s">
        <v>51</v>
      </c>
      <c r="H110" s="9" t="s">
        <v>1397</v>
      </c>
      <c r="I110" s="9" t="s">
        <v>51</v>
      </c>
      <c r="J110" s="9" t="s">
        <v>51</v>
      </c>
      <c r="K110" s="9" t="s">
        <v>51</v>
      </c>
      <c r="L110" s="9" t="s">
        <v>51</v>
      </c>
      <c r="M110" t="s">
        <v>1397</v>
      </c>
      <c r="N110" t="str">
        <f t="shared" si="5"/>
        <v>Exclude</v>
      </c>
      <c r="O110" t="s">
        <v>4277</v>
      </c>
    </row>
    <row r="111" spans="1:15">
      <c r="A111" t="s">
        <v>4274</v>
      </c>
      <c r="B111" s="39" t="str">
        <f>HYPERLINK('citations-it1-studies'!$D138,'citations-it1-studies'!$B138)</f>
        <v>Ultra Light-weight Encryption for Securing D2D Communication of ESP8266 IoT devices in Wireless Mesh Networks</v>
      </c>
      <c r="C111">
        <f>'citations-it1-studies'!$C138</f>
        <v>2022</v>
      </c>
      <c r="D111">
        <f>'citations-it1-studies'!$H138</f>
        <v>6</v>
      </c>
      <c r="E111" t="s">
        <v>1398</v>
      </c>
      <c r="F111" s="10" t="s">
        <v>51</v>
      </c>
      <c r="G111" s="10" t="s">
        <v>51</v>
      </c>
      <c r="H111" s="10" t="s">
        <v>1397</v>
      </c>
      <c r="I111" s="10" t="s">
        <v>51</v>
      </c>
      <c r="J111" s="10" t="s">
        <v>51</v>
      </c>
      <c r="K111" s="10" t="s">
        <v>51</v>
      </c>
      <c r="L111" s="10" t="s">
        <v>51</v>
      </c>
      <c r="M111" t="s">
        <v>1397</v>
      </c>
      <c r="N111" t="str">
        <f t="shared" si="5"/>
        <v>Exclude</v>
      </c>
      <c r="O111" t="s">
        <v>4277</v>
      </c>
    </row>
    <row r="112" spans="1:15">
      <c r="A112" t="s">
        <v>4274</v>
      </c>
      <c r="B112" s="39" t="str">
        <f>HYPERLINK('citations-it1-studies'!$D139,'citations-it1-studies'!$B139)</f>
        <v>MQTT Latency Evaluation in Cloud-Based Spectrometer Control</v>
      </c>
      <c r="C112">
        <f>'citations-it1-studies'!$C139</f>
        <v>2025</v>
      </c>
      <c r="D112">
        <f>'citations-it1-studies'!$H139</f>
        <v>7</v>
      </c>
      <c r="E112" t="s">
        <v>1398</v>
      </c>
      <c r="F112" s="9" t="s">
        <v>51</v>
      </c>
      <c r="G112" s="9" t="s">
        <v>51</v>
      </c>
      <c r="H112" s="9" t="s">
        <v>1397</v>
      </c>
      <c r="I112" s="9" t="s">
        <v>51</v>
      </c>
      <c r="J112" s="9" t="s">
        <v>51</v>
      </c>
      <c r="K112" s="9" t="s">
        <v>51</v>
      </c>
      <c r="L112" s="9" t="s">
        <v>51</v>
      </c>
      <c r="M112" t="s">
        <v>1397</v>
      </c>
      <c r="N112" t="str">
        <f t="shared" si="5"/>
        <v>Exclude</v>
      </c>
      <c r="O112" t="s">
        <v>4277</v>
      </c>
    </row>
    <row r="113" spans="1:15">
      <c r="A113" t="s">
        <v>4274</v>
      </c>
      <c r="B113" s="39" t="str">
        <f>HYPERLINK('citations-it1-studies'!$D142,'citations-it1-studies'!$B142)</f>
        <v>Reducing Commissioning Efforts in the Process Industry Through Open Standards</v>
      </c>
      <c r="C113">
        <f>'citations-it1-studies'!$C142</f>
        <v>2025</v>
      </c>
      <c r="D113">
        <f>'citations-it1-studies'!$H142</f>
        <v>7</v>
      </c>
      <c r="E113" t="s">
        <v>1398</v>
      </c>
      <c r="F113" s="10" t="s">
        <v>51</v>
      </c>
      <c r="G113" s="10" t="s">
        <v>51</v>
      </c>
      <c r="H113" s="10" t="s">
        <v>51</v>
      </c>
      <c r="I113" s="10" t="s">
        <v>51</v>
      </c>
      <c r="J113" s="10" t="s">
        <v>51</v>
      </c>
      <c r="K113" s="10" t="s">
        <v>51</v>
      </c>
      <c r="L113" s="10" t="s">
        <v>1397</v>
      </c>
      <c r="M113" t="s">
        <v>1397</v>
      </c>
      <c r="N113" t="str">
        <f t="shared" si="5"/>
        <v>Exclude</v>
      </c>
      <c r="O113" t="s">
        <v>4278</v>
      </c>
    </row>
    <row r="114" spans="1:15">
      <c r="A114" t="s">
        <v>4274</v>
      </c>
      <c r="B114" s="39" t="str">
        <f>HYPERLINK('citations-it1-studies'!$D144,'citations-it1-studies'!$B144)</f>
        <v>Framework for Modeling and Evaluating Information Flows in Flexible Manufacturing Systems</v>
      </c>
      <c r="C114">
        <f>'citations-it1-studies'!$C144</f>
        <v>2024</v>
      </c>
      <c r="D114">
        <f>'citations-it1-studies'!$H144</f>
        <v>13</v>
      </c>
      <c r="E114" t="s">
        <v>1398</v>
      </c>
      <c r="F114" s="9" t="s">
        <v>51</v>
      </c>
      <c r="G114" s="9" t="s">
        <v>51</v>
      </c>
      <c r="H114" s="9" t="s">
        <v>51</v>
      </c>
      <c r="I114" s="9" t="s">
        <v>51</v>
      </c>
      <c r="J114" s="9" t="s">
        <v>51</v>
      </c>
      <c r="K114" s="9" t="s">
        <v>51</v>
      </c>
      <c r="L114" s="9" t="s">
        <v>1397</v>
      </c>
      <c r="M114" t="s">
        <v>1397</v>
      </c>
      <c r="N114" t="str">
        <f t="shared" si="5"/>
        <v>Exclude</v>
      </c>
      <c r="O114" t="s">
        <v>4278</v>
      </c>
    </row>
    <row r="115" spans="1:15">
      <c r="A115" t="s">
        <v>4274</v>
      </c>
      <c r="B115" s="39" t="str">
        <f>HYPERLINK('citations-it1-studies'!$D145,'citations-it1-studies'!$B145)</f>
        <v>SAIndust: A Self-Aware Heterogeneous Computing Framework for Industrial Internet of Things</v>
      </c>
      <c r="C115">
        <f>'citations-it1-studies'!$C145</f>
        <v>2025</v>
      </c>
      <c r="D115">
        <f>'citations-it1-studies'!$H145</f>
        <v>17</v>
      </c>
      <c r="E115" t="s">
        <v>1398</v>
      </c>
      <c r="F115" s="10" t="s">
        <v>51</v>
      </c>
      <c r="G115" s="10" t="s">
        <v>51</v>
      </c>
      <c r="H115" s="10" t="s">
        <v>51</v>
      </c>
      <c r="I115" s="10" t="s">
        <v>51</v>
      </c>
      <c r="J115" s="10" t="s">
        <v>51</v>
      </c>
      <c r="K115" s="10" t="s">
        <v>51</v>
      </c>
      <c r="L115" s="10" t="s">
        <v>1397</v>
      </c>
      <c r="M115" t="s">
        <v>1397</v>
      </c>
      <c r="N115" t="str">
        <f t="shared" si="5"/>
        <v>Exclude</v>
      </c>
      <c r="O115" t="s">
        <v>4278</v>
      </c>
    </row>
    <row r="116" spans="1:15">
      <c r="A116" t="s">
        <v>4274</v>
      </c>
      <c r="B116" s="39" t="str">
        <f>HYPERLINK('citations-it1-studies'!$D146,'citations-it1-studies'!$B146)</f>
        <v>Developing and Comparing Protocols for Low-Latency IoT Networking</v>
      </c>
      <c r="C116">
        <f>'citations-it1-studies'!$C146</f>
        <v>2025</v>
      </c>
      <c r="D116">
        <f>'citations-it1-studies'!$H146</f>
        <v>7</v>
      </c>
      <c r="E116" t="s">
        <v>1398</v>
      </c>
      <c r="F116" s="9" t="s">
        <v>51</v>
      </c>
      <c r="G116" s="9" t="s">
        <v>51</v>
      </c>
      <c r="H116" s="9" t="s">
        <v>1397</v>
      </c>
      <c r="I116" s="9" t="s">
        <v>51</v>
      </c>
      <c r="J116" s="9" t="s">
        <v>51</v>
      </c>
      <c r="K116" s="9" t="s">
        <v>51</v>
      </c>
      <c r="L116" s="9" t="s">
        <v>51</v>
      </c>
      <c r="M116" t="s">
        <v>1397</v>
      </c>
      <c r="N116" t="str">
        <f t="shared" si="5"/>
        <v>Exclude</v>
      </c>
      <c r="O116" t="s">
        <v>4277</v>
      </c>
    </row>
    <row r="117" spans="1:15">
      <c r="A117" t="s">
        <v>4274</v>
      </c>
      <c r="B117" s="39" t="str">
        <f>HYPERLINK('citations-it1-studies'!$D147,'citations-it1-studies'!$B147)</f>
        <v>Methodology for the Implementation and Operation of Multivendor Automation Systems at Large-Scale Industrial Facilities</v>
      </c>
      <c r="C117">
        <f>'citations-it1-studies'!$C147</f>
        <v>2025</v>
      </c>
      <c r="D117">
        <f>'citations-it1-studies'!$H147</f>
        <v>5</v>
      </c>
      <c r="E117" t="s">
        <v>1398</v>
      </c>
      <c r="F117" s="10" t="s">
        <v>51</v>
      </c>
      <c r="G117" s="10" t="s">
        <v>51</v>
      </c>
      <c r="H117" s="10" t="s">
        <v>51</v>
      </c>
      <c r="I117" s="10" t="s">
        <v>51</v>
      </c>
      <c r="J117" s="10" t="s">
        <v>51</v>
      </c>
      <c r="K117" s="10" t="s">
        <v>51</v>
      </c>
      <c r="L117" s="10" t="s">
        <v>1397</v>
      </c>
      <c r="M117" t="s">
        <v>1397</v>
      </c>
      <c r="N117" t="str">
        <f t="shared" si="5"/>
        <v>Exclude</v>
      </c>
      <c r="O117" t="s">
        <v>4278</v>
      </c>
    </row>
    <row r="118" spans="1:15">
      <c r="A118" t="s">
        <v>4274</v>
      </c>
      <c r="B118" s="39" t="str">
        <f>HYPERLINK('citations-it1-studies'!$D149,'citations-it1-studies'!$B149)</f>
        <v>RTIMS: Real-Time Indoor Monitoring Systems: A Comprehensive Review</v>
      </c>
      <c r="C118">
        <f>'citations-it1-studies'!$C149</f>
        <v>2025</v>
      </c>
      <c r="D118">
        <f>'citations-it1-studies'!$H149</f>
        <v>0</v>
      </c>
      <c r="E118" t="s">
        <v>1398</v>
      </c>
      <c r="F118" s="10" t="s">
        <v>51</v>
      </c>
      <c r="G118" s="10" t="s">
        <v>51</v>
      </c>
      <c r="H118" s="10" t="s">
        <v>51</v>
      </c>
      <c r="I118" s="10" t="s">
        <v>1397</v>
      </c>
      <c r="J118" s="10" t="s">
        <v>1397</v>
      </c>
      <c r="K118" s="10" t="s">
        <v>51</v>
      </c>
      <c r="L118" s="10" t="s">
        <v>51</v>
      </c>
      <c r="M118" t="s">
        <v>1397</v>
      </c>
      <c r="N118" t="str">
        <f t="shared" si="5"/>
        <v>Exclude</v>
      </c>
      <c r="O118" t="s">
        <v>4281</v>
      </c>
    </row>
    <row r="119" spans="1:15">
      <c r="A119" t="s">
        <v>4274</v>
      </c>
      <c r="B119" s="39" t="str">
        <f>HYPERLINK('citations-it1-studies'!$D150,'citations-it1-studies'!$B150)</f>
        <v>ICT-Equipped Portable E-Bike Charging Station Powered by Renewables for Mass Cycling Events</v>
      </c>
      <c r="C119">
        <f>'citations-it1-studies'!$C150</f>
        <v>2024</v>
      </c>
      <c r="D119">
        <f>'citations-it1-studies'!$H150</f>
        <v>6</v>
      </c>
      <c r="E119" t="s">
        <v>1398</v>
      </c>
      <c r="F119" s="9" t="s">
        <v>51</v>
      </c>
      <c r="G119" s="9" t="s">
        <v>51</v>
      </c>
      <c r="H119" s="9" t="s">
        <v>1397</v>
      </c>
      <c r="I119" s="9" t="s">
        <v>51</v>
      </c>
      <c r="J119" s="9" t="s">
        <v>51</v>
      </c>
      <c r="K119" s="9" t="s">
        <v>51</v>
      </c>
      <c r="L119" s="9" t="s">
        <v>51</v>
      </c>
      <c r="M119" t="s">
        <v>1397</v>
      </c>
      <c r="N119" t="str">
        <f t="shared" si="5"/>
        <v>Exclude</v>
      </c>
      <c r="O119" t="s">
        <v>4277</v>
      </c>
    </row>
    <row r="120" spans="1:15">
      <c r="A120" t="s">
        <v>4274</v>
      </c>
      <c r="B120" s="39" t="str">
        <f>HYPERLINK('citations-it1-studies'!$D152,'citations-it1-studies'!$B152)</f>
        <v>Systematic Literature Review of Cybersecurity Testbeds for Industrial Internet of Things.</v>
      </c>
      <c r="C120">
        <f>'citations-it1-studies'!$C152</f>
        <v>2025</v>
      </c>
      <c r="D120">
        <f>'citations-it1-studies'!$H152</f>
        <v>7</v>
      </c>
      <c r="E120" t="s">
        <v>1398</v>
      </c>
      <c r="F120" s="10" t="s">
        <v>51</v>
      </c>
      <c r="G120" s="10" t="s">
        <v>51</v>
      </c>
      <c r="H120" s="10" t="s">
        <v>51</v>
      </c>
      <c r="I120" s="10" t="s">
        <v>51</v>
      </c>
      <c r="J120" s="10" t="s">
        <v>1397</v>
      </c>
      <c r="K120" s="10" t="s">
        <v>51</v>
      </c>
      <c r="L120" s="10" t="s">
        <v>51</v>
      </c>
      <c r="M120" t="s">
        <v>1397</v>
      </c>
      <c r="N120" t="str">
        <f t="shared" si="5"/>
        <v>Exclude</v>
      </c>
      <c r="O120" t="s">
        <v>4281</v>
      </c>
    </row>
    <row r="121" spans="1:15">
      <c r="A121" t="s">
        <v>4274</v>
      </c>
      <c r="B121" s="39" t="str">
        <f>HYPERLINK('citations-it1-studies'!$D153,'citations-it1-studies'!$B153)</f>
        <v>Estendendo o MENTORED Testbed para a execução de experimentos de cibersegurança multi-cluster e IoT</v>
      </c>
      <c r="C121">
        <f>'citations-it1-studies'!$C153</f>
        <v>2025</v>
      </c>
      <c r="D121">
        <f>'citations-it1-studies'!$H153</f>
        <v>14</v>
      </c>
      <c r="E121" t="s">
        <v>1398</v>
      </c>
      <c r="F121" s="9" t="s">
        <v>51</v>
      </c>
      <c r="G121" s="9" t="s">
        <v>51</v>
      </c>
      <c r="H121" s="9" t="s">
        <v>1397</v>
      </c>
      <c r="I121" s="9" t="s">
        <v>51</v>
      </c>
      <c r="J121" s="9" t="s">
        <v>51</v>
      </c>
      <c r="K121" s="9" t="s">
        <v>51</v>
      </c>
      <c r="L121" s="9" t="s">
        <v>51</v>
      </c>
      <c r="M121" t="s">
        <v>1397</v>
      </c>
      <c r="N121" t="str">
        <f t="shared" si="5"/>
        <v>Exclude</v>
      </c>
      <c r="O121" t="s">
        <v>4277</v>
      </c>
    </row>
    <row r="122" spans="1:15">
      <c r="A122" t="s">
        <v>4274</v>
      </c>
      <c r="B122" s="39" t="str">
        <f>HYPERLINK('citations-it1-studies'!$D154,'citations-it1-studies'!$B154)</f>
        <v>Multisensor Platform for Underwater Object Detection and Localization Applications</v>
      </c>
      <c r="C122">
        <f>'citations-it1-studies'!$C154</f>
        <v>2022</v>
      </c>
      <c r="D122">
        <f>'citations-it1-studies'!$H154</f>
        <v>7</v>
      </c>
      <c r="E122" t="s">
        <v>1398</v>
      </c>
      <c r="F122" s="10" t="s">
        <v>51</v>
      </c>
      <c r="G122" s="10" t="s">
        <v>51</v>
      </c>
      <c r="H122" s="10" t="s">
        <v>1397</v>
      </c>
      <c r="I122" s="10" t="s">
        <v>51</v>
      </c>
      <c r="J122" s="10" t="s">
        <v>51</v>
      </c>
      <c r="K122" s="10" t="s">
        <v>51</v>
      </c>
      <c r="L122" s="10" t="s">
        <v>51</v>
      </c>
      <c r="M122" t="s">
        <v>1397</v>
      </c>
      <c r="N122" t="str">
        <f t="shared" si="5"/>
        <v>Exclude</v>
      </c>
      <c r="O122" t="s">
        <v>4277</v>
      </c>
    </row>
    <row r="123" spans="1:15">
      <c r="A123" t="s">
        <v>4274</v>
      </c>
      <c r="B123" s="39" t="str">
        <f>HYPERLINK('citations-it1-studies'!$D156,'citations-it1-studies'!$B156)</f>
        <v>DripAlyze: internet of things based water leakage detection system for smart resource management</v>
      </c>
      <c r="C123">
        <f>'citations-it1-studies'!$C156</f>
        <v>2025</v>
      </c>
      <c r="D123">
        <f>'citations-it1-studies'!$H156</f>
        <v>11</v>
      </c>
      <c r="E123" t="s">
        <v>1398</v>
      </c>
      <c r="F123" s="9" t="s">
        <v>51</v>
      </c>
      <c r="G123" s="9" t="s">
        <v>51</v>
      </c>
      <c r="H123" s="9" t="s">
        <v>1397</v>
      </c>
      <c r="I123" s="9" t="s">
        <v>51</v>
      </c>
      <c r="J123" s="9" t="s">
        <v>51</v>
      </c>
      <c r="K123" s="9" t="s">
        <v>51</v>
      </c>
      <c r="L123" s="9" t="s">
        <v>51</v>
      </c>
      <c r="M123" t="s">
        <v>1397</v>
      </c>
      <c r="N123" t="str">
        <f t="shared" si="5"/>
        <v>Exclude</v>
      </c>
      <c r="O123" t="s">
        <v>4277</v>
      </c>
    </row>
    <row r="124" spans="1:15">
      <c r="A124" t="s">
        <v>4274</v>
      </c>
      <c r="B124" s="39" t="str">
        <f>HYPERLINK('citations-it1-studies'!$D157,'citations-it1-studies'!$B157)</f>
        <v>OPC UA for NDE: Integration, Challenges, and Prospects</v>
      </c>
      <c r="C124">
        <f>'citations-it1-studies'!$C157</f>
        <v>2025</v>
      </c>
      <c r="D124">
        <f>'citations-it1-studies'!$H157</f>
        <v>24</v>
      </c>
      <c r="E124" t="s">
        <v>1398</v>
      </c>
      <c r="F124" s="10" t="s">
        <v>51</v>
      </c>
      <c r="G124" s="10" t="s">
        <v>51</v>
      </c>
      <c r="H124" s="10" t="s">
        <v>51</v>
      </c>
      <c r="I124" s="10" t="s">
        <v>51</v>
      </c>
      <c r="J124" s="10" t="s">
        <v>51</v>
      </c>
      <c r="K124" s="10" t="s">
        <v>51</v>
      </c>
      <c r="L124" s="10" t="s">
        <v>1397</v>
      </c>
      <c r="M124" t="s">
        <v>1397</v>
      </c>
      <c r="N124" t="str">
        <f t="shared" si="5"/>
        <v>Exclude</v>
      </c>
      <c r="O124" t="s">
        <v>4280</v>
      </c>
    </row>
    <row r="125" spans="1:15">
      <c r="A125" t="s">
        <v>4274</v>
      </c>
      <c r="B125" s="39" t="str">
        <f>HYPERLINK('citations-it1-studies'!$D158,'citations-it1-studies'!$B158)</f>
        <v>Intrusion Detection System for Securing Agriculture 4.0 Against DDoS Attacks Using Deep Learning and Machine Learning Models</v>
      </c>
      <c r="C125">
        <f>'citations-it1-studies'!$C158</f>
        <v>2025</v>
      </c>
      <c r="D125">
        <f>'citations-it1-studies'!$H158</f>
        <v>7</v>
      </c>
      <c r="E125" t="s">
        <v>1398</v>
      </c>
      <c r="F125" s="9" t="s">
        <v>51</v>
      </c>
      <c r="G125" s="9" t="s">
        <v>51</v>
      </c>
      <c r="H125" s="9" t="s">
        <v>51</v>
      </c>
      <c r="I125" s="9" t="s">
        <v>51</v>
      </c>
      <c r="J125" s="9" t="s">
        <v>51</v>
      </c>
      <c r="K125" s="9" t="s">
        <v>51</v>
      </c>
      <c r="L125" s="9" t="s">
        <v>1397</v>
      </c>
      <c r="M125" t="s">
        <v>1397</v>
      </c>
      <c r="N125" t="str">
        <f t="shared" si="5"/>
        <v>Exclude</v>
      </c>
      <c r="O125" t="s">
        <v>4276</v>
      </c>
    </row>
    <row r="126" spans="1:15">
      <c r="A126" t="s">
        <v>4274</v>
      </c>
      <c r="B126" s="39" t="str">
        <f>HYPERLINK('citations-it1-studies'!$D159,'citations-it1-studies'!$B159)</f>
        <v>OPC-UA vs. MQTT (UNS): Evaluating Alignment with RAMI4.0 Through Literature Review</v>
      </c>
      <c r="C126">
        <f>'citations-it1-studies'!$C159</f>
        <v>2025</v>
      </c>
      <c r="D126">
        <f>'citations-it1-studies'!$H159</f>
        <v>12</v>
      </c>
      <c r="E126" t="s">
        <v>1398</v>
      </c>
      <c r="F126" s="10" t="s">
        <v>51</v>
      </c>
      <c r="G126" s="10" t="s">
        <v>51</v>
      </c>
      <c r="H126" s="10" t="s">
        <v>51</v>
      </c>
      <c r="I126" s="10" t="s">
        <v>51</v>
      </c>
      <c r="J126" s="10" t="s">
        <v>1397</v>
      </c>
      <c r="K126" s="10" t="s">
        <v>51</v>
      </c>
      <c r="L126" s="10" t="s">
        <v>51</v>
      </c>
      <c r="M126" t="s">
        <v>1397</v>
      </c>
      <c r="N126" t="str">
        <f t="shared" ref="N126:N135" si="6">IF(COUNTIF(F126:M126,"X")&gt;0,"Exclude",IF(UPPER(TRIM(E126))="O","Include",""))</f>
        <v>Exclude</v>
      </c>
      <c r="O126" t="s">
        <v>4281</v>
      </c>
    </row>
    <row r="127" spans="1:15">
      <c r="A127" t="s">
        <v>4274</v>
      </c>
      <c r="B127" s="39" t="str">
        <f>HYPERLINK('citations-it1-studies'!$D160,'citations-it1-studies'!$B160)</f>
        <v>A Single-Fed Dual-Band Orthogonal Circularly Polarized Filtering Antenna for 5G-Enabled IoV Applications</v>
      </c>
      <c r="C127">
        <f>'citations-it1-studies'!$C160</f>
        <v>2025</v>
      </c>
      <c r="D127">
        <f>'citations-it1-studies'!$H160</f>
        <v>10</v>
      </c>
      <c r="E127" t="s">
        <v>1398</v>
      </c>
      <c r="F127" s="9" t="s">
        <v>51</v>
      </c>
      <c r="G127" s="9" t="s">
        <v>51</v>
      </c>
      <c r="H127" s="9" t="s">
        <v>1397</v>
      </c>
      <c r="I127" s="9" t="s">
        <v>51</v>
      </c>
      <c r="J127" s="9" t="s">
        <v>51</v>
      </c>
      <c r="K127" s="9" t="s">
        <v>51</v>
      </c>
      <c r="L127" s="9" t="s">
        <v>51</v>
      </c>
      <c r="M127" t="s">
        <v>1397</v>
      </c>
      <c r="N127" t="str">
        <f t="shared" si="6"/>
        <v>Exclude</v>
      </c>
      <c r="O127" t="s">
        <v>4277</v>
      </c>
    </row>
    <row r="128" spans="1:15">
      <c r="A128" t="s">
        <v>4274</v>
      </c>
      <c r="B128" s="39" t="str">
        <f>HYPERLINK('citations-it1-studies'!$D161,'citations-it1-studies'!$B161)</f>
        <v>Connecting 3D Printer to the Industrial Internet of Things (IIoT) through MQTT Sparkplug B Protocol</v>
      </c>
      <c r="C128">
        <f>'citations-it1-studies'!$C161</f>
        <v>2023</v>
      </c>
      <c r="D128">
        <f>'citations-it1-studies'!$H161</f>
        <v>6</v>
      </c>
      <c r="E128" t="s">
        <v>1398</v>
      </c>
      <c r="F128" s="10" t="s">
        <v>51</v>
      </c>
      <c r="G128" s="10" t="s">
        <v>51</v>
      </c>
      <c r="H128" s="10" t="s">
        <v>51</v>
      </c>
      <c r="I128" s="10" t="s">
        <v>51</v>
      </c>
      <c r="J128" s="10" t="s">
        <v>51</v>
      </c>
      <c r="K128" s="10" t="s">
        <v>51</v>
      </c>
      <c r="L128" s="10" t="s">
        <v>1397</v>
      </c>
      <c r="M128" t="s">
        <v>1397</v>
      </c>
      <c r="N128" t="str">
        <f t="shared" si="6"/>
        <v>Exclude</v>
      </c>
      <c r="O128" t="s">
        <v>4280</v>
      </c>
    </row>
    <row r="129" spans="1:15">
      <c r="A129" t="s">
        <v>4274</v>
      </c>
      <c r="B129" s="39" t="str">
        <f>HYPERLINK('citations-it1-studies'!$D163,'citations-it1-studies'!$B163)</f>
        <v>SDN-DMQTT: SDN-Based Platform for Re-configurable MQTT Distributed Brokers Architecture</v>
      </c>
      <c r="C129">
        <f>'citations-it1-studies'!$C163</f>
        <v>2024</v>
      </c>
      <c r="D129">
        <f>'citations-it1-studies'!$H163</f>
        <v>19</v>
      </c>
      <c r="E129" t="s">
        <v>1398</v>
      </c>
      <c r="F129" s="9" t="s">
        <v>51</v>
      </c>
      <c r="G129" s="9" t="s">
        <v>51</v>
      </c>
      <c r="H129" s="9" t="s">
        <v>1397</v>
      </c>
      <c r="I129" s="9" t="s">
        <v>51</v>
      </c>
      <c r="J129" s="9" t="s">
        <v>51</v>
      </c>
      <c r="K129" s="9" t="s">
        <v>51</v>
      </c>
      <c r="L129" s="9" t="s">
        <v>51</v>
      </c>
      <c r="M129" t="s">
        <v>1397</v>
      </c>
      <c r="N129" t="str">
        <f t="shared" si="6"/>
        <v>Exclude</v>
      </c>
      <c r="O129" t="s">
        <v>4277</v>
      </c>
    </row>
    <row r="130" spans="1:15">
      <c r="A130" t="s">
        <v>4274</v>
      </c>
      <c r="B130" s="39" t="str">
        <f>HYPERLINK('citations-it1-studies'!$D164,'citations-it1-studies'!$B164)</f>
        <v>Survey on Wireless Technology Trade-Offs for the Industrial Internet of Things.</v>
      </c>
      <c r="C130">
        <f>'citations-it1-studies'!$C164</f>
        <v>2020</v>
      </c>
      <c r="D130">
        <f>'citations-it1-studies'!$H164</f>
        <v>0</v>
      </c>
      <c r="E130" t="s">
        <v>1398</v>
      </c>
      <c r="F130" s="10" t="s">
        <v>51</v>
      </c>
      <c r="G130" s="10" t="s">
        <v>51</v>
      </c>
      <c r="H130" s="10" t="s">
        <v>51</v>
      </c>
      <c r="I130" s="10" t="s">
        <v>1397</v>
      </c>
      <c r="J130" s="10" t="s">
        <v>1397</v>
      </c>
      <c r="K130" s="10" t="s">
        <v>51</v>
      </c>
      <c r="L130" s="10" t="s">
        <v>51</v>
      </c>
      <c r="M130" t="s">
        <v>1397</v>
      </c>
      <c r="N130" t="str">
        <f t="shared" si="6"/>
        <v>Exclude</v>
      </c>
      <c r="O130" t="s">
        <v>4281</v>
      </c>
    </row>
    <row r="131" spans="1:15">
      <c r="A131" t="s">
        <v>4274</v>
      </c>
      <c r="B131" s="39" t="str">
        <f>HYPERLINK('citations-it1-studies'!$D165,'citations-it1-studies'!$B165)</f>
        <v>Shaping Intelligent Connectivity Using AI and IoT</v>
      </c>
      <c r="C131">
        <f>'citations-it1-studies'!$C165</f>
        <v>2025</v>
      </c>
      <c r="D131">
        <f>'citations-it1-studies'!$H165</f>
        <v>42</v>
      </c>
      <c r="E131" t="s">
        <v>1398</v>
      </c>
      <c r="F131" s="9" t="s">
        <v>51</v>
      </c>
      <c r="G131" s="9" t="s">
        <v>51</v>
      </c>
      <c r="H131" s="9" t="s">
        <v>1397</v>
      </c>
      <c r="I131" s="9" t="s">
        <v>51</v>
      </c>
      <c r="J131" s="9" t="s">
        <v>51</v>
      </c>
      <c r="K131" s="9" t="s">
        <v>51</v>
      </c>
      <c r="L131" s="9" t="s">
        <v>51</v>
      </c>
      <c r="M131" t="s">
        <v>1397</v>
      </c>
      <c r="N131" t="str">
        <f t="shared" si="6"/>
        <v>Exclude</v>
      </c>
      <c r="O131" t="s">
        <v>4277</v>
      </c>
    </row>
    <row r="132" spans="1:15">
      <c r="A132" t="s">
        <v>4274</v>
      </c>
      <c r="B132" s="39" t="str">
        <f>HYPERLINK('citations-it1-studies'!$D166,'citations-it1-studies'!$B166)</f>
        <v>Holistic Survey on Security in IoT Application Layer: Attacks, Protocols, and Applications</v>
      </c>
      <c r="C132">
        <f>'citations-it1-studies'!$C166</f>
        <v>2024</v>
      </c>
      <c r="D132">
        <f>'citations-it1-studies'!$H166</f>
        <v>58</v>
      </c>
      <c r="E132" t="s">
        <v>1398</v>
      </c>
      <c r="F132" s="10" t="s">
        <v>51</v>
      </c>
      <c r="G132" s="10" t="s">
        <v>51</v>
      </c>
      <c r="H132" s="10" t="s">
        <v>51</v>
      </c>
      <c r="I132" s="10" t="s">
        <v>51</v>
      </c>
      <c r="J132" s="10" t="s">
        <v>1397</v>
      </c>
      <c r="K132" s="10" t="s">
        <v>51</v>
      </c>
      <c r="L132" s="10" t="s">
        <v>51</v>
      </c>
      <c r="M132" t="s">
        <v>1397</v>
      </c>
      <c r="N132" t="str">
        <f t="shared" si="6"/>
        <v>Exclude</v>
      </c>
      <c r="O132" t="s">
        <v>4281</v>
      </c>
    </row>
    <row r="133" spans="1:15">
      <c r="A133" t="s">
        <v>4274</v>
      </c>
      <c r="B133" s="39" t="str">
        <f>HYPERLINK('citations-it1-studies'!$D167,'citations-it1-studies'!$B167)</f>
        <v>Big Data and Machine Learning in Industry 6.0</v>
      </c>
      <c r="C133">
        <f>'citations-it1-studies'!$C167</f>
        <v>2026</v>
      </c>
      <c r="D133">
        <f>'citations-it1-studies'!$H167</f>
        <v>27</v>
      </c>
      <c r="E133" t="s">
        <v>1398</v>
      </c>
      <c r="F133" s="9" t="s">
        <v>51</v>
      </c>
      <c r="G133" s="9" t="s">
        <v>51</v>
      </c>
      <c r="H133" s="9" t="s">
        <v>51</v>
      </c>
      <c r="I133" s="9" t="s">
        <v>51</v>
      </c>
      <c r="J133" s="9" t="s">
        <v>51</v>
      </c>
      <c r="K133" s="9" t="s">
        <v>51</v>
      </c>
      <c r="L133" s="9" t="s">
        <v>1397</v>
      </c>
      <c r="M133" t="s">
        <v>1397</v>
      </c>
      <c r="N133" t="str">
        <f t="shared" si="6"/>
        <v>Exclude</v>
      </c>
      <c r="O133" t="s">
        <v>4276</v>
      </c>
    </row>
    <row r="134" spans="1:15">
      <c r="A134" t="s">
        <v>4274</v>
      </c>
      <c r="B134" s="39" t="str">
        <f>HYPERLINK('citations-it1-studies'!$D169,'citations-it1-studies'!$B169)</f>
        <v>Edge Computing for Safe Control of a Parametric Multi-floor Manufacturing Process</v>
      </c>
      <c r="C134">
        <f>'citations-it1-studies'!$C169</f>
        <v>2025</v>
      </c>
      <c r="D134">
        <f>'citations-it1-studies'!$H169</f>
        <v>6</v>
      </c>
      <c r="E134" t="s">
        <v>1398</v>
      </c>
      <c r="F134" s="10" t="s">
        <v>51</v>
      </c>
      <c r="G134" s="10" t="s">
        <v>51</v>
      </c>
      <c r="H134" s="10" t="s">
        <v>51</v>
      </c>
      <c r="I134" s="10" t="s">
        <v>51</v>
      </c>
      <c r="J134" s="10" t="s">
        <v>51</v>
      </c>
      <c r="K134" s="10" t="s">
        <v>51</v>
      </c>
      <c r="L134" s="10" t="s">
        <v>1397</v>
      </c>
      <c r="M134" t="s">
        <v>1397</v>
      </c>
      <c r="N134" t="str">
        <f t="shared" si="6"/>
        <v>Exclude</v>
      </c>
      <c r="O134" t="s">
        <v>4278</v>
      </c>
    </row>
    <row r="135" spans="1:15">
      <c r="A135" t="s">
        <v>4274</v>
      </c>
      <c r="B135" s="39" t="str">
        <f>HYPERLINK('citations-it1-studies'!$D171,'citations-it1-studies'!$B171)</f>
        <v>Resilience Against APTs: A Provenance-Based IIoT Dataset for Cybersecurity Research</v>
      </c>
      <c r="C135">
        <f>'citations-it1-studies'!$C171</f>
        <v>2026</v>
      </c>
      <c r="D135">
        <f>'citations-it1-studies'!$H171</f>
        <v>24</v>
      </c>
      <c r="E135" t="s">
        <v>1398</v>
      </c>
      <c r="F135" s="9" t="s">
        <v>51</v>
      </c>
      <c r="G135" s="9" t="s">
        <v>51</v>
      </c>
      <c r="H135" s="9" t="s">
        <v>51</v>
      </c>
      <c r="I135" s="9" t="s">
        <v>51</v>
      </c>
      <c r="J135" s="9" t="s">
        <v>51</v>
      </c>
      <c r="K135" s="9" t="s">
        <v>51</v>
      </c>
      <c r="L135" s="9" t="s">
        <v>1397</v>
      </c>
      <c r="M135" t="s">
        <v>1397</v>
      </c>
      <c r="N135" t="str">
        <f t="shared" si="6"/>
        <v>Exclude</v>
      </c>
      <c r="O135" t="s">
        <v>4276</v>
      </c>
    </row>
    <row r="136" spans="1:15">
      <c r="A136" t="s">
        <v>4274</v>
      </c>
      <c r="B136" s="39" t="str">
        <f>HYPERLINK('citations-it1-studies'!$D175,'citations-it1-studies'!$B175)</f>
        <v>Microsecond-Accurate EtherCAT Transmission Scheme for Industrial Cyber–Physical Systems</v>
      </c>
      <c r="C136">
        <f>'citations-it1-studies'!$C175</f>
        <v>2025</v>
      </c>
      <c r="D136">
        <f>'citations-it1-studies'!$H175</f>
        <v>13</v>
      </c>
      <c r="E136" t="s">
        <v>1398</v>
      </c>
      <c r="F136" s="9" t="s">
        <v>51</v>
      </c>
      <c r="G136" s="9" t="s">
        <v>51</v>
      </c>
      <c r="H136" s="9" t="s">
        <v>51</v>
      </c>
      <c r="I136" s="9" t="s">
        <v>51</v>
      </c>
      <c r="J136" s="9" t="s">
        <v>51</v>
      </c>
      <c r="K136" s="9" t="s">
        <v>51</v>
      </c>
      <c r="L136" s="9" t="s">
        <v>1397</v>
      </c>
      <c r="M136" t="s">
        <v>1397</v>
      </c>
      <c r="N136" t="str">
        <f t="shared" ref="N136:N162" si="7">IF(COUNTIF(F136:M136,"X")&gt;0,"Exclude",IF(UPPER(TRIM(E136))="O","Include",""))</f>
        <v>Exclude</v>
      </c>
      <c r="O136" t="s">
        <v>4280</v>
      </c>
    </row>
    <row r="137" spans="1:15">
      <c r="A137" t="s">
        <v>4274</v>
      </c>
      <c r="B137" s="39" t="str">
        <f>HYPERLINK('citations-it1-studies'!$D177,'citations-it1-studies'!$B177)</f>
        <v>Seamless computing in industrial systems using container orchestration</v>
      </c>
      <c r="C137">
        <f>'citations-it1-studies'!$C177</f>
        <v>2020</v>
      </c>
      <c r="D137">
        <f>'citations-it1-studies'!$H177</f>
        <v>11</v>
      </c>
      <c r="E137" t="s">
        <v>1398</v>
      </c>
      <c r="F137" s="9" t="s">
        <v>51</v>
      </c>
      <c r="G137" s="9" t="s">
        <v>51</v>
      </c>
      <c r="H137" s="9" t="s">
        <v>51</v>
      </c>
      <c r="I137" s="9" t="s">
        <v>51</v>
      </c>
      <c r="J137" s="9" t="s">
        <v>51</v>
      </c>
      <c r="K137" s="9" t="s">
        <v>51</v>
      </c>
      <c r="L137" s="9" t="s">
        <v>1397</v>
      </c>
      <c r="M137" t="s">
        <v>1397</v>
      </c>
      <c r="N137" t="str">
        <f t="shared" si="7"/>
        <v>Exclude</v>
      </c>
      <c r="O137" t="s">
        <v>4278</v>
      </c>
    </row>
    <row r="138" spans="1:15">
      <c r="A138" t="s">
        <v>4274</v>
      </c>
      <c r="B138" s="39" t="str">
        <f>HYPERLINK('citations-it1-studies'!$D178,'citations-it1-studies'!$B178)</f>
        <v>Comparative Evaluation of open62541 OPC UA Servers on Embedded Devices</v>
      </c>
      <c r="C138">
        <f>'citations-it1-studies'!$C178</f>
        <v>2025</v>
      </c>
      <c r="D138">
        <f>'citations-it1-studies'!$H178</f>
        <v>6</v>
      </c>
      <c r="E138" t="s">
        <v>1398</v>
      </c>
      <c r="F138" s="10" t="s">
        <v>51</v>
      </c>
      <c r="G138" s="10" t="s">
        <v>51</v>
      </c>
      <c r="H138" s="10" t="s">
        <v>51</v>
      </c>
      <c r="I138" s="10" t="s">
        <v>51</v>
      </c>
      <c r="J138" s="10" t="s">
        <v>51</v>
      </c>
      <c r="K138" s="10" t="s">
        <v>51</v>
      </c>
      <c r="L138" s="10" t="s">
        <v>51</v>
      </c>
      <c r="N138" t="str">
        <f t="shared" si="7"/>
        <v>Include</v>
      </c>
      <c r="O138" t="s">
        <v>4295</v>
      </c>
    </row>
    <row r="139" spans="1:15">
      <c r="A139" t="s">
        <v>4274</v>
      </c>
      <c r="B139" s="39" t="str">
        <f>HYPERLINK('citations-it1-studies'!$D179,'citations-it1-studies'!$B179)</f>
        <v>Multilabel Classification in IoT NIDS: A Proposed Cross Machine Learning Pipeline</v>
      </c>
      <c r="C139">
        <f>'citations-it1-studies'!$C179</f>
        <v>2024</v>
      </c>
      <c r="D139">
        <f>'citations-it1-studies'!$H179</f>
        <v>9</v>
      </c>
      <c r="E139" t="s">
        <v>1398</v>
      </c>
      <c r="F139" s="9" t="s">
        <v>51</v>
      </c>
      <c r="G139" s="9" t="s">
        <v>51</v>
      </c>
      <c r="H139" s="9" t="s">
        <v>51</v>
      </c>
      <c r="I139" s="9" t="s">
        <v>51</v>
      </c>
      <c r="J139" s="9" t="s">
        <v>51</v>
      </c>
      <c r="K139" s="9" t="s">
        <v>51</v>
      </c>
      <c r="L139" s="9" t="s">
        <v>1397</v>
      </c>
      <c r="M139" t="s">
        <v>1397</v>
      </c>
      <c r="N139" t="str">
        <f t="shared" si="7"/>
        <v>Exclude</v>
      </c>
      <c r="O139" t="s">
        <v>4276</v>
      </c>
    </row>
    <row r="140" spans="1:15">
      <c r="A140" t="s">
        <v>4274</v>
      </c>
      <c r="B140" s="39" t="str">
        <f>HYPERLINK('citations-it1-studies'!$D181,'citations-it1-studies'!$B181)</f>
        <v>A Modular Interface for Multi-Agent Marine Autonomy Simulation</v>
      </c>
      <c r="C140">
        <f>'citations-it1-studies'!$C181</f>
        <v>2025</v>
      </c>
      <c r="D140">
        <f>'citations-it1-studies'!$H181</f>
        <v>5</v>
      </c>
      <c r="E140" t="s">
        <v>1398</v>
      </c>
      <c r="F140" s="10" t="s">
        <v>51</v>
      </c>
      <c r="G140" s="10" t="s">
        <v>51</v>
      </c>
      <c r="H140" s="10" t="s">
        <v>1397</v>
      </c>
      <c r="I140" s="10" t="s">
        <v>51</v>
      </c>
      <c r="J140" s="10" t="s">
        <v>51</v>
      </c>
      <c r="K140" s="10" t="s">
        <v>51</v>
      </c>
      <c r="L140" s="10" t="s">
        <v>51</v>
      </c>
      <c r="M140" t="s">
        <v>1397</v>
      </c>
      <c r="N140" t="str">
        <f t="shared" si="7"/>
        <v>Exclude</v>
      </c>
      <c r="O140" t="s">
        <v>4277</v>
      </c>
    </row>
    <row r="141" spans="1:15">
      <c r="A141" t="s">
        <v>4274</v>
      </c>
      <c r="B141" s="39" t="str">
        <f>HYPERLINK('citations-it1-studies'!$D183,'citations-it1-studies'!$B183)</f>
        <v>Assessment of OPC UA PubSub at Scale Using TSN Infrastructure and Network Calculus</v>
      </c>
      <c r="C141">
        <f>'citations-it1-studies'!$C183</f>
        <v>2024</v>
      </c>
      <c r="D141">
        <f>'citations-it1-studies'!$H183</f>
        <v>9</v>
      </c>
      <c r="E141" t="s">
        <v>1398</v>
      </c>
      <c r="F141" s="9" t="s">
        <v>51</v>
      </c>
      <c r="G141" s="9" t="s">
        <v>51</v>
      </c>
      <c r="H141" s="9" t="s">
        <v>51</v>
      </c>
      <c r="I141" s="9" t="s">
        <v>51</v>
      </c>
      <c r="J141" s="9" t="s">
        <v>51</v>
      </c>
      <c r="K141" s="9" t="s">
        <v>51</v>
      </c>
      <c r="L141" s="9" t="s">
        <v>51</v>
      </c>
      <c r="N141" t="str">
        <f t="shared" si="7"/>
        <v>Include</v>
      </c>
      <c r="O141" t="s">
        <v>4296</v>
      </c>
    </row>
    <row r="142" spans="1:15">
      <c r="A142" t="s">
        <v>4274</v>
      </c>
      <c r="B142" s="39" t="str">
        <f>HYPERLINK('citations-it1-studies'!$D185,'citations-it1-studies'!$B185)</f>
        <v>Multi-Client Scenario-Based Reverse Shell Attack Simulation</v>
      </c>
      <c r="C142">
        <f>'citations-it1-studies'!$C185</f>
        <v>2025</v>
      </c>
      <c r="D142">
        <f>'citations-it1-studies'!$H185</f>
        <v>5</v>
      </c>
      <c r="E142" t="s">
        <v>1398</v>
      </c>
      <c r="F142" s="10" t="s">
        <v>51</v>
      </c>
      <c r="G142" s="10" t="s">
        <v>51</v>
      </c>
      <c r="H142" s="10" t="s">
        <v>1397</v>
      </c>
      <c r="I142" s="10" t="s">
        <v>51</v>
      </c>
      <c r="J142" s="10" t="s">
        <v>51</v>
      </c>
      <c r="K142" s="10" t="s">
        <v>51</v>
      </c>
      <c r="L142" s="10" t="s">
        <v>51</v>
      </c>
      <c r="M142" t="s">
        <v>1397</v>
      </c>
      <c r="N142" t="str">
        <f t="shared" si="7"/>
        <v>Exclude</v>
      </c>
      <c r="O142" t="s">
        <v>4277</v>
      </c>
    </row>
    <row r="143" spans="1:15">
      <c r="A143" t="s">
        <v>4274</v>
      </c>
      <c r="B143" s="39" t="str">
        <f>HYPERLINK('citations-it1-studies'!$D186,'citations-it1-studies'!$B186)</f>
        <v>Analyzing Microservice Communication Performance in Industrial Edge Platform</v>
      </c>
      <c r="C143">
        <f>'citations-it1-studies'!$C186</f>
        <v>2025</v>
      </c>
      <c r="D143">
        <f>'citations-it1-studies'!$H186</f>
        <v>12</v>
      </c>
      <c r="E143" t="s">
        <v>1398</v>
      </c>
      <c r="F143" s="9" t="s">
        <v>51</v>
      </c>
      <c r="G143" s="9" t="s">
        <v>51</v>
      </c>
      <c r="H143" s="9" t="s">
        <v>51</v>
      </c>
      <c r="I143" s="9" t="s">
        <v>51</v>
      </c>
      <c r="J143" s="9" t="s">
        <v>51</v>
      </c>
      <c r="K143" s="9" t="s">
        <v>51</v>
      </c>
      <c r="L143" s="9" t="s">
        <v>1397</v>
      </c>
      <c r="N143" t="str">
        <f t="shared" si="7"/>
        <v>Exclude</v>
      </c>
      <c r="O143" t="s">
        <v>4297</v>
      </c>
    </row>
    <row r="144" spans="1:15">
      <c r="A144" t="s">
        <v>4274</v>
      </c>
      <c r="B144" s="39" t="str">
        <f>HYPERLINK('citations-it1-studies'!$D187,'citations-it1-studies'!$B187)</f>
        <v>D&amp;R of Digital Twin-based Intelligent Control Practical Training System</v>
      </c>
      <c r="C144">
        <f>'citations-it1-studies'!$C187</f>
        <v>2023</v>
      </c>
      <c r="D144">
        <f>'citations-it1-studies'!$H187</f>
        <v>7</v>
      </c>
      <c r="E144" t="s">
        <v>1398</v>
      </c>
      <c r="F144" s="10" t="s">
        <v>51</v>
      </c>
      <c r="G144" s="10" t="s">
        <v>51</v>
      </c>
      <c r="H144" s="10" t="s">
        <v>1397</v>
      </c>
      <c r="I144" s="10" t="s">
        <v>51</v>
      </c>
      <c r="J144" s="10" t="s">
        <v>51</v>
      </c>
      <c r="K144" s="10" t="s">
        <v>51</v>
      </c>
      <c r="L144" s="10" t="s">
        <v>51</v>
      </c>
      <c r="M144" t="s">
        <v>1397</v>
      </c>
      <c r="N144" t="str">
        <f t="shared" si="7"/>
        <v>Exclude</v>
      </c>
      <c r="O144" t="s">
        <v>4277</v>
      </c>
    </row>
    <row r="145" spans="1:15">
      <c r="A145" t="s">
        <v>4274</v>
      </c>
      <c r="B145" s="39" t="str">
        <f>HYPERLINK('citations-it1-studies'!$D188,'citations-it1-studies'!$B188)</f>
        <v>Evaluating V2X Communications in the CARLA Simulator for a Collaborative Planning Use Case</v>
      </c>
      <c r="C145">
        <f>'citations-it1-studies'!$C188</f>
        <v>2024</v>
      </c>
      <c r="D145">
        <f>'citations-it1-studies'!$H188</f>
        <v>6</v>
      </c>
      <c r="E145" t="s">
        <v>1398</v>
      </c>
      <c r="F145" s="10" t="s">
        <v>51</v>
      </c>
      <c r="G145" s="10" t="s">
        <v>51</v>
      </c>
      <c r="H145" s="10" t="s">
        <v>1397</v>
      </c>
      <c r="I145" s="10" t="s">
        <v>51</v>
      </c>
      <c r="J145" s="10" t="s">
        <v>51</v>
      </c>
      <c r="K145" s="10" t="s">
        <v>51</v>
      </c>
      <c r="L145" s="10" t="s">
        <v>51</v>
      </c>
      <c r="M145" t="s">
        <v>1397</v>
      </c>
      <c r="N145" t="str">
        <f t="shared" si="7"/>
        <v>Exclude</v>
      </c>
      <c r="O145" t="s">
        <v>4277</v>
      </c>
    </row>
    <row r="146" spans="1:15">
      <c r="A146" t="s">
        <v>4274</v>
      </c>
      <c r="B146" s="39" t="str">
        <f>HYPERLINK('citations-it1-studies'!$D189,'citations-it1-studies'!$B189)</f>
        <v>Deep learning-based stacked models for cyber-attack detection in industrial internet of things</v>
      </c>
      <c r="C146">
        <f>'citations-it1-studies'!$C189</f>
        <v>2025</v>
      </c>
      <c r="D146">
        <f>'citations-it1-studies'!$H189</f>
        <v>35</v>
      </c>
      <c r="E146" t="s">
        <v>1398</v>
      </c>
      <c r="F146" s="9" t="s">
        <v>51</v>
      </c>
      <c r="G146" s="9" t="s">
        <v>51</v>
      </c>
      <c r="H146" s="9" t="s">
        <v>51</v>
      </c>
      <c r="I146" s="9" t="s">
        <v>51</v>
      </c>
      <c r="J146" s="9" t="s">
        <v>51</v>
      </c>
      <c r="K146" s="9" t="s">
        <v>51</v>
      </c>
      <c r="L146" s="9" t="s">
        <v>1397</v>
      </c>
      <c r="M146" t="s">
        <v>1397</v>
      </c>
      <c r="N146" t="str">
        <f t="shared" si="7"/>
        <v>Exclude</v>
      </c>
      <c r="O146" t="s">
        <v>4276</v>
      </c>
    </row>
    <row r="147" spans="1:15">
      <c r="A147" t="s">
        <v>4274</v>
      </c>
      <c r="B147" s="39" t="str">
        <f>HYPERLINK('citations-it1-studies'!$D190,'citations-it1-studies'!$B190)</f>
        <v>Toward Digital Twin-as-a-Service (DTaaS) Platforms: A Survey on Architecture, Design Requirements, and Performance Metrics</v>
      </c>
      <c r="C147">
        <f>'citations-it1-studies'!$C190</f>
        <v>2026</v>
      </c>
      <c r="D147">
        <f>'citations-it1-studies'!$H190</f>
        <v>34</v>
      </c>
      <c r="E147" t="s">
        <v>1398</v>
      </c>
      <c r="F147" s="10" t="s">
        <v>51</v>
      </c>
      <c r="G147" s="10" t="s">
        <v>51</v>
      </c>
      <c r="H147" s="10" t="s">
        <v>51</v>
      </c>
      <c r="I147" s="10" t="s">
        <v>51</v>
      </c>
      <c r="J147" s="10" t="s">
        <v>1397</v>
      </c>
      <c r="K147" s="10" t="s">
        <v>51</v>
      </c>
      <c r="L147" s="10" t="s">
        <v>51</v>
      </c>
      <c r="M147" t="s">
        <v>1397</v>
      </c>
      <c r="N147" t="str">
        <f t="shared" si="7"/>
        <v>Exclude</v>
      </c>
      <c r="O147" t="s">
        <v>4281</v>
      </c>
    </row>
    <row r="148" spans="1:15">
      <c r="A148" t="s">
        <v>4274</v>
      </c>
      <c r="B148" s="39" t="str">
        <f>HYPERLINK('citations-it1-studies'!$D192,'citations-it1-studies'!$B192)</f>
        <v>Computer vision-based quality inspection for tire sealant application with simulated robotic dispensing</v>
      </c>
      <c r="C148">
        <f>'citations-it1-studies'!$C192</f>
        <v>2025</v>
      </c>
      <c r="D148">
        <f>'citations-it1-studies'!$H192</f>
        <v>35</v>
      </c>
      <c r="E148" t="s">
        <v>1398</v>
      </c>
      <c r="F148" s="9" t="s">
        <v>51</v>
      </c>
      <c r="G148" s="9" t="s">
        <v>51</v>
      </c>
      <c r="H148" s="9" t="s">
        <v>1397</v>
      </c>
      <c r="I148" s="9" t="s">
        <v>51</v>
      </c>
      <c r="J148" s="9" t="s">
        <v>51</v>
      </c>
      <c r="K148" s="9" t="s">
        <v>51</v>
      </c>
      <c r="L148" s="9" t="s">
        <v>51</v>
      </c>
      <c r="M148" t="s">
        <v>1397</v>
      </c>
      <c r="N148" t="str">
        <f t="shared" si="7"/>
        <v>Exclude</v>
      </c>
      <c r="O148" t="s">
        <v>4277</v>
      </c>
    </row>
    <row r="149" spans="1:15">
      <c r="A149" t="s">
        <v>4274</v>
      </c>
      <c r="B149" s="39" t="str">
        <f>HYPERLINK('citations-it1-studies'!$D193,'citations-it1-studies'!$B193)</f>
        <v>Multiuser Physical-Layer Authentication Based on Latent Perturbed Neural Networks for Industrial Internet of Things</v>
      </c>
      <c r="C149">
        <f>'citations-it1-studies'!$C193</f>
        <v>2023</v>
      </c>
      <c r="D149">
        <f>'citations-it1-studies'!$H193</f>
        <v>16</v>
      </c>
      <c r="E149" t="s">
        <v>1398</v>
      </c>
      <c r="F149" s="10" t="s">
        <v>51</v>
      </c>
      <c r="G149" s="10" t="s">
        <v>51</v>
      </c>
      <c r="H149" s="10" t="s">
        <v>51</v>
      </c>
      <c r="I149" s="10" t="s">
        <v>51</v>
      </c>
      <c r="J149" s="10" t="s">
        <v>51</v>
      </c>
      <c r="K149" s="10" t="s">
        <v>51</v>
      </c>
      <c r="L149" s="10" t="s">
        <v>1397</v>
      </c>
      <c r="M149" t="s">
        <v>1397</v>
      </c>
      <c r="N149" t="str">
        <f t="shared" si="7"/>
        <v>Exclude</v>
      </c>
      <c r="O149" t="s">
        <v>4278</v>
      </c>
    </row>
    <row r="150" spans="1:15">
      <c r="A150" t="s">
        <v>4274</v>
      </c>
      <c r="B150" s="39" t="str">
        <f>HYPERLINK('citations-it1-studies'!$D194,'citations-it1-studies'!$B194)</f>
        <v>255Virtual cybersecurity testbeds for industrial Internet of Things</v>
      </c>
      <c r="C150">
        <f>'citations-it1-studies'!$C194</f>
        <v>0</v>
      </c>
      <c r="D150">
        <f>'citations-it1-studies'!$H194</f>
        <v>26</v>
      </c>
      <c r="E150" t="s">
        <v>1398</v>
      </c>
      <c r="F150" s="9" t="s">
        <v>51</v>
      </c>
      <c r="G150" s="9" t="s">
        <v>51</v>
      </c>
      <c r="H150" s="9" t="s">
        <v>51</v>
      </c>
      <c r="I150" s="9" t="s">
        <v>51</v>
      </c>
      <c r="J150" s="9" t="s">
        <v>51</v>
      </c>
      <c r="K150" s="9" t="s">
        <v>51</v>
      </c>
      <c r="L150" s="9" t="s">
        <v>1397</v>
      </c>
      <c r="M150" t="s">
        <v>1397</v>
      </c>
      <c r="N150" t="str">
        <f t="shared" si="7"/>
        <v>Exclude</v>
      </c>
      <c r="O150" t="s">
        <v>4278</v>
      </c>
    </row>
    <row r="151" spans="1:15">
      <c r="A151" t="s">
        <v>4274</v>
      </c>
      <c r="B151" s="39" t="str">
        <f>HYPERLINK('citations-it1-studies'!$D195,'citations-it1-studies'!$B195)</f>
        <v>QMA: A Ressource-efficient, Q-Learning-based Multiple Access Scheme for the IIoT</v>
      </c>
      <c r="C151">
        <f>'citations-it1-studies'!$C195</f>
        <v>2021</v>
      </c>
      <c r="D151">
        <f>'citations-it1-studies'!$H195</f>
        <v>0</v>
      </c>
      <c r="E151" t="s">
        <v>1398</v>
      </c>
      <c r="F151" s="10" t="s">
        <v>51</v>
      </c>
      <c r="G151" s="10" t="s">
        <v>51</v>
      </c>
      <c r="H151" s="10" t="s">
        <v>51</v>
      </c>
      <c r="I151" s="10" t="s">
        <v>1397</v>
      </c>
      <c r="J151" s="10" t="s">
        <v>51</v>
      </c>
      <c r="K151" s="10" t="s">
        <v>51</v>
      </c>
      <c r="L151" s="10" t="s">
        <v>1397</v>
      </c>
      <c r="M151" t="s">
        <v>1397</v>
      </c>
      <c r="N151" t="str">
        <f t="shared" si="7"/>
        <v>Exclude</v>
      </c>
      <c r="O151" t="s">
        <v>4278</v>
      </c>
    </row>
    <row r="152" spans="1:15">
      <c r="A152" t="s">
        <v>4274</v>
      </c>
      <c r="B152" s="39" t="str">
        <f>HYPERLINK('citations-it1-studies'!$D196,'citations-it1-studies'!$B196)</f>
        <v>Intrusion Detection and Prevention in Industrial Internet of Things: A Study</v>
      </c>
      <c r="C152">
        <f>'citations-it1-studies'!$C196</f>
        <v>2023</v>
      </c>
      <c r="D152">
        <f>'citations-it1-studies'!$H196</f>
        <v>12</v>
      </c>
      <c r="E152" t="s">
        <v>1398</v>
      </c>
      <c r="F152" s="9" t="s">
        <v>51</v>
      </c>
      <c r="G152" s="9" t="s">
        <v>51</v>
      </c>
      <c r="H152" s="9" t="s">
        <v>51</v>
      </c>
      <c r="I152" s="9" t="s">
        <v>51</v>
      </c>
      <c r="J152" s="9" t="s">
        <v>51</v>
      </c>
      <c r="K152" s="9" t="s">
        <v>51</v>
      </c>
      <c r="L152" s="9" t="s">
        <v>1397</v>
      </c>
      <c r="M152" t="s">
        <v>1397</v>
      </c>
      <c r="N152" t="str">
        <f t="shared" si="7"/>
        <v>Exclude</v>
      </c>
      <c r="O152" t="s">
        <v>4276</v>
      </c>
    </row>
    <row r="153" spans="1:15">
      <c r="A153" t="s">
        <v>4274</v>
      </c>
      <c r="B153" s="39" t="str">
        <f>HYPERLINK('citations-it1-studies'!$D197,'citations-it1-studies'!$B197)</f>
        <v>IEEE P2668-Compliant Multi-Layer IoT-DDoS Defense System Using Deep Reinforcement Learning</v>
      </c>
      <c r="C153">
        <f>'citations-it1-studies'!$C197</f>
        <v>2023</v>
      </c>
      <c r="D153">
        <f>'citations-it1-studies'!$H197</f>
        <v>16</v>
      </c>
      <c r="E153" t="s">
        <v>1398</v>
      </c>
      <c r="F153" s="10" t="s">
        <v>51</v>
      </c>
      <c r="G153" s="10" t="s">
        <v>51</v>
      </c>
      <c r="H153" s="10" t="s">
        <v>51</v>
      </c>
      <c r="I153" s="10" t="s">
        <v>51</v>
      </c>
      <c r="J153" s="10" t="s">
        <v>51</v>
      </c>
      <c r="K153" s="10" t="s">
        <v>51</v>
      </c>
      <c r="L153" s="10" t="s">
        <v>1397</v>
      </c>
      <c r="M153" t="s">
        <v>1397</v>
      </c>
      <c r="N153" t="str">
        <f t="shared" si="7"/>
        <v>Exclude</v>
      </c>
      <c r="O153" t="s">
        <v>4276</v>
      </c>
    </row>
    <row r="154" spans="1:15">
      <c r="A154" t="s">
        <v>4274</v>
      </c>
      <c r="B154" s="39" t="str">
        <f>HYPERLINK('citations-it1-studies'!$D199,'citations-it1-studies'!$B199)</f>
        <v>Artificial intelligence for secure and sustainable industrial control systems - A Survey of challenges and solutions</v>
      </c>
      <c r="C154">
        <f>'citations-it1-studies'!$C199</f>
        <v>2025</v>
      </c>
      <c r="D154">
        <f>'citations-it1-studies'!$H199</f>
        <v>0</v>
      </c>
      <c r="E154" t="s">
        <v>1398</v>
      </c>
      <c r="F154" s="9" t="s">
        <v>51</v>
      </c>
      <c r="G154" s="9" t="s">
        <v>51</v>
      </c>
      <c r="H154" s="9" t="s">
        <v>51</v>
      </c>
      <c r="I154" s="9" t="s">
        <v>1397</v>
      </c>
      <c r="J154" s="9" t="s">
        <v>1397</v>
      </c>
      <c r="K154" s="9" t="s">
        <v>51</v>
      </c>
      <c r="L154" s="9" t="s">
        <v>51</v>
      </c>
      <c r="M154" t="s">
        <v>1397</v>
      </c>
      <c r="N154" t="str">
        <f t="shared" si="7"/>
        <v>Exclude</v>
      </c>
      <c r="O154" t="s">
        <v>4281</v>
      </c>
    </row>
    <row r="155" spans="1:15">
      <c r="A155" t="s">
        <v>4274</v>
      </c>
      <c r="B155" s="39" t="str">
        <f>HYPERLINK('citations-it1-studies'!$D200,'citations-it1-studies'!$B200)</f>
        <v>Internet of Things Driven Digital Twin for Intelligent Manufacturing in Shipbuilding Workshops</v>
      </c>
      <c r="C155">
        <f>'citations-it1-studies'!$C200</f>
        <v>2025</v>
      </c>
      <c r="D155">
        <f>'citations-it1-studies'!$H200</f>
        <v>0</v>
      </c>
      <c r="E155" t="s">
        <v>1398</v>
      </c>
      <c r="F155" s="10" t="s">
        <v>51</v>
      </c>
      <c r="G155" s="10" t="s">
        <v>51</v>
      </c>
      <c r="H155" s="10" t="s">
        <v>51</v>
      </c>
      <c r="I155" s="10" t="s">
        <v>1397</v>
      </c>
      <c r="J155" s="10" t="s">
        <v>51</v>
      </c>
      <c r="K155" s="10" t="s">
        <v>51</v>
      </c>
      <c r="L155" s="10" t="s">
        <v>1397</v>
      </c>
      <c r="M155" t="s">
        <v>1397</v>
      </c>
      <c r="N155" t="str">
        <f t="shared" si="7"/>
        <v>Exclude</v>
      </c>
      <c r="O155" t="s">
        <v>4278</v>
      </c>
    </row>
    <row r="156" spans="1:15">
      <c r="A156" t="s">
        <v>4274</v>
      </c>
      <c r="B156" s="39" t="str">
        <f>HYPERLINK('citations-it1-studies'!$D201,'citations-it1-studies'!$B201)</f>
        <v>Flexible Arbitrary Signal Generation and Acquisition System for Compact Underwater Measurement Systems and Data Fusion</v>
      </c>
      <c r="C156">
        <f>'citations-it1-studies'!$C201</f>
        <v>2021</v>
      </c>
      <c r="D156">
        <f>'citations-it1-studies'!$H201</f>
        <v>6</v>
      </c>
      <c r="E156" t="s">
        <v>1398</v>
      </c>
      <c r="F156" s="9" t="s">
        <v>51</v>
      </c>
      <c r="G156" s="9" t="s">
        <v>51</v>
      </c>
      <c r="H156" s="9" t="s">
        <v>1397</v>
      </c>
      <c r="I156" s="9" t="s">
        <v>51</v>
      </c>
      <c r="J156" s="9" t="s">
        <v>51</v>
      </c>
      <c r="K156" s="9" t="s">
        <v>51</v>
      </c>
      <c r="L156" s="9" t="s">
        <v>51</v>
      </c>
      <c r="M156" t="s">
        <v>1397</v>
      </c>
      <c r="N156" t="str">
        <f t="shared" si="7"/>
        <v>Exclude</v>
      </c>
      <c r="O156" t="s">
        <v>4277</v>
      </c>
    </row>
    <row r="157" spans="1:15">
      <c r="A157" t="s">
        <v>4274</v>
      </c>
      <c r="B157" s="39" t="str">
        <f>HYPERLINK('citations-it1-studies'!$D203,'citations-it1-studies'!$B203)</f>
        <v>Real-Time AI-Driven Milling Digital Twin Towards Extreme Low-Latency</v>
      </c>
      <c r="C157">
        <f>'citations-it1-studies'!$C203</f>
        <v>2026</v>
      </c>
      <c r="D157">
        <f>'citations-it1-studies'!$H203</f>
        <v>0</v>
      </c>
      <c r="E157" t="s">
        <v>1398</v>
      </c>
      <c r="F157" s="10" t="s">
        <v>51</v>
      </c>
      <c r="G157" s="10" t="s">
        <v>51</v>
      </c>
      <c r="H157" s="10" t="s">
        <v>1397</v>
      </c>
      <c r="I157" s="10" t="s">
        <v>1397</v>
      </c>
      <c r="J157" s="10" t="s">
        <v>51</v>
      </c>
      <c r="K157" s="10" t="s">
        <v>51</v>
      </c>
      <c r="L157" s="10" t="s">
        <v>51</v>
      </c>
      <c r="M157" t="s">
        <v>1397</v>
      </c>
      <c r="N157" t="str">
        <f t="shared" si="7"/>
        <v>Exclude</v>
      </c>
      <c r="O157" t="s">
        <v>4277</v>
      </c>
    </row>
    <row r="158" spans="1:15">
      <c r="A158" t="s">
        <v>4274</v>
      </c>
      <c r="B158" s="39" t="str">
        <f>HYPERLINK('citations-it1-studies'!$D205,'citations-it1-studies'!$B205)</f>
        <v>Multi-Scene Layered Container Pre-Migration Method for Satellite Task Continuity</v>
      </c>
      <c r="C158">
        <f>'citations-it1-studies'!$C205</f>
        <v>2025</v>
      </c>
      <c r="D158">
        <f>'citations-it1-studies'!$H205</f>
        <v>6</v>
      </c>
      <c r="E158" t="s">
        <v>1398</v>
      </c>
      <c r="F158" s="9" t="s">
        <v>51</v>
      </c>
      <c r="G158" s="9" t="s">
        <v>51</v>
      </c>
      <c r="H158" s="9" t="s">
        <v>1397</v>
      </c>
      <c r="I158" s="9" t="s">
        <v>51</v>
      </c>
      <c r="J158" s="9" t="s">
        <v>51</v>
      </c>
      <c r="K158" s="9" t="s">
        <v>51</v>
      </c>
      <c r="L158" s="9" t="s">
        <v>51</v>
      </c>
      <c r="M158" t="s">
        <v>1397</v>
      </c>
      <c r="N158" t="str">
        <f t="shared" si="7"/>
        <v>Exclude</v>
      </c>
      <c r="O158" t="s">
        <v>4277</v>
      </c>
    </row>
    <row r="159" spans="1:15">
      <c r="A159" t="s">
        <v>4274</v>
      </c>
      <c r="B159" s="39" t="str">
        <f>HYPERLINK('citations-it1-studies'!$D207,'citations-it1-studies'!$B207)</f>
        <v>A Conceptual Implementation Process for Smart Maintenance Technologies</v>
      </c>
      <c r="C159">
        <f>'citations-it1-studies'!$C207</f>
        <v>2024</v>
      </c>
      <c r="D159">
        <f>'citations-it1-studies'!$H207</f>
        <v>24</v>
      </c>
      <c r="E159" t="s">
        <v>1398</v>
      </c>
      <c r="F159" s="10" t="s">
        <v>51</v>
      </c>
      <c r="G159" s="10" t="s">
        <v>51</v>
      </c>
      <c r="H159" s="10" t="s">
        <v>1397</v>
      </c>
      <c r="I159" s="10" t="s">
        <v>51</v>
      </c>
      <c r="J159" s="10" t="s">
        <v>51</v>
      </c>
      <c r="K159" s="10" t="s">
        <v>51</v>
      </c>
      <c r="L159" s="10" t="s">
        <v>51</v>
      </c>
      <c r="M159" t="s">
        <v>1397</v>
      </c>
      <c r="N159" t="str">
        <f t="shared" si="7"/>
        <v>Exclude</v>
      </c>
      <c r="O159" t="s">
        <v>4277</v>
      </c>
    </row>
    <row r="160" spans="1:15">
      <c r="A160" t="s">
        <v>4274</v>
      </c>
      <c r="B160" s="39" t="str">
        <f>HYPERLINK('citations-it1-studies'!$D209,'citations-it1-studies'!$B209)</f>
        <v>Multimodal Cognitive Architecture with Local Generative AI for Industrial Control of Concrete Plants on Edge Devices.</v>
      </c>
      <c r="C160">
        <f>'citations-it1-studies'!$C209</f>
        <v>2025</v>
      </c>
      <c r="D160">
        <f>'citations-it1-studies'!$H209</f>
        <v>0</v>
      </c>
      <c r="E160" t="s">
        <v>1398</v>
      </c>
      <c r="F160" s="9" t="s">
        <v>51</v>
      </c>
      <c r="G160" s="9" t="s">
        <v>51</v>
      </c>
      <c r="H160" s="9" t="s">
        <v>51</v>
      </c>
      <c r="I160" s="9" t="s">
        <v>1397</v>
      </c>
      <c r="J160" s="9" t="s">
        <v>51</v>
      </c>
      <c r="K160" s="9" t="s">
        <v>51</v>
      </c>
      <c r="L160" s="9" t="s">
        <v>1397</v>
      </c>
      <c r="M160" t="s">
        <v>1397</v>
      </c>
      <c r="N160" t="str">
        <f t="shared" si="7"/>
        <v>Exclude</v>
      </c>
      <c r="O160" t="s">
        <v>4278</v>
      </c>
    </row>
    <row r="161" spans="1:15">
      <c r="A161" t="s">
        <v>4274</v>
      </c>
      <c r="B161" s="39" t="str">
        <f>HYPERLINK('citations-it1-studies'!$D210,'citations-it1-studies'!$B210)</f>
        <v>A Survey on OPC UA Protocol: Overview, Challenges and Opportunities</v>
      </c>
      <c r="C161">
        <f>'citations-it1-studies'!$C210</f>
        <v>2023</v>
      </c>
      <c r="D161">
        <f>'citations-it1-studies'!$H210</f>
        <v>8</v>
      </c>
      <c r="E161" t="s">
        <v>1398</v>
      </c>
      <c r="F161" s="10" t="s">
        <v>51</v>
      </c>
      <c r="G161" s="10" t="s">
        <v>51</v>
      </c>
      <c r="H161" s="10" t="s">
        <v>51</v>
      </c>
      <c r="I161" s="10" t="s">
        <v>51</v>
      </c>
      <c r="J161" s="10" t="s">
        <v>1397</v>
      </c>
      <c r="K161" s="10" t="s">
        <v>51</v>
      </c>
      <c r="L161" s="10" t="s">
        <v>51</v>
      </c>
      <c r="M161" t="s">
        <v>1397</v>
      </c>
      <c r="N161" t="str">
        <f t="shared" si="7"/>
        <v>Exclude</v>
      </c>
      <c r="O161" t="s">
        <v>4281</v>
      </c>
    </row>
    <row r="162" spans="1:15">
      <c r="A162" t="s">
        <v>4274</v>
      </c>
      <c r="B162" s="39" t="str">
        <f>HYPERLINK('citations-it1-studies'!$D211,'citations-it1-studies'!$B211)</f>
        <v>The Significance of the Industrial Internet of Things (IIoT) for the Oil and Gas Space</v>
      </c>
      <c r="C162">
        <f>'citations-it1-studies'!$C211</f>
        <v>2023</v>
      </c>
      <c r="D162">
        <f>'citations-it1-studies'!$H211</f>
        <v>30</v>
      </c>
      <c r="E162" t="s">
        <v>1398</v>
      </c>
      <c r="F162" s="9" t="s">
        <v>51</v>
      </c>
      <c r="G162" s="9" t="s">
        <v>51</v>
      </c>
      <c r="H162" s="9" t="s">
        <v>51</v>
      </c>
      <c r="I162" s="9" t="s">
        <v>51</v>
      </c>
      <c r="J162" s="9" t="s">
        <v>51</v>
      </c>
      <c r="K162" s="9" t="s">
        <v>51</v>
      </c>
      <c r="L162" s="9" t="s">
        <v>1397</v>
      </c>
      <c r="M162" t="s">
        <v>1397</v>
      </c>
      <c r="N162" t="str">
        <f t="shared" si="7"/>
        <v>Exclude</v>
      </c>
      <c r="O162" t="s">
        <v>4278</v>
      </c>
    </row>
    <row r="163" spans="1:15">
      <c r="A163" t="s">
        <v>4274</v>
      </c>
      <c r="B163" t="str">
        <f>HYPERLINK('citations-it1-studies'!$D8,'citations-it1-studies'!$B8)</f>
        <v>A forensic tool for the identification, acquisition and analysis of sources of evidence in IoT investigations</v>
      </c>
      <c r="C163">
        <v>2024</v>
      </c>
      <c r="D163">
        <v>20</v>
      </c>
      <c r="E163" t="s">
        <v>1398</v>
      </c>
      <c r="F163" s="10" t="s">
        <v>51</v>
      </c>
      <c r="G163" s="10" t="s">
        <v>51</v>
      </c>
      <c r="H163" s="10" t="s">
        <v>1397</v>
      </c>
      <c r="I163" s="10" t="s">
        <v>51</v>
      </c>
      <c r="J163" s="10" t="s">
        <v>51</v>
      </c>
      <c r="K163" s="10" t="s">
        <v>51</v>
      </c>
      <c r="L163" s="40" t="s">
        <v>51</v>
      </c>
      <c r="M163" t="s">
        <v>1397</v>
      </c>
      <c r="N163" t="str">
        <f t="shared" ref="N163:N201" si="8">IF(COUNTIF(F163:M163,"X")&gt;0,"Exclude",IF(UPPER(TRIM(E163))="O","Include",""))</f>
        <v>Exclude</v>
      </c>
      <c r="O163" t="s">
        <v>5627</v>
      </c>
    </row>
    <row r="164" spans="1:15">
      <c r="A164" t="s">
        <v>4274</v>
      </c>
      <c r="B164" t="str">
        <f>HYPERLINK('citations-it1-studies'!$D26,'citations-it1-studies'!$B26)</f>
        <v>Research on Hardware-in-the-Loop Test Platform Based on Simulated IED and Man-in-the-Middle Attack</v>
      </c>
      <c r="C164">
        <v>2025</v>
      </c>
      <c r="D164">
        <v>19</v>
      </c>
      <c r="E164" t="s">
        <v>1398</v>
      </c>
      <c r="F164" s="9" t="s">
        <v>51</v>
      </c>
      <c r="G164" s="9" t="s">
        <v>51</v>
      </c>
      <c r="H164" s="9" t="s">
        <v>51</v>
      </c>
      <c r="I164" s="9" t="s">
        <v>51</v>
      </c>
      <c r="J164" s="9" t="s">
        <v>51</v>
      </c>
      <c r="K164" s="9" t="s">
        <v>51</v>
      </c>
      <c r="L164" s="41" t="s">
        <v>1397</v>
      </c>
      <c r="M164" t="s">
        <v>1397</v>
      </c>
      <c r="N164" t="str">
        <f t="shared" si="8"/>
        <v>Exclude</v>
      </c>
      <c r="O164" t="s">
        <v>5665</v>
      </c>
    </row>
    <row r="165" spans="1:15">
      <c r="A165" t="s">
        <v>4274</v>
      </c>
      <c r="B165" t="str">
        <f>HYPERLINK('citations-it1-studies'!$D34,'citations-it1-studies'!$B34)</f>
        <v>Petri nets-based digital twin drives dual-arm cooperative manipulation</v>
      </c>
      <c r="C165">
        <v>2023</v>
      </c>
      <c r="D165">
        <v>14</v>
      </c>
      <c r="E165" t="s">
        <v>1398</v>
      </c>
      <c r="F165" s="10" t="s">
        <v>51</v>
      </c>
      <c r="G165" s="10" t="s">
        <v>51</v>
      </c>
      <c r="H165" s="10" t="s">
        <v>51</v>
      </c>
      <c r="I165" s="10" t="s">
        <v>51</v>
      </c>
      <c r="J165" s="10" t="s">
        <v>51</v>
      </c>
      <c r="K165" s="10" t="s">
        <v>51</v>
      </c>
      <c r="L165" s="40" t="s">
        <v>1397</v>
      </c>
      <c r="M165" t="s">
        <v>1397</v>
      </c>
      <c r="N165" t="str">
        <f t="shared" si="8"/>
        <v>Exclude</v>
      </c>
      <c r="O165" t="s">
        <v>5628</v>
      </c>
    </row>
    <row r="166" spans="1:15">
      <c r="A166" s="39" t="s">
        <v>4274</v>
      </c>
      <c r="B166" t="str">
        <f>HYPERLINK('citations-it1-studies'!$D36,'citations-it1-studies'!$B36)</f>
        <v>Design Model for the Digital Shadow of a Value Stream</v>
      </c>
      <c r="C166">
        <v>2024</v>
      </c>
      <c r="D166">
        <v>24</v>
      </c>
      <c r="E166" t="s">
        <v>1398</v>
      </c>
      <c r="F166" s="9" t="s">
        <v>51</v>
      </c>
      <c r="G166" s="9" t="s">
        <v>51</v>
      </c>
      <c r="H166" s="9" t="s">
        <v>51</v>
      </c>
      <c r="I166" s="9" t="s">
        <v>51</v>
      </c>
      <c r="J166" s="9" t="s">
        <v>51</v>
      </c>
      <c r="K166" s="9" t="s">
        <v>51</v>
      </c>
      <c r="L166" s="41" t="s">
        <v>1397</v>
      </c>
      <c r="M166" t="s">
        <v>1397</v>
      </c>
      <c r="N166" t="str">
        <f t="shared" si="8"/>
        <v>Exclude</v>
      </c>
      <c r="O166" t="s">
        <v>5629</v>
      </c>
    </row>
    <row r="167" spans="1:15">
      <c r="A167" s="39" t="s">
        <v>4274</v>
      </c>
      <c r="B167" t="str">
        <f>HYPERLINK('citations-it1-studies'!$D43,'citations-it1-studies'!$B43)</f>
        <v>Smart IoT SCADA System for Hybrid Power Monitoring in Remote Natural Gas Pipeline Control Stations</v>
      </c>
      <c r="C167">
        <v>2024</v>
      </c>
      <c r="D167">
        <v>24</v>
      </c>
      <c r="E167" t="s">
        <v>1398</v>
      </c>
      <c r="F167" s="10" t="s">
        <v>51</v>
      </c>
      <c r="G167" s="10" t="s">
        <v>51</v>
      </c>
      <c r="H167" s="10" t="s">
        <v>51</v>
      </c>
      <c r="I167" s="10" t="s">
        <v>51</v>
      </c>
      <c r="J167" s="10" t="s">
        <v>51</v>
      </c>
      <c r="K167" s="10" t="s">
        <v>51</v>
      </c>
      <c r="L167" s="40" t="s">
        <v>1397</v>
      </c>
      <c r="M167" t="s">
        <v>1397</v>
      </c>
      <c r="N167" t="str">
        <f t="shared" si="8"/>
        <v>Exclude</v>
      </c>
      <c r="O167" t="s">
        <v>5666</v>
      </c>
    </row>
    <row r="168" spans="1:15">
      <c r="A168" s="39" t="s">
        <v>4274</v>
      </c>
      <c r="B168" t="str">
        <f>HYPERLINK('citations-it1-studies'!$D61,'citations-it1-studies'!$B61)</f>
        <v>INFORMATION PROTECTION IN AUTOMATED SYSTEMS BASED ON A CONCEPTUAL MODEL WITH FORMALIZED EFFICIENCY EVALUATION</v>
      </c>
      <c r="C168">
        <v>2025</v>
      </c>
      <c r="D168">
        <v>14</v>
      </c>
      <c r="E168" t="s">
        <v>1398</v>
      </c>
      <c r="F168" s="9" t="s">
        <v>51</v>
      </c>
      <c r="G168" s="9" t="s">
        <v>51</v>
      </c>
      <c r="H168" s="9" t="s">
        <v>51</v>
      </c>
      <c r="I168" s="9" t="s">
        <v>51</v>
      </c>
      <c r="J168" s="9" t="s">
        <v>51</v>
      </c>
      <c r="K168" s="9" t="s">
        <v>51</v>
      </c>
      <c r="L168" s="41" t="s">
        <v>1397</v>
      </c>
      <c r="M168" t="s">
        <v>1397</v>
      </c>
      <c r="N168" t="str">
        <f t="shared" si="8"/>
        <v>Exclude</v>
      </c>
      <c r="O168" t="s">
        <v>5667</v>
      </c>
    </row>
    <row r="169" spans="1:15">
      <c r="A169" s="39" t="s">
        <v>4274</v>
      </c>
      <c r="B169" t="str">
        <f>HYPERLINK('citations-it1-studies'!$D64,'citations-it1-studies'!$B64)</f>
        <v>An Aggregated Data Integration Approach to the Web and Cloud Platforms through a Modular REST-Based OPC UA Middleware.</v>
      </c>
      <c r="C169">
        <v>2022</v>
      </c>
      <c r="D169">
        <v>39</v>
      </c>
      <c r="E169" t="s">
        <v>1398</v>
      </c>
      <c r="F169" s="10" t="s">
        <v>51</v>
      </c>
      <c r="G169" s="10" t="s">
        <v>51</v>
      </c>
      <c r="H169" s="10" t="s">
        <v>51</v>
      </c>
      <c r="I169" s="10" t="s">
        <v>51</v>
      </c>
      <c r="J169" s="10" t="s">
        <v>51</v>
      </c>
      <c r="K169" s="10" t="s">
        <v>51</v>
      </c>
      <c r="L169" s="40" t="s">
        <v>1397</v>
      </c>
      <c r="M169" t="s">
        <v>1397</v>
      </c>
      <c r="N169" t="str">
        <f t="shared" si="8"/>
        <v>Exclude</v>
      </c>
      <c r="O169" t="s">
        <v>5630</v>
      </c>
    </row>
    <row r="170" spans="1:15">
      <c r="A170" s="39" t="s">
        <v>4274</v>
      </c>
      <c r="B170" t="str">
        <f>HYPERLINK('citations-it1-studies'!$D66,'citations-it1-studies'!$B66)</f>
        <v>Predictive Energy-Aware Routing Solution for Industrial IoT Evaluated on a WSN Hardware Platform.</v>
      </c>
      <c r="C170">
        <v>2022</v>
      </c>
      <c r="D170">
        <v>22</v>
      </c>
      <c r="E170" t="s">
        <v>1398</v>
      </c>
      <c r="F170" s="9" t="s">
        <v>51</v>
      </c>
      <c r="G170" s="9" t="s">
        <v>51</v>
      </c>
      <c r="H170" s="9" t="s">
        <v>51</v>
      </c>
      <c r="I170" s="9" t="s">
        <v>51</v>
      </c>
      <c r="J170" s="9" t="s">
        <v>51</v>
      </c>
      <c r="K170" s="9" t="s">
        <v>51</v>
      </c>
      <c r="L170" s="41" t="s">
        <v>1397</v>
      </c>
      <c r="M170" t="s">
        <v>1397</v>
      </c>
      <c r="N170" t="str">
        <f t="shared" si="8"/>
        <v>Exclude</v>
      </c>
      <c r="O170" t="s">
        <v>5631</v>
      </c>
    </row>
    <row r="171" spans="1:15">
      <c r="A171" s="39" t="s">
        <v>4274</v>
      </c>
      <c r="B171" t="str">
        <f>HYPERLINK('citations-it1-studies'!$D70,'citations-it1-studies'!$B70)</f>
        <v>Towards a Software-Defined Industrial IoT-Edge Network for Next-Generation Offshore Wind Farms: State of the Art, Resilience, and Self-X Network and Service Management</v>
      </c>
      <c r="C171">
        <v>2024</v>
      </c>
      <c r="D171">
        <v>31</v>
      </c>
      <c r="E171" t="s">
        <v>1398</v>
      </c>
      <c r="F171" s="10" t="s">
        <v>51</v>
      </c>
      <c r="G171" s="10" t="s">
        <v>51</v>
      </c>
      <c r="H171" s="10" t="s">
        <v>51</v>
      </c>
      <c r="I171" s="10" t="s">
        <v>51</v>
      </c>
      <c r="J171" s="10" t="s">
        <v>1397</v>
      </c>
      <c r="K171" s="10" t="s">
        <v>51</v>
      </c>
      <c r="L171" s="40" t="s">
        <v>51</v>
      </c>
      <c r="M171" t="s">
        <v>1397</v>
      </c>
      <c r="N171" t="str">
        <f t="shared" si="8"/>
        <v>Exclude</v>
      </c>
      <c r="O171" t="s">
        <v>5632</v>
      </c>
    </row>
    <row r="172" spans="1:15">
      <c r="A172" s="39" t="s">
        <v>4274</v>
      </c>
      <c r="B172" t="str">
        <f>HYPERLINK('citations-it1-studies'!$D86,'citations-it1-studies'!$B86)</f>
        <v>Delay and Energy Consumption of MQTT over QUIC: An Empirical Characterization Using Commercial-Off-The-Shelf Devices.</v>
      </c>
      <c r="C172">
        <v>2022</v>
      </c>
      <c r="D172">
        <v>20</v>
      </c>
      <c r="E172" t="s">
        <v>1398</v>
      </c>
      <c r="F172" s="10" t="s">
        <v>51</v>
      </c>
      <c r="G172" s="10" t="s">
        <v>51</v>
      </c>
      <c r="H172" s="10" t="s">
        <v>51</v>
      </c>
      <c r="I172" s="10" t="s">
        <v>51</v>
      </c>
      <c r="J172" s="10" t="s">
        <v>51</v>
      </c>
      <c r="K172" s="10" t="s">
        <v>51</v>
      </c>
      <c r="L172" s="40" t="s">
        <v>51</v>
      </c>
      <c r="M172" t="s">
        <v>1397</v>
      </c>
      <c r="N172" t="str">
        <f t="shared" si="8"/>
        <v>Exclude</v>
      </c>
      <c r="O172" t="s">
        <v>5633</v>
      </c>
    </row>
    <row r="173" spans="1:15">
      <c r="A173" s="39" t="s">
        <v>4274</v>
      </c>
      <c r="B173" t="str">
        <f>HYPERLINK('citations-it1-studies'!$D89,'citations-it1-studies'!$B89)</f>
        <v>Empirical Evaluation of TLS-Enhanced MQTT on IoT Devices for V2X Use Cases</v>
      </c>
      <c r="C173">
        <v>2025</v>
      </c>
      <c r="D173">
        <v>25</v>
      </c>
      <c r="E173" t="s">
        <v>1398</v>
      </c>
      <c r="F173" s="9" t="s">
        <v>51</v>
      </c>
      <c r="G173" s="9" t="s">
        <v>51</v>
      </c>
      <c r="H173" s="9" t="s">
        <v>1397</v>
      </c>
      <c r="I173" s="9" t="s">
        <v>51</v>
      </c>
      <c r="J173" s="9" t="s">
        <v>51</v>
      </c>
      <c r="K173" s="9" t="s">
        <v>51</v>
      </c>
      <c r="L173" s="41" t="s">
        <v>51</v>
      </c>
      <c r="M173" t="s">
        <v>1397</v>
      </c>
      <c r="N173" t="str">
        <f t="shared" si="8"/>
        <v>Exclude</v>
      </c>
      <c r="O173" t="s">
        <v>5634</v>
      </c>
    </row>
    <row r="174" spans="1:15">
      <c r="A174" s="39" t="s">
        <v>4274</v>
      </c>
      <c r="B174" t="str">
        <f>HYPERLINK('citations-it1-studies'!$D92,'citations-it1-studies'!$B92)</f>
        <v>Securing Industry 5.0: An explainable deep learning model for intrusion detection in cyber-physical systems</v>
      </c>
      <c r="C174">
        <v>2025</v>
      </c>
      <c r="D174">
        <v>31</v>
      </c>
      <c r="E174" t="s">
        <v>1398</v>
      </c>
      <c r="F174" s="10" t="s">
        <v>51</v>
      </c>
      <c r="G174" s="10" t="s">
        <v>51</v>
      </c>
      <c r="H174" s="10" t="s">
        <v>51</v>
      </c>
      <c r="I174" s="10" t="s">
        <v>51</v>
      </c>
      <c r="J174" s="10" t="s">
        <v>51</v>
      </c>
      <c r="K174" s="10" t="s">
        <v>51</v>
      </c>
      <c r="L174" s="40" t="s">
        <v>1397</v>
      </c>
      <c r="M174" t="s">
        <v>1397</v>
      </c>
      <c r="N174" t="str">
        <f t="shared" si="8"/>
        <v>Exclude</v>
      </c>
      <c r="O174" t="s">
        <v>5635</v>
      </c>
    </row>
    <row r="175" spans="1:15">
      <c r="A175" s="39" t="s">
        <v>4274</v>
      </c>
      <c r="B175" t="str">
        <f>HYPERLINK('citations-it1-studies'!$D97,'citations-it1-studies'!$B97)</f>
        <v>Enhancing Industrial Digitalisation through an Adaptable Component for Bridging Semantic Interoperability Gaps</v>
      </c>
      <c r="C175">
        <v>2024</v>
      </c>
      <c r="D175">
        <v>17</v>
      </c>
      <c r="E175" t="s">
        <v>1398</v>
      </c>
      <c r="F175" s="9" t="s">
        <v>51</v>
      </c>
      <c r="G175" s="9" t="s">
        <v>51</v>
      </c>
      <c r="H175" s="9" t="s">
        <v>51</v>
      </c>
      <c r="I175" s="9" t="s">
        <v>51</v>
      </c>
      <c r="J175" s="9" t="s">
        <v>51</v>
      </c>
      <c r="K175" s="9" t="s">
        <v>51</v>
      </c>
      <c r="L175" s="41" t="s">
        <v>1397</v>
      </c>
      <c r="M175" t="s">
        <v>1397</v>
      </c>
      <c r="N175" t="str">
        <f t="shared" si="8"/>
        <v>Exclude</v>
      </c>
      <c r="O175" t="s">
        <v>5636</v>
      </c>
    </row>
    <row r="176" spans="1:15">
      <c r="A176" s="39" t="s">
        <v>4274</v>
      </c>
      <c r="B176" t="str">
        <f>HYPERLINK('citations-it1-studies'!$D100,'citations-it1-studies'!$B100)</f>
        <v>Application of Machine Learning Algorithms for the Validation of a New CoAP-IoT Anomaly Detection Dataset</v>
      </c>
      <c r="C176">
        <v>2023</v>
      </c>
      <c r="D176">
        <v>25</v>
      </c>
      <c r="E176" t="s">
        <v>1398</v>
      </c>
      <c r="F176" s="10" t="s">
        <v>51</v>
      </c>
      <c r="G176" s="10" t="s">
        <v>51</v>
      </c>
      <c r="H176" s="10" t="s">
        <v>51</v>
      </c>
      <c r="I176" s="10" t="s">
        <v>51</v>
      </c>
      <c r="J176" s="10" t="s">
        <v>51</v>
      </c>
      <c r="K176" s="10" t="s">
        <v>51</v>
      </c>
      <c r="L176" s="40" t="s">
        <v>1397</v>
      </c>
      <c r="M176" t="s">
        <v>1397</v>
      </c>
      <c r="N176" t="str">
        <f t="shared" si="8"/>
        <v>Exclude</v>
      </c>
      <c r="O176" t="s">
        <v>5637</v>
      </c>
    </row>
    <row r="177" spans="1:15">
      <c r="A177" s="39" t="s">
        <v>4274</v>
      </c>
      <c r="B177" t="str">
        <f>HYPERLINK('citations-it1-studies'!$D112,'citations-it1-studies'!$B112)</f>
        <v>A chronological review of advanced metering infrastructure</v>
      </c>
      <c r="C177">
        <v>2023</v>
      </c>
      <c r="D177">
        <v>1</v>
      </c>
      <c r="E177" t="s">
        <v>1398</v>
      </c>
      <c r="F177" s="9" t="s">
        <v>51</v>
      </c>
      <c r="G177" s="9" t="s">
        <v>51</v>
      </c>
      <c r="H177" s="9" t="s">
        <v>51</v>
      </c>
      <c r="I177" s="9" t="s">
        <v>51</v>
      </c>
      <c r="J177" s="9" t="s">
        <v>1397</v>
      </c>
      <c r="K177" s="9" t="s">
        <v>51</v>
      </c>
      <c r="L177" s="41" t="s">
        <v>51</v>
      </c>
      <c r="M177" t="s">
        <v>1397</v>
      </c>
      <c r="N177" t="str">
        <f t="shared" si="8"/>
        <v>Exclude</v>
      </c>
      <c r="O177" t="s">
        <v>5638</v>
      </c>
    </row>
    <row r="178" spans="1:15">
      <c r="A178" s="39" t="s">
        <v>4274</v>
      </c>
      <c r="B178" t="str">
        <f>HYPERLINK('citations-it1-studies'!$D115,'citations-it1-studies'!$B115)</f>
        <v>Mapping of Industrial IoT to IEC 62443 Standards.</v>
      </c>
      <c r="C178">
        <v>2025</v>
      </c>
      <c r="D178">
        <v>32</v>
      </c>
      <c r="E178" t="s">
        <v>1398</v>
      </c>
      <c r="F178" s="10" t="s">
        <v>51</v>
      </c>
      <c r="G178" s="10" t="s">
        <v>51</v>
      </c>
      <c r="H178" s="10" t="s">
        <v>51</v>
      </c>
      <c r="I178" s="10" t="s">
        <v>51</v>
      </c>
      <c r="J178" s="10" t="s">
        <v>51</v>
      </c>
      <c r="K178" s="10" t="s">
        <v>51</v>
      </c>
      <c r="L178" s="40" t="s">
        <v>1397</v>
      </c>
      <c r="M178" t="s">
        <v>1397</v>
      </c>
      <c r="N178" t="str">
        <f t="shared" si="8"/>
        <v>Exclude</v>
      </c>
      <c r="O178" t="s">
        <v>5668</v>
      </c>
    </row>
    <row r="179" spans="1:15">
      <c r="A179" s="39" t="s">
        <v>4274</v>
      </c>
      <c r="B179" t="str">
        <f>HYPERLINK('citations-it1-studies'!$D122,'citations-it1-studies'!$B122)</f>
        <v>OPC UA and MQTT performance analysis within a unified namespace context</v>
      </c>
      <c r="C179">
        <v>2025</v>
      </c>
      <c r="D179">
        <v>23</v>
      </c>
      <c r="E179" t="s">
        <v>1398</v>
      </c>
      <c r="F179" s="9" t="s">
        <v>51</v>
      </c>
      <c r="G179" s="9" t="s">
        <v>51</v>
      </c>
      <c r="H179" s="9" t="s">
        <v>1397</v>
      </c>
      <c r="I179" s="9" t="s">
        <v>51</v>
      </c>
      <c r="J179" s="9" t="s">
        <v>51</v>
      </c>
      <c r="K179" s="9" t="s">
        <v>51</v>
      </c>
      <c r="L179" s="41" t="s">
        <v>51</v>
      </c>
      <c r="N179" t="str">
        <f t="shared" si="8"/>
        <v>Exclude</v>
      </c>
      <c r="O179" t="s">
        <v>5672</v>
      </c>
    </row>
    <row r="180" spans="1:15">
      <c r="A180" s="39" t="s">
        <v>4274</v>
      </c>
      <c r="B180" t="str">
        <f>HYPERLINK('citations-it1-studies'!$D126,'citations-it1-studies'!$B126)</f>
        <v>Securing the Industrial Internet of Things against ransomware attacks: A comprehensive analysis of the emerging threat landscape and detection mechanisms</v>
      </c>
      <c r="C180">
        <v>2024</v>
      </c>
      <c r="D180">
        <v>30</v>
      </c>
      <c r="E180" t="s">
        <v>1398</v>
      </c>
      <c r="F180" s="10" t="s">
        <v>51</v>
      </c>
      <c r="G180" s="10" t="s">
        <v>51</v>
      </c>
      <c r="H180" s="10" t="s">
        <v>51</v>
      </c>
      <c r="I180" s="10" t="s">
        <v>51</v>
      </c>
      <c r="J180" s="10" t="s">
        <v>1397</v>
      </c>
      <c r="K180" s="10" t="s">
        <v>51</v>
      </c>
      <c r="L180" s="40" t="s">
        <v>51</v>
      </c>
      <c r="M180" t="s">
        <v>1397</v>
      </c>
      <c r="N180" t="str">
        <f t="shared" si="8"/>
        <v>Exclude</v>
      </c>
      <c r="O180" t="s">
        <v>5639</v>
      </c>
    </row>
    <row r="181" spans="1:15">
      <c r="A181" s="39" t="s">
        <v>4274</v>
      </c>
      <c r="B181" t="str">
        <f>HYPERLINK('citations-it1-studies'!$D129,'citations-it1-studies'!$B129)</f>
        <v>Digital Twin—Cyber Replica of Physical Things: Architecture, Applications and Future Research Directions</v>
      </c>
      <c r="C181">
        <v>2022</v>
      </c>
      <c r="D181">
        <v>25</v>
      </c>
      <c r="E181" t="s">
        <v>1398</v>
      </c>
      <c r="F181" s="9" t="s">
        <v>51</v>
      </c>
      <c r="G181" s="9" t="s">
        <v>51</v>
      </c>
      <c r="H181" s="9" t="s">
        <v>51</v>
      </c>
      <c r="I181" s="9" t="s">
        <v>51</v>
      </c>
      <c r="J181" s="9" t="s">
        <v>1397</v>
      </c>
      <c r="K181" s="9" t="s">
        <v>51</v>
      </c>
      <c r="L181" s="41" t="s">
        <v>51</v>
      </c>
      <c r="M181" t="s">
        <v>1397</v>
      </c>
      <c r="N181" t="str">
        <f t="shared" si="8"/>
        <v>Exclude</v>
      </c>
      <c r="O181" t="s">
        <v>5640</v>
      </c>
    </row>
    <row r="182" spans="1:15">
      <c r="A182" s="39" t="s">
        <v>4274</v>
      </c>
      <c r="B182" t="str">
        <f>HYPERLINK('citations-it1-studies'!$D130,'citations-it1-studies'!$B130)</f>
        <v>Assertive, Selective, Scalable IoT-Based Warning System.</v>
      </c>
      <c r="C182">
        <v>2022</v>
      </c>
      <c r="D182">
        <v>21</v>
      </c>
      <c r="E182" t="s">
        <v>1398</v>
      </c>
      <c r="F182" s="10" t="s">
        <v>51</v>
      </c>
      <c r="G182" s="10" t="s">
        <v>51</v>
      </c>
      <c r="H182" s="10" t="s">
        <v>1397</v>
      </c>
      <c r="I182" s="10" t="s">
        <v>51</v>
      </c>
      <c r="J182" s="10" t="s">
        <v>51</v>
      </c>
      <c r="K182" s="10" t="s">
        <v>51</v>
      </c>
      <c r="L182" s="40" t="s">
        <v>51</v>
      </c>
      <c r="M182" t="s">
        <v>1397</v>
      </c>
      <c r="N182" t="str">
        <f t="shared" si="8"/>
        <v>Exclude</v>
      </c>
      <c r="O182" t="s">
        <v>5641</v>
      </c>
    </row>
    <row r="183" spans="1:15">
      <c r="A183" s="39" t="s">
        <v>4274</v>
      </c>
      <c r="B183" t="str">
        <f>HYPERLINK('citations-it1-studies'!$D135,'citations-it1-studies'!$B135)</f>
        <v>E-MQTT: End-to-End Synchronous and Asynchronous Communication Mechanisms in MQTT Protocol</v>
      </c>
      <c r="C183">
        <v>2023</v>
      </c>
      <c r="D183">
        <v>24</v>
      </c>
      <c r="E183" t="s">
        <v>1398</v>
      </c>
      <c r="F183" s="9" t="s">
        <v>51</v>
      </c>
      <c r="G183" s="9" t="s">
        <v>51</v>
      </c>
      <c r="H183" s="9" t="s">
        <v>51</v>
      </c>
      <c r="I183" s="9" t="s">
        <v>51</v>
      </c>
      <c r="J183" s="9" t="s">
        <v>51</v>
      </c>
      <c r="K183" s="9" t="s">
        <v>51</v>
      </c>
      <c r="L183" s="41" t="s">
        <v>1397</v>
      </c>
      <c r="M183" t="s">
        <v>1397</v>
      </c>
      <c r="N183" t="str">
        <f t="shared" si="8"/>
        <v>Exclude</v>
      </c>
      <c r="O183" t="s">
        <v>5642</v>
      </c>
    </row>
    <row r="184" spans="1:15">
      <c r="A184" s="39" t="s">
        <v>4274</v>
      </c>
      <c r="B184" t="str">
        <f>HYPERLINK('citations-it1-studies'!$D140,'citations-it1-studies'!$B140)</f>
        <v>Defending against smishing attacks: State-of-the-art techniques, challenges, limitations, and future directions</v>
      </c>
      <c r="C184">
        <v>2025</v>
      </c>
      <c r="D184">
        <v>21</v>
      </c>
      <c r="E184" t="s">
        <v>1398</v>
      </c>
      <c r="F184" s="10" t="s">
        <v>51</v>
      </c>
      <c r="G184" s="10" t="s">
        <v>51</v>
      </c>
      <c r="H184" s="10" t="s">
        <v>1397</v>
      </c>
      <c r="I184" s="10" t="s">
        <v>51</v>
      </c>
      <c r="J184" s="10" t="s">
        <v>1397</v>
      </c>
      <c r="K184" s="10" t="s">
        <v>51</v>
      </c>
      <c r="L184" s="40" t="s">
        <v>51</v>
      </c>
      <c r="M184" t="s">
        <v>1397</v>
      </c>
      <c r="N184" t="str">
        <f t="shared" si="8"/>
        <v>Exclude</v>
      </c>
      <c r="O184" t="s">
        <v>5643</v>
      </c>
    </row>
    <row r="185" spans="1:15">
      <c r="A185" s="39" t="s">
        <v>4274</v>
      </c>
      <c r="B185" t="str">
        <f>HYPERLINK('citations-it1-studies'!$D143,'citations-it1-studies'!$B143)</f>
        <v>A Low-Cost Open-Source Architecture for a Digital Signage Emergency Evacuation System for Cruise Ships, Based on IoT and LTE/4G Technologies</v>
      </c>
      <c r="C185">
        <v>2022</v>
      </c>
      <c r="D185">
        <v>18</v>
      </c>
      <c r="E185" t="s">
        <v>1398</v>
      </c>
      <c r="F185" s="9" t="s">
        <v>51</v>
      </c>
      <c r="G185" s="9" t="s">
        <v>51</v>
      </c>
      <c r="H185" s="9" t="s">
        <v>1397</v>
      </c>
      <c r="I185" s="9" t="s">
        <v>51</v>
      </c>
      <c r="J185" s="9" t="s">
        <v>51</v>
      </c>
      <c r="K185" s="9" t="s">
        <v>51</v>
      </c>
      <c r="L185" s="41" t="s">
        <v>51</v>
      </c>
      <c r="M185" t="s">
        <v>1397</v>
      </c>
      <c r="N185" t="str">
        <f t="shared" si="8"/>
        <v>Exclude</v>
      </c>
      <c r="O185" t="s">
        <v>5644</v>
      </c>
    </row>
    <row r="186" spans="1:15">
      <c r="A186" s="39" t="s">
        <v>4274</v>
      </c>
      <c r="B186" t="str">
        <f>HYPERLINK('citations-it1-studies'!$D148,'citations-it1-studies'!$B148)</f>
        <v>DCNNBiLSTM: An Efficient Hybrid Deep Learning-Based Intrusion Detection System</v>
      </c>
      <c r="C186">
        <v>2023</v>
      </c>
      <c r="D186">
        <v>13</v>
      </c>
      <c r="E186" t="s">
        <v>1398</v>
      </c>
      <c r="F186" s="10" t="s">
        <v>51</v>
      </c>
      <c r="G186" s="10" t="s">
        <v>51</v>
      </c>
      <c r="H186" s="10" t="s">
        <v>1397</v>
      </c>
      <c r="I186" s="10" t="s">
        <v>51</v>
      </c>
      <c r="J186" s="10" t="s">
        <v>51</v>
      </c>
      <c r="K186" s="10" t="s">
        <v>51</v>
      </c>
      <c r="L186" s="40" t="s">
        <v>1397</v>
      </c>
      <c r="M186" t="s">
        <v>1397</v>
      </c>
      <c r="N186" t="str">
        <f t="shared" si="8"/>
        <v>Exclude</v>
      </c>
      <c r="O186" t="s">
        <v>5645</v>
      </c>
    </row>
    <row r="187" spans="1:15">
      <c r="A187" s="39" t="s">
        <v>4274</v>
      </c>
      <c r="B187" t="str">
        <f>HYPERLINK('citations-it1-studies'!$D151,'citations-it1-studies'!$B151)</f>
        <v>Assessing Industrial Communication Protocols to Bridge the Gap between Machine Tools and Software Monitoring.</v>
      </c>
      <c r="C187">
        <v>2023</v>
      </c>
      <c r="D187">
        <v>15</v>
      </c>
      <c r="E187" t="s">
        <v>1398</v>
      </c>
      <c r="F187" s="9" t="s">
        <v>51</v>
      </c>
      <c r="G187" s="9" t="s">
        <v>51</v>
      </c>
      <c r="H187" s="9" t="s">
        <v>1397</v>
      </c>
      <c r="I187" s="9" t="s">
        <v>51</v>
      </c>
      <c r="J187" s="9" t="s">
        <v>51</v>
      </c>
      <c r="K187" s="9" t="s">
        <v>51</v>
      </c>
      <c r="L187" s="41" t="s">
        <v>51</v>
      </c>
      <c r="N187" t="str">
        <f t="shared" si="8"/>
        <v>Exclude</v>
      </c>
      <c r="O187" t="s">
        <v>5673</v>
      </c>
    </row>
    <row r="188" spans="1:15">
      <c r="A188" s="39" t="s">
        <v>4274</v>
      </c>
      <c r="B188" t="str">
        <f>HYPERLINK('citations-it1-studies'!$D155,'citations-it1-studies'!$B155)</f>
        <v>A Survey of Security Challenges in Cloud-Based SCADA Systems</v>
      </c>
      <c r="C188">
        <v>2024</v>
      </c>
      <c r="D188">
        <v>19</v>
      </c>
      <c r="E188" t="s">
        <v>1398</v>
      </c>
      <c r="F188" s="10" t="s">
        <v>51</v>
      </c>
      <c r="G188" s="10" t="s">
        <v>51</v>
      </c>
      <c r="H188" s="10" t="s">
        <v>51</v>
      </c>
      <c r="I188" s="10" t="s">
        <v>51</v>
      </c>
      <c r="J188" s="10" t="s">
        <v>1397</v>
      </c>
      <c r="K188" s="10" t="s">
        <v>51</v>
      </c>
      <c r="L188" s="40" t="s">
        <v>51</v>
      </c>
      <c r="M188" t="s">
        <v>1397</v>
      </c>
      <c r="N188" t="str">
        <f t="shared" si="8"/>
        <v>Exclude</v>
      </c>
      <c r="O188" t="s">
        <v>5646</v>
      </c>
    </row>
    <row r="189" spans="1:15">
      <c r="A189" s="39" t="s">
        <v>4274</v>
      </c>
      <c r="B189" t="str">
        <f>HYPERLINK('citations-it1-studies'!$D168,'citations-it1-studies'!$B168)</f>
        <v>Trend Analysis of Factory Automation Using Topic Modeling</v>
      </c>
      <c r="C189">
        <v>2025</v>
      </c>
      <c r="D189">
        <v>20</v>
      </c>
      <c r="E189" t="s">
        <v>1398</v>
      </c>
      <c r="F189" s="9" t="s">
        <v>51</v>
      </c>
      <c r="G189" s="9" t="s">
        <v>51</v>
      </c>
      <c r="H189" s="9" t="s">
        <v>51</v>
      </c>
      <c r="I189" s="9" t="s">
        <v>51</v>
      </c>
      <c r="J189" s="9" t="s">
        <v>51</v>
      </c>
      <c r="K189" s="9" t="s">
        <v>51</v>
      </c>
      <c r="L189" s="41" t="s">
        <v>1397</v>
      </c>
      <c r="M189" t="s">
        <v>1397</v>
      </c>
      <c r="N189" t="str">
        <f t="shared" si="8"/>
        <v>Exclude</v>
      </c>
      <c r="O189" t="s">
        <v>5647</v>
      </c>
    </row>
    <row r="190" spans="1:15">
      <c r="A190" s="39" t="s">
        <v>4274</v>
      </c>
      <c r="B190" t="str">
        <f>HYPERLINK('citations-it1-studies'!$D170,'citations-it1-studies'!$B170)</f>
        <v>DDoS attack detection using CNN-BiLSTM with attention mechanism</v>
      </c>
      <c r="C190">
        <v>2025</v>
      </c>
      <c r="D190">
        <v>18</v>
      </c>
      <c r="E190" t="s">
        <v>1398</v>
      </c>
      <c r="F190" s="10" t="s">
        <v>51</v>
      </c>
      <c r="G190" s="10" t="s">
        <v>51</v>
      </c>
      <c r="H190" s="10" t="s">
        <v>51</v>
      </c>
      <c r="I190" s="10" t="s">
        <v>51</v>
      </c>
      <c r="J190" s="10" t="s">
        <v>51</v>
      </c>
      <c r="K190" s="10" t="s">
        <v>51</v>
      </c>
      <c r="L190" s="40" t="s">
        <v>1397</v>
      </c>
      <c r="M190" t="s">
        <v>1397</v>
      </c>
      <c r="N190" t="str">
        <f t="shared" si="8"/>
        <v>Exclude</v>
      </c>
      <c r="O190" t="s">
        <v>5645</v>
      </c>
    </row>
    <row r="191" spans="1:15">
      <c r="A191" s="39" t="s">
        <v>4274</v>
      </c>
      <c r="B191" t="str">
        <f>HYPERLINK('citations-it1-studies'!$D172,'citations-it1-studies'!$B172)</f>
        <v>A Performance Analysis of Security Protocols for Distributed Measurement Systems Based on Internet of Things with Constrained Hardware and Open Source Infrastructures.</v>
      </c>
      <c r="C191">
        <v>2024</v>
      </c>
      <c r="D191">
        <v>22</v>
      </c>
      <c r="E191" t="s">
        <v>1398</v>
      </c>
      <c r="F191" s="9" t="s">
        <v>51</v>
      </c>
      <c r="G191" s="9"/>
      <c r="H191" s="9" t="s">
        <v>1397</v>
      </c>
      <c r="I191" s="9" t="s">
        <v>51</v>
      </c>
      <c r="J191" s="9" t="s">
        <v>51</v>
      </c>
      <c r="K191" s="9" t="s">
        <v>51</v>
      </c>
      <c r="L191" s="41" t="s">
        <v>1397</v>
      </c>
      <c r="N191" t="str">
        <f t="shared" si="8"/>
        <v>Exclude</v>
      </c>
      <c r="O191" t="s">
        <v>5670</v>
      </c>
    </row>
    <row r="192" spans="1:15">
      <c r="A192" s="39" t="s">
        <v>4274</v>
      </c>
      <c r="B192" t="str">
        <f>HYPERLINK('citations-it1-studies'!$D174,'citations-it1-studies'!$B174)</f>
        <v>Comprehensive electrical models for a wireless sensor network device.</v>
      </c>
      <c r="C192">
        <v>2024</v>
      </c>
      <c r="D192">
        <v>14</v>
      </c>
      <c r="E192" t="s">
        <v>1398</v>
      </c>
      <c r="F192" s="10" t="s">
        <v>51</v>
      </c>
      <c r="G192" s="10" t="s">
        <v>51</v>
      </c>
      <c r="H192" s="10" t="s">
        <v>1397</v>
      </c>
      <c r="I192" s="10" t="s">
        <v>51</v>
      </c>
      <c r="J192" s="10" t="s">
        <v>51</v>
      </c>
      <c r="K192" s="10" t="s">
        <v>51</v>
      </c>
      <c r="L192" s="40" t="s">
        <v>51</v>
      </c>
      <c r="M192" t="s">
        <v>1397</v>
      </c>
      <c r="N192" t="str">
        <f t="shared" si="8"/>
        <v>Exclude</v>
      </c>
      <c r="O192" t="s">
        <v>5648</v>
      </c>
    </row>
    <row r="193" spans="1:15">
      <c r="A193" s="39" t="s">
        <v>4274</v>
      </c>
      <c r="B193" t="str">
        <f>HYPERLINK('citations-it1-studies'!$D176,'citations-it1-studies'!$B176)</f>
        <v>OPC-UA Agent for Legacy Programmable Logic Controllers</v>
      </c>
      <c r="C193">
        <v>2022</v>
      </c>
      <c r="D193">
        <v>20</v>
      </c>
      <c r="E193" t="s">
        <v>1398</v>
      </c>
      <c r="F193" s="9" t="s">
        <v>51</v>
      </c>
      <c r="G193" s="9" t="s">
        <v>51</v>
      </c>
      <c r="H193" s="9" t="s">
        <v>51</v>
      </c>
      <c r="I193" s="9" t="s">
        <v>51</v>
      </c>
      <c r="J193" s="9" t="s">
        <v>51</v>
      </c>
      <c r="K193" s="9" t="s">
        <v>51</v>
      </c>
      <c r="L193" s="41" t="s">
        <v>1397</v>
      </c>
      <c r="M193" t="s">
        <v>1397</v>
      </c>
      <c r="N193" t="str">
        <f t="shared" si="8"/>
        <v>Exclude</v>
      </c>
      <c r="O193" t="s">
        <v>5669</v>
      </c>
    </row>
    <row r="194" spans="1:15">
      <c r="A194" s="39" t="s">
        <v>4274</v>
      </c>
      <c r="B194" t="str">
        <f>HYPERLINK('citations-it1-studies'!$D180,'citations-it1-studies'!$B180)</f>
        <v>A survey on security issues in IoT operating systems</v>
      </c>
      <c r="C194">
        <v>2024</v>
      </c>
      <c r="D194">
        <v>28</v>
      </c>
      <c r="E194" t="s">
        <v>1398</v>
      </c>
      <c r="F194" s="10" t="s">
        <v>51</v>
      </c>
      <c r="G194" s="10" t="s">
        <v>51</v>
      </c>
      <c r="H194" s="10" t="s">
        <v>51</v>
      </c>
      <c r="I194" s="10" t="s">
        <v>51</v>
      </c>
      <c r="J194" s="10" t="s">
        <v>1397</v>
      </c>
      <c r="K194" s="10" t="s">
        <v>51</v>
      </c>
      <c r="L194" s="40" t="s">
        <v>51</v>
      </c>
      <c r="M194" t="s">
        <v>1397</v>
      </c>
      <c r="N194" t="str">
        <f t="shared" si="8"/>
        <v>Exclude</v>
      </c>
      <c r="O194" t="s">
        <v>5646</v>
      </c>
    </row>
    <row r="195" spans="1:15">
      <c r="A195" s="39" t="s">
        <v>4274</v>
      </c>
      <c r="B195" t="str">
        <f>HYPERLINK('citations-it1-studies'!$D182,'citations-it1-studies'!$B182)</f>
        <v>Enhancing Wireless Sensor Network in Structural Health Monitoring through TCP/IP Socket Programming-Based Mimic Broadcasting: Experimental Validation</v>
      </c>
      <c r="C195">
        <v>2024</v>
      </c>
      <c r="D195">
        <v>31</v>
      </c>
      <c r="E195" t="s">
        <v>1398</v>
      </c>
      <c r="F195" s="9" t="s">
        <v>51</v>
      </c>
      <c r="G195" s="9" t="s">
        <v>51</v>
      </c>
      <c r="H195" s="9" t="s">
        <v>1397</v>
      </c>
      <c r="I195" s="9" t="s">
        <v>51</v>
      </c>
      <c r="J195" s="9" t="s">
        <v>51</v>
      </c>
      <c r="K195" s="9" t="s">
        <v>51</v>
      </c>
      <c r="L195" s="41" t="s">
        <v>51</v>
      </c>
      <c r="M195" t="s">
        <v>1397</v>
      </c>
      <c r="N195" t="str">
        <f t="shared" si="8"/>
        <v>Exclude</v>
      </c>
      <c r="O195" t="s">
        <v>5649</v>
      </c>
    </row>
    <row r="196" spans="1:15">
      <c r="A196" s="39" t="s">
        <v>4274</v>
      </c>
      <c r="B196" t="str">
        <f>HYPERLINK('citations-it1-studies'!$D191,'citations-it1-studies'!$B191)</f>
        <v>A self-contained emulator for the forensic examination of IoE scenarios</v>
      </c>
      <c r="C196">
        <v>2025</v>
      </c>
      <c r="D196">
        <v>19</v>
      </c>
      <c r="E196" t="s">
        <v>1398</v>
      </c>
      <c r="F196" s="10" t="s">
        <v>51</v>
      </c>
      <c r="G196" s="10" t="s">
        <v>51</v>
      </c>
      <c r="H196" s="10" t="s">
        <v>1397</v>
      </c>
      <c r="I196" s="10" t="s">
        <v>51</v>
      </c>
      <c r="J196" s="10" t="s">
        <v>51</v>
      </c>
      <c r="K196" s="10" t="s">
        <v>51</v>
      </c>
      <c r="L196" s="40" t="s">
        <v>51</v>
      </c>
      <c r="M196" t="s">
        <v>1397</v>
      </c>
      <c r="N196" t="str">
        <f t="shared" si="8"/>
        <v>Exclude</v>
      </c>
      <c r="O196" t="s">
        <v>5650</v>
      </c>
    </row>
    <row r="197" spans="1:15">
      <c r="A197" s="39" t="s">
        <v>4274</v>
      </c>
      <c r="B197" t="str">
        <f>HYPERLINK('citations-it1-studies'!$D198,'citations-it1-studies'!$B198)</f>
        <v>Development of an IoT-Based SCADA System for Monitoring of Plant Leaf Temperature and Air and Soil Parameters</v>
      </c>
      <c r="C197">
        <v>2023</v>
      </c>
      <c r="D197">
        <v>33</v>
      </c>
      <c r="E197" t="s">
        <v>1398</v>
      </c>
      <c r="F197" s="10" t="s">
        <v>51</v>
      </c>
      <c r="G197" s="10" t="s">
        <v>51</v>
      </c>
      <c r="H197" s="10" t="s">
        <v>1397</v>
      </c>
      <c r="I197" s="10" t="s">
        <v>51</v>
      </c>
      <c r="J197" s="10" t="s">
        <v>51</v>
      </c>
      <c r="K197" s="10" t="s">
        <v>51</v>
      </c>
      <c r="L197" s="40" t="s">
        <v>51</v>
      </c>
      <c r="M197" t="s">
        <v>1397</v>
      </c>
      <c r="N197" t="str">
        <f t="shared" si="8"/>
        <v>Exclude</v>
      </c>
      <c r="O197" t="s">
        <v>5651</v>
      </c>
    </row>
    <row r="198" spans="1:15">
      <c r="A198" s="39" t="s">
        <v>4274</v>
      </c>
      <c r="B198" t="str">
        <f>HYPERLINK('citations-it1-studies'!$D202,'citations-it1-studies'!$B202)</f>
        <v>Towards electric digital twin grid: Technology and framework review</v>
      </c>
      <c r="C198">
        <v>2023</v>
      </c>
      <c r="D198">
        <v>17</v>
      </c>
      <c r="E198" t="s">
        <v>1398</v>
      </c>
      <c r="F198" s="9" t="s">
        <v>51</v>
      </c>
      <c r="G198" s="9" t="s">
        <v>51</v>
      </c>
      <c r="H198" s="9" t="s">
        <v>51</v>
      </c>
      <c r="I198" s="9" t="s">
        <v>51</v>
      </c>
      <c r="J198" s="9" t="s">
        <v>1397</v>
      </c>
      <c r="K198" s="9" t="s">
        <v>51</v>
      </c>
      <c r="L198" s="41" t="s">
        <v>51</v>
      </c>
      <c r="M198" t="s">
        <v>1397</v>
      </c>
      <c r="N198" t="str">
        <f t="shared" si="8"/>
        <v>Exclude</v>
      </c>
      <c r="O198" t="s">
        <v>5638</v>
      </c>
    </row>
    <row r="199" spans="1:15">
      <c r="A199" s="39" t="s">
        <v>4274</v>
      </c>
      <c r="B199" s="11" t="str">
        <f>HYPERLINK('citations-it1-studies'!$D206,'citations-it1-studies'!$B206)</f>
        <v>A flexible OT testbed for evaluating on-device implementations of IEC-61850 GOOSE</v>
      </c>
      <c r="C199">
        <v>2023</v>
      </c>
      <c r="D199">
        <v>10</v>
      </c>
      <c r="E199" t="s">
        <v>1398</v>
      </c>
      <c r="F199" s="10" t="s">
        <v>51</v>
      </c>
      <c r="G199" s="10" t="s">
        <v>51</v>
      </c>
      <c r="H199" s="10" t="s">
        <v>51</v>
      </c>
      <c r="I199" s="10" t="s">
        <v>51</v>
      </c>
      <c r="J199" s="10" t="s">
        <v>51</v>
      </c>
      <c r="K199" s="10" t="s">
        <v>51</v>
      </c>
      <c r="L199" s="40" t="s">
        <v>51</v>
      </c>
      <c r="N199" t="str">
        <f t="shared" si="8"/>
        <v>Include</v>
      </c>
      <c r="O199" t="s">
        <v>5652</v>
      </c>
    </row>
    <row r="200" spans="1:15">
      <c r="A200" s="39" t="s">
        <v>4274</v>
      </c>
      <c r="B200" t="str">
        <f>HYPERLINK('citations-it1-studies'!$D208,'citations-it1-studies'!$B208)</f>
        <v>Industrial robot system state simulation and risk utilization test environment design</v>
      </c>
      <c r="C200">
        <v>2025</v>
      </c>
      <c r="D200">
        <v>15</v>
      </c>
      <c r="E200" t="s">
        <v>1398</v>
      </c>
      <c r="F200" s="9" t="s">
        <v>51</v>
      </c>
      <c r="G200" s="9" t="s">
        <v>51</v>
      </c>
      <c r="H200" s="9" t="s">
        <v>51</v>
      </c>
      <c r="I200" s="9" t="s">
        <v>51</v>
      </c>
      <c r="J200" s="9" t="s">
        <v>51</v>
      </c>
      <c r="K200" s="9" t="s">
        <v>51</v>
      </c>
      <c r="L200" s="41" t="s">
        <v>1397</v>
      </c>
      <c r="M200" t="s">
        <v>1397</v>
      </c>
      <c r="N200" t="str">
        <f t="shared" si="8"/>
        <v>Exclude</v>
      </c>
      <c r="O200" t="s">
        <v>5653</v>
      </c>
    </row>
    <row r="201" spans="1:15">
      <c r="A201" t="s">
        <v>4275</v>
      </c>
      <c r="B201" s="39" t="str">
        <f>HYPERLINK('references-it1-studies'!$D2,'references-it1-studies'!$B2)</f>
        <v>CCS - POIROT: Aligning Attack Behavior with Kernel Audit Records for Cyber Threat Hunting</v>
      </c>
      <c r="C201">
        <f>'references-it1-studies'!$C2</f>
        <v>2019</v>
      </c>
      <c r="D201">
        <f>'references-it1-studies'!$H2</f>
        <v>18</v>
      </c>
      <c r="E201" t="s">
        <v>1398</v>
      </c>
      <c r="F201" s="10" t="s">
        <v>51</v>
      </c>
      <c r="G201" s="10" t="s">
        <v>51</v>
      </c>
      <c r="H201" s="10" t="s">
        <v>1397</v>
      </c>
      <c r="I201" s="10" t="s">
        <v>51</v>
      </c>
      <c r="J201" s="10" t="s">
        <v>51</v>
      </c>
      <c r="K201" s="10" t="s">
        <v>51</v>
      </c>
      <c r="L201" s="10" t="s">
        <v>51</v>
      </c>
      <c r="M201" t="s">
        <v>1397</v>
      </c>
      <c r="N201" t="str">
        <f t="shared" si="8"/>
        <v>Exclude</v>
      </c>
      <c r="O201" t="s">
        <v>4277</v>
      </c>
    </row>
    <row r="202" spans="1:15">
      <c r="A202" t="s">
        <v>4275</v>
      </c>
      <c r="B202" s="39" t="str">
        <f>HYPERLINK('references-it1-studies'!$D3,'references-it1-studies'!$B3)</f>
        <v>Man-in-the-middle-attack: Understanding in simple words</v>
      </c>
      <c r="C202">
        <f>'references-it1-studies'!$C3</f>
        <v>2019</v>
      </c>
      <c r="D202">
        <f>'references-it1-studies'!$H3</f>
        <v>16</v>
      </c>
      <c r="E202" t="s">
        <v>1398</v>
      </c>
      <c r="F202" s="9" t="s">
        <v>51</v>
      </c>
      <c r="G202" s="9" t="s">
        <v>51</v>
      </c>
      <c r="H202" s="9" t="s">
        <v>1397</v>
      </c>
      <c r="I202" s="9" t="s">
        <v>51</v>
      </c>
      <c r="J202" s="9" t="s">
        <v>51</v>
      </c>
      <c r="K202" s="9" t="s">
        <v>51</v>
      </c>
      <c r="L202" s="9" t="s">
        <v>51</v>
      </c>
      <c r="M202" t="s">
        <v>1397</v>
      </c>
      <c r="N202" t="str">
        <f t="shared" ref="N202:N214" si="9">IF(COUNTIF(F202:M202,"X")&gt;0,"Exclude",IF(UPPER(TRIM(E202))="O","Include",""))</f>
        <v>Exclude</v>
      </c>
      <c r="O202" t="s">
        <v>4277</v>
      </c>
    </row>
    <row r="203" spans="1:15">
      <c r="A203" t="s">
        <v>4275</v>
      </c>
      <c r="B203" s="39" t="str">
        <f>HYPERLINK('references-it1-studies'!$D4,'references-it1-studies'!$B4)</f>
        <v>ICICS - S7commTrace: A High Interactive Honeypot for Industrial Control System Based on S7 Protocol</v>
      </c>
      <c r="C203">
        <f>'references-it1-studies'!$C4</f>
        <v>2018</v>
      </c>
      <c r="D203">
        <f>'references-it1-studies'!$H4</f>
        <v>12</v>
      </c>
      <c r="E203" t="s">
        <v>1398</v>
      </c>
      <c r="F203" s="10" t="s">
        <v>51</v>
      </c>
      <c r="G203" s="10" t="s">
        <v>51</v>
      </c>
      <c r="H203" s="10" t="s">
        <v>51</v>
      </c>
      <c r="I203" s="10" t="s">
        <v>51</v>
      </c>
      <c r="J203" s="10" t="s">
        <v>51</v>
      </c>
      <c r="K203" s="10" t="s">
        <v>51</v>
      </c>
      <c r="L203" s="10" t="s">
        <v>1397</v>
      </c>
      <c r="M203" t="s">
        <v>1397</v>
      </c>
      <c r="N203" t="str">
        <f t="shared" si="9"/>
        <v>Exclude</v>
      </c>
      <c r="O203" t="s">
        <v>4280</v>
      </c>
    </row>
    <row r="204" spans="1:15">
      <c r="A204" t="s">
        <v>4275</v>
      </c>
      <c r="B204" s="39" t="str">
        <f>HYPERLINK('references-it1-studies'!$D6,'references-it1-studies'!$B6)</f>
        <v>Performance evaluation of CoAP and MQTT with security support for IoT environments</v>
      </c>
      <c r="C204">
        <f>'references-it1-studies'!$C6</f>
        <v>2021</v>
      </c>
      <c r="D204">
        <f>'references-it1-studies'!$H6</f>
        <v>0</v>
      </c>
      <c r="E204" t="s">
        <v>1398</v>
      </c>
      <c r="F204" s="10" t="s">
        <v>51</v>
      </c>
      <c r="G204" s="10" t="s">
        <v>51</v>
      </c>
      <c r="H204" s="10" t="s">
        <v>1397</v>
      </c>
      <c r="I204" s="10" t="s">
        <v>1397</v>
      </c>
      <c r="J204" s="10" t="s">
        <v>51</v>
      </c>
      <c r="K204" s="10" t="s">
        <v>51</v>
      </c>
      <c r="L204" s="10" t="s">
        <v>51</v>
      </c>
      <c r="M204" t="s">
        <v>1397</v>
      </c>
      <c r="N204" t="str">
        <f t="shared" si="9"/>
        <v>Exclude</v>
      </c>
      <c r="O204" t="s">
        <v>4277</v>
      </c>
    </row>
    <row r="205" spans="1:15">
      <c r="A205" t="s">
        <v>4275</v>
      </c>
      <c r="B205" s="39" t="str">
        <f>HYPERLINK('references-it1-studies'!$D7,'references-it1-studies'!$B7)</f>
        <v>INFOCOM Workshops - Simulation of Industrial Wireless Sensor Network (IWSN) protocols</v>
      </c>
      <c r="C205">
        <f>'references-it1-studies'!$C7</f>
        <v>2016</v>
      </c>
      <c r="D205">
        <f>'references-it1-studies'!$H7</f>
        <v>7</v>
      </c>
      <c r="E205" t="s">
        <v>1398</v>
      </c>
      <c r="F205" s="9" t="s">
        <v>51</v>
      </c>
      <c r="G205" s="9" t="s">
        <v>51</v>
      </c>
      <c r="H205" s="9" t="s">
        <v>51</v>
      </c>
      <c r="I205" s="9" t="s">
        <v>51</v>
      </c>
      <c r="J205" s="9" t="s">
        <v>51</v>
      </c>
      <c r="K205" s="9" t="s">
        <v>51</v>
      </c>
      <c r="L205" s="9" t="s">
        <v>1397</v>
      </c>
      <c r="N205" t="str">
        <f t="shared" si="9"/>
        <v>Exclude</v>
      </c>
      <c r="O205" t="s">
        <v>4298</v>
      </c>
    </row>
    <row r="206" spans="1:15">
      <c r="A206" t="s">
        <v>4275</v>
      </c>
      <c r="B206" s="39" t="str">
        <f>HYPERLINK('references-it1-studies'!$D10,'references-it1-studies'!$B10)</f>
        <v>Digital transformation of manufacturing through cloud services and resource virtualization</v>
      </c>
      <c r="C206">
        <f>'references-it1-studies'!$C10</f>
        <v>2019</v>
      </c>
      <c r="D206">
        <f>'references-it1-studies'!$H10</f>
        <v>13</v>
      </c>
      <c r="E206" t="s">
        <v>1398</v>
      </c>
      <c r="F206" s="9" t="s">
        <v>51</v>
      </c>
      <c r="G206" s="9" t="s">
        <v>51</v>
      </c>
      <c r="H206" s="9" t="s">
        <v>51</v>
      </c>
      <c r="I206" s="9" t="s">
        <v>51</v>
      </c>
      <c r="J206" s="9" t="s">
        <v>51</v>
      </c>
      <c r="K206" s="9" t="s">
        <v>51</v>
      </c>
      <c r="L206" s="9" t="s">
        <v>1397</v>
      </c>
      <c r="M206" t="s">
        <v>1397</v>
      </c>
      <c r="N206" t="str">
        <f t="shared" si="9"/>
        <v>Exclude</v>
      </c>
      <c r="O206" t="s">
        <v>4278</v>
      </c>
    </row>
    <row r="207" spans="1:15">
      <c r="A207" t="s">
        <v>4275</v>
      </c>
      <c r="B207" s="39" t="str">
        <f>HYPERLINK('references-it1-studies'!$D12,'references-it1-studies'!$B12)</f>
        <v>Container-based architecture for flexible industrial control applications</v>
      </c>
      <c r="C207">
        <f>'references-it1-studies'!$C12</f>
        <v>2018</v>
      </c>
      <c r="D207">
        <f>'references-it1-studies'!$H12</f>
        <v>9</v>
      </c>
      <c r="E207" t="s">
        <v>1398</v>
      </c>
      <c r="F207" s="10" t="s">
        <v>51</v>
      </c>
      <c r="G207" s="10" t="s">
        <v>51</v>
      </c>
      <c r="H207" s="10" t="s">
        <v>51</v>
      </c>
      <c r="I207" s="10" t="s">
        <v>51</v>
      </c>
      <c r="J207" s="10" t="s">
        <v>51</v>
      </c>
      <c r="K207" s="10" t="s">
        <v>51</v>
      </c>
      <c r="L207" s="10" t="s">
        <v>1397</v>
      </c>
      <c r="M207" t="s">
        <v>1397</v>
      </c>
      <c r="N207" t="str">
        <f t="shared" si="9"/>
        <v>Exclude</v>
      </c>
      <c r="O207" t="s">
        <v>4278</v>
      </c>
    </row>
    <row r="208" spans="1:15">
      <c r="A208" t="s">
        <v>4275</v>
      </c>
      <c r="B208" s="39" t="str">
        <f>HYPERLINK('references-it1-studies'!$D13,'references-it1-studies'!$B13)</f>
        <v>Interworking between Modbus and internet of things platform for industrial services</v>
      </c>
      <c r="C208">
        <f>'references-it1-studies'!$C13</f>
        <v>2024</v>
      </c>
      <c r="D208">
        <f>'references-it1-studies'!$H13</f>
        <v>11</v>
      </c>
      <c r="E208" t="s">
        <v>1398</v>
      </c>
      <c r="F208" s="9" t="s">
        <v>51</v>
      </c>
      <c r="G208" s="9" t="s">
        <v>51</v>
      </c>
      <c r="H208" s="9" t="s">
        <v>51</v>
      </c>
      <c r="I208" s="9" t="s">
        <v>51</v>
      </c>
      <c r="J208" s="9" t="s">
        <v>51</v>
      </c>
      <c r="K208" s="9" t="s">
        <v>51</v>
      </c>
      <c r="L208" s="9" t="s">
        <v>1397</v>
      </c>
      <c r="M208" t="s">
        <v>1397</v>
      </c>
      <c r="N208" t="str">
        <f t="shared" si="9"/>
        <v>Exclude</v>
      </c>
      <c r="O208" t="s">
        <v>4280</v>
      </c>
    </row>
    <row r="209" spans="1:15">
      <c r="A209" t="s">
        <v>4275</v>
      </c>
      <c r="B209" s="39" t="str">
        <f>HYPERLINK('references-it1-studies'!$D14,'references-it1-studies'!$B14)</f>
        <v>GNS3 Communication Network Emulation for Substation GOOSE Based Protection Schemes</v>
      </c>
      <c r="C209">
        <f>'references-it1-studies'!$C14</f>
        <v>2022</v>
      </c>
      <c r="D209">
        <f>'references-it1-studies'!$H14</f>
        <v>0</v>
      </c>
      <c r="E209" t="s">
        <v>1398</v>
      </c>
      <c r="F209" s="10" t="s">
        <v>51</v>
      </c>
      <c r="G209" s="10" t="s">
        <v>51</v>
      </c>
      <c r="H209" s="10" t="s">
        <v>51</v>
      </c>
      <c r="I209" s="10" t="s">
        <v>51</v>
      </c>
      <c r="J209" s="10" t="s">
        <v>51</v>
      </c>
      <c r="K209" s="10" t="s">
        <v>51</v>
      </c>
      <c r="L209" s="10" t="s">
        <v>51</v>
      </c>
      <c r="N209" t="str">
        <f t="shared" si="9"/>
        <v>Include</v>
      </c>
      <c r="O209" t="s">
        <v>4299</v>
      </c>
    </row>
    <row r="210" spans="1:15">
      <c r="A210" t="s">
        <v>4275</v>
      </c>
      <c r="B210" s="39" t="str">
        <f>HYPERLINK('references-it1-studies'!$D15,'references-it1-studies'!$B15)</f>
        <v>ICC - Application protocols enabling internet of remote things via random access satellite channels</v>
      </c>
      <c r="C210">
        <f>'references-it1-studies'!$C15</f>
        <v>2017</v>
      </c>
      <c r="D210">
        <f>'references-it1-studies'!$H15</f>
        <v>6</v>
      </c>
      <c r="E210" t="s">
        <v>1398</v>
      </c>
      <c r="F210" s="9" t="s">
        <v>51</v>
      </c>
      <c r="G210" s="9" t="s">
        <v>51</v>
      </c>
      <c r="H210" s="9" t="s">
        <v>1397</v>
      </c>
      <c r="I210" s="9" t="s">
        <v>51</v>
      </c>
      <c r="J210" s="9" t="s">
        <v>51</v>
      </c>
      <c r="K210" s="9" t="s">
        <v>51</v>
      </c>
      <c r="L210" s="9" t="s">
        <v>51</v>
      </c>
      <c r="M210" t="s">
        <v>1397</v>
      </c>
      <c r="N210" t="str">
        <f t="shared" si="9"/>
        <v>Exclude</v>
      </c>
      <c r="O210" t="s">
        <v>4277</v>
      </c>
    </row>
    <row r="211" spans="1:15">
      <c r="A211" t="s">
        <v>4275</v>
      </c>
      <c r="B211" s="39" t="str">
        <f>HYPERLINK('references-it1-studies'!$D16,'references-it1-studies'!$B16)</f>
        <v>Denial-of-Service Attack on IEC 61850-Based Substation Automation System: A Crucial Cyber Threat towards Smart Substation Pathways.</v>
      </c>
      <c r="C211">
        <f>'references-it1-studies'!$C16</f>
        <v>2021</v>
      </c>
      <c r="D211">
        <f>'references-it1-studies'!$H16</f>
        <v>0</v>
      </c>
      <c r="E211" t="s">
        <v>1398</v>
      </c>
      <c r="F211" s="10" t="s">
        <v>51</v>
      </c>
      <c r="G211" s="10" t="s">
        <v>51</v>
      </c>
      <c r="H211" s="10" t="s">
        <v>51</v>
      </c>
      <c r="I211" s="10" t="s">
        <v>51</v>
      </c>
      <c r="J211" s="10" t="s">
        <v>51</v>
      </c>
      <c r="K211" s="10" t="s">
        <v>51</v>
      </c>
      <c r="L211" s="10" t="s">
        <v>1397</v>
      </c>
      <c r="N211" t="str">
        <f t="shared" si="9"/>
        <v>Exclude</v>
      </c>
      <c r="O211" t="s">
        <v>4300</v>
      </c>
    </row>
    <row r="212" spans="1:15">
      <c r="A212" t="s">
        <v>4275</v>
      </c>
      <c r="B212" s="39" t="str">
        <f>HYPERLINK('references-it1-studies'!$D19,'references-it1-studies'!$B19)</f>
        <v>Design of Industrial Edge Applications Based on IEC 61499 Microservices and Containers</v>
      </c>
      <c r="C212">
        <f>'references-it1-studies'!$C19</f>
        <v>2023</v>
      </c>
      <c r="D212">
        <f>'references-it1-studies'!$H19</f>
        <v>11</v>
      </c>
      <c r="E212" t="s">
        <v>1398</v>
      </c>
      <c r="F212" s="9" t="s">
        <v>51</v>
      </c>
      <c r="G212" s="9" t="s">
        <v>51</v>
      </c>
      <c r="H212" s="9" t="s">
        <v>51</v>
      </c>
      <c r="I212" s="9" t="s">
        <v>51</v>
      </c>
      <c r="J212" s="9" t="s">
        <v>51</v>
      </c>
      <c r="K212" s="9" t="s">
        <v>51</v>
      </c>
      <c r="L212" s="9" t="s">
        <v>1397</v>
      </c>
      <c r="M212" t="s">
        <v>1397</v>
      </c>
      <c r="N212" t="str">
        <f t="shared" si="9"/>
        <v>Exclude</v>
      </c>
      <c r="O212" t="s">
        <v>4278</v>
      </c>
    </row>
    <row r="213" spans="1:15">
      <c r="A213" t="s">
        <v>4275</v>
      </c>
      <c r="B213" s="39" t="str">
        <f>HYPERLINK('references-it1-studies'!$D21,'references-it1-studies'!$B21)</f>
        <v>Structured Defense Model Against DNP3-Based Critical Infrastructure Attacks</v>
      </c>
      <c r="C213">
        <f>'references-it1-studies'!$C21</f>
        <v>2024</v>
      </c>
      <c r="D213">
        <f>'references-it1-studies'!$H21</f>
        <v>19</v>
      </c>
      <c r="E213" t="s">
        <v>1398</v>
      </c>
      <c r="F213" s="10" t="s">
        <v>51</v>
      </c>
      <c r="G213" s="10" t="s">
        <v>51</v>
      </c>
      <c r="H213" s="10" t="s">
        <v>51</v>
      </c>
      <c r="I213" s="10" t="s">
        <v>51</v>
      </c>
      <c r="J213" s="10" t="s">
        <v>51</v>
      </c>
      <c r="K213" s="10" t="s">
        <v>51</v>
      </c>
      <c r="L213" s="10" t="s">
        <v>1397</v>
      </c>
      <c r="N213" t="str">
        <f t="shared" si="9"/>
        <v>Exclude</v>
      </c>
      <c r="O213" t="s">
        <v>4301</v>
      </c>
    </row>
    <row r="214" spans="1:15">
      <c r="A214" t="s">
        <v>4275</v>
      </c>
      <c r="B214" s="39" t="str">
        <f>HYPERLINK('references-it1-studies'!$D22,'references-it1-studies'!$B22)</f>
        <v>Choice of effective messaging protocols for IoT systems: MQTT, CoAP, AMQP and HTTP</v>
      </c>
      <c r="C214">
        <f>'references-it1-studies'!$C22</f>
        <v>2017</v>
      </c>
      <c r="D214">
        <f>'references-it1-studies'!$H22</f>
        <v>7</v>
      </c>
      <c r="E214" t="s">
        <v>1398</v>
      </c>
      <c r="F214" s="9" t="s">
        <v>51</v>
      </c>
      <c r="G214" s="9" t="s">
        <v>51</v>
      </c>
      <c r="H214" s="9" t="s">
        <v>1397</v>
      </c>
      <c r="I214" s="9" t="s">
        <v>51</v>
      </c>
      <c r="J214" s="9" t="s">
        <v>51</v>
      </c>
      <c r="K214" s="9" t="s">
        <v>51</v>
      </c>
      <c r="L214" s="9" t="s">
        <v>51</v>
      </c>
      <c r="M214" t="s">
        <v>1397</v>
      </c>
      <c r="N214" t="str">
        <f t="shared" si="9"/>
        <v>Exclude</v>
      </c>
      <c r="O214" t="s">
        <v>4277</v>
      </c>
    </row>
    <row r="215" spans="1:15">
      <c r="A215" t="s">
        <v>4275</v>
      </c>
      <c r="B215" s="39" t="str">
        <f>HYPERLINK('references-it1-studies'!$D24,'references-it1-studies'!$B24)</f>
        <v>Simulation and Analysis of Cyber-Attack on Modbus Protocol for Smart Grids in Virtual Environment</v>
      </c>
      <c r="C215">
        <f>'references-it1-studies'!$C24</f>
        <v>2023</v>
      </c>
      <c r="D215">
        <f>'references-it1-studies'!$H24</f>
        <v>0</v>
      </c>
      <c r="E215" t="s">
        <v>1398</v>
      </c>
      <c r="F215" s="9" t="s">
        <v>51</v>
      </c>
      <c r="G215" s="9" t="s">
        <v>51</v>
      </c>
      <c r="H215" s="9" t="s">
        <v>51</v>
      </c>
      <c r="I215" s="9" t="s">
        <v>51</v>
      </c>
      <c r="J215" s="9" t="s">
        <v>51</v>
      </c>
      <c r="K215" s="9" t="s">
        <v>51</v>
      </c>
      <c r="L215" s="9" t="s">
        <v>51</v>
      </c>
      <c r="N215" t="str">
        <f t="shared" ref="N215:N223" si="10">IF(COUNTIF(F215:M215,"X")&gt;0,"Exclude",IF(UPPER(TRIM(E215))="O","Include",""))</f>
        <v>Include</v>
      </c>
      <c r="O215" t="s">
        <v>4302</v>
      </c>
    </row>
    <row r="216" spans="1:15">
      <c r="A216" t="s">
        <v>4275</v>
      </c>
      <c r="B216" s="39" t="str">
        <f>HYPERLINK('references-it1-studies'!$D25,'references-it1-studies'!$B25)</f>
        <v>A Novel Approach for Mitigation of Replay and Masquerade Attacks in Smartgrids Using IEC 61850 Standard</v>
      </c>
      <c r="C216">
        <f>'references-it1-studies'!$C25</f>
        <v>2019</v>
      </c>
      <c r="D216">
        <f>'references-it1-studies'!$H25</f>
        <v>10</v>
      </c>
      <c r="E216" t="s">
        <v>1398</v>
      </c>
      <c r="F216" s="9" t="s">
        <v>51</v>
      </c>
      <c r="G216" s="9" t="s">
        <v>51</v>
      </c>
      <c r="H216" s="9" t="s">
        <v>51</v>
      </c>
      <c r="I216" s="9" t="s">
        <v>51</v>
      </c>
      <c r="J216" s="9" t="s">
        <v>51</v>
      </c>
      <c r="K216" s="9" t="s">
        <v>51</v>
      </c>
      <c r="L216" s="9" t="s">
        <v>1397</v>
      </c>
      <c r="N216" t="str">
        <f t="shared" si="10"/>
        <v>Exclude</v>
      </c>
      <c r="O216" t="s">
        <v>4303</v>
      </c>
    </row>
    <row r="217" spans="1:15">
      <c r="A217" t="s">
        <v>4275</v>
      </c>
      <c r="B217" s="39" t="str">
        <f>HYPERLINK('references-it1-studies'!$D27,'references-it1-studies'!$B27)</f>
        <v>MetroInd4.0&amp;amp;IoT - Performance Comparison Between OPC UA and MQTT for Data Exchange</v>
      </c>
      <c r="C217">
        <f>'references-it1-studies'!$C27</f>
        <v>2018</v>
      </c>
      <c r="D217">
        <f>'references-it1-studies'!$H27</f>
        <v>5</v>
      </c>
      <c r="E217" t="s">
        <v>1398</v>
      </c>
      <c r="F217" s="10" t="s">
        <v>51</v>
      </c>
      <c r="G217" s="10" t="s">
        <v>51</v>
      </c>
      <c r="H217" s="10" t="s">
        <v>51</v>
      </c>
      <c r="I217" s="10" t="s">
        <v>51</v>
      </c>
      <c r="J217" s="10" t="s">
        <v>51</v>
      </c>
      <c r="K217" s="10" t="s">
        <v>51</v>
      </c>
      <c r="L217" s="10" t="s">
        <v>51</v>
      </c>
      <c r="N217" t="str">
        <f t="shared" si="10"/>
        <v>Include</v>
      </c>
      <c r="O217" t="s">
        <v>4304</v>
      </c>
    </row>
    <row r="218" spans="1:15">
      <c r="A218" t="s">
        <v>4275</v>
      </c>
      <c r="B218" s="39" t="str">
        <f>HYPERLINK('references-it1-studies'!$D28,'references-it1-studies'!$B28)</f>
        <v>ETFA - TSN-Enabled OPC UA in Field Devices</v>
      </c>
      <c r="C218">
        <f>'references-it1-studies'!$C28</f>
        <v>2018</v>
      </c>
      <c r="D218">
        <f>'references-it1-studies'!$H28</f>
        <v>7</v>
      </c>
      <c r="E218" t="s">
        <v>1398</v>
      </c>
      <c r="F218" s="9" t="s">
        <v>51</v>
      </c>
      <c r="G218" s="9" t="s">
        <v>51</v>
      </c>
      <c r="H218" s="9" t="s">
        <v>51</v>
      </c>
      <c r="I218" s="9" t="s">
        <v>51</v>
      </c>
      <c r="J218" s="9" t="s">
        <v>51</v>
      </c>
      <c r="K218" s="9" t="s">
        <v>51</v>
      </c>
      <c r="L218" s="9" t="s">
        <v>1397</v>
      </c>
      <c r="M218" t="s">
        <v>1397</v>
      </c>
      <c r="N218" t="str">
        <f t="shared" si="10"/>
        <v>Exclude</v>
      </c>
      <c r="O218" t="s">
        <v>4280</v>
      </c>
    </row>
    <row r="219" spans="1:15">
      <c r="A219" t="s">
        <v>4275</v>
      </c>
      <c r="B219" s="39" t="str">
        <f>HYPERLINK('references-it1-studies'!$D29,'references-it1-studies'!$B29)</f>
        <v>Practical Implementation of an OPC UA TSN Communication Architecture for a Manufacturing System</v>
      </c>
      <c r="C219">
        <f>'references-it1-studies'!$C29</f>
        <v>2020</v>
      </c>
      <c r="D219">
        <f>'references-it1-studies'!$H29</f>
        <v>12</v>
      </c>
      <c r="E219" t="s">
        <v>1398</v>
      </c>
      <c r="F219" s="10" t="s">
        <v>51</v>
      </c>
      <c r="G219" s="10" t="s">
        <v>51</v>
      </c>
      <c r="H219" s="10" t="s">
        <v>51</v>
      </c>
      <c r="I219" s="10" t="s">
        <v>51</v>
      </c>
      <c r="J219" s="10" t="s">
        <v>51</v>
      </c>
      <c r="K219" s="10" t="s">
        <v>51</v>
      </c>
      <c r="L219" s="10" t="s">
        <v>51</v>
      </c>
      <c r="N219" t="str">
        <f t="shared" si="10"/>
        <v>Include</v>
      </c>
      <c r="O219" t="s">
        <v>4305</v>
      </c>
    </row>
    <row r="220" spans="1:15">
      <c r="A220" t="s">
        <v>4275</v>
      </c>
      <c r="B220" s="39" t="str">
        <f>HYPERLINK('references-it1-studies'!$D30,'references-it1-studies'!$B30)</f>
        <v>LANMAN - Robustness of IoT Application Protocols to Network Impairments</v>
      </c>
      <c r="C220">
        <f>'references-it1-studies'!$C30</f>
        <v>2018</v>
      </c>
      <c r="D220">
        <f>'references-it1-studies'!$H30</f>
        <v>7</v>
      </c>
      <c r="E220" t="s">
        <v>1398</v>
      </c>
      <c r="F220" s="9" t="s">
        <v>51</v>
      </c>
      <c r="G220" s="9" t="s">
        <v>51</v>
      </c>
      <c r="H220" s="9" t="s">
        <v>1397</v>
      </c>
      <c r="I220" s="9" t="s">
        <v>51</v>
      </c>
      <c r="J220" s="9" t="s">
        <v>51</v>
      </c>
      <c r="K220" s="9" t="s">
        <v>51</v>
      </c>
      <c r="L220" s="9" t="s">
        <v>51</v>
      </c>
      <c r="M220" t="s">
        <v>1397</v>
      </c>
      <c r="N220" t="str">
        <f t="shared" si="10"/>
        <v>Exclude</v>
      </c>
      <c r="O220" t="s">
        <v>4277</v>
      </c>
    </row>
    <row r="221" spans="1:15">
      <c r="A221" t="s">
        <v>4275</v>
      </c>
      <c r="B221" s="39" t="str">
        <f>HYPERLINK('references-it1-studies'!$D31,'references-it1-studies'!$B31)</f>
        <v>A survey of intrusion detection in Internet of Things</v>
      </c>
      <c r="C221">
        <f>'references-it1-studies'!$C31</f>
        <v>2017</v>
      </c>
      <c r="D221">
        <f>'references-it1-studies'!$H31</f>
        <v>13</v>
      </c>
      <c r="E221" t="s">
        <v>1398</v>
      </c>
      <c r="F221" s="10" t="s">
        <v>51</v>
      </c>
      <c r="G221" s="10" t="s">
        <v>51</v>
      </c>
      <c r="H221" s="10" t="s">
        <v>51</v>
      </c>
      <c r="I221" s="10" t="s">
        <v>51</v>
      </c>
      <c r="J221" s="10" t="s">
        <v>1397</v>
      </c>
      <c r="K221" s="10" t="s">
        <v>51</v>
      </c>
      <c r="L221" s="10" t="s">
        <v>51</v>
      </c>
      <c r="M221" t="s">
        <v>1397</v>
      </c>
      <c r="N221" t="str">
        <f t="shared" si="10"/>
        <v>Exclude</v>
      </c>
      <c r="O221" t="s">
        <v>4281</v>
      </c>
    </row>
    <row r="222" spans="1:15">
      <c r="A222" t="s">
        <v>4275</v>
      </c>
      <c r="B222" s="39" t="str">
        <f>HYPERLINK('references-it1-studies'!$D32,'references-it1-studies'!$B32)</f>
        <v>Evaluating Docker for Lightweight Virtualization of Distributed and Time-Sensitive Applications in Industrial Automation</v>
      </c>
      <c r="C222">
        <f>'references-it1-studies'!$C32</f>
        <v>2021</v>
      </c>
      <c r="D222">
        <f>'references-it1-studies'!$H32</f>
        <v>11</v>
      </c>
      <c r="E222" t="s">
        <v>1398</v>
      </c>
      <c r="F222" s="9" t="s">
        <v>51</v>
      </c>
      <c r="G222" s="9" t="s">
        <v>51</v>
      </c>
      <c r="H222" s="9" t="s">
        <v>51</v>
      </c>
      <c r="I222" s="9" t="s">
        <v>51</v>
      </c>
      <c r="J222" s="9" t="s">
        <v>51</v>
      </c>
      <c r="K222" s="9" t="s">
        <v>51</v>
      </c>
      <c r="L222" s="9" t="s">
        <v>1397</v>
      </c>
      <c r="M222" t="s">
        <v>1397</v>
      </c>
      <c r="N222" t="str">
        <f t="shared" si="10"/>
        <v>Exclude</v>
      </c>
      <c r="O222" t="s">
        <v>4278</v>
      </c>
    </row>
    <row r="223" spans="1:15">
      <c r="A223" t="s">
        <v>4275</v>
      </c>
      <c r="B223" s="39" t="str">
        <f>HYPERLINK('references-it1-studies'!$D33,'references-it1-studies'!$B33)</f>
        <v>Performance of the XMPP and the MQTT Protocols on IEC 61850-Based Micro Grid Communication Architecture</v>
      </c>
      <c r="C223">
        <f>'references-it1-studies'!$C33</f>
        <v>2021</v>
      </c>
      <c r="D223">
        <f>'references-it1-studies'!$H33</f>
        <v>0</v>
      </c>
      <c r="E223" t="s">
        <v>1398</v>
      </c>
      <c r="F223" s="10" t="s">
        <v>51</v>
      </c>
      <c r="G223" s="10" t="s">
        <v>51</v>
      </c>
      <c r="H223" s="10" t="s">
        <v>51</v>
      </c>
      <c r="I223" s="10" t="s">
        <v>51</v>
      </c>
      <c r="J223" s="10" t="s">
        <v>51</v>
      </c>
      <c r="K223" s="10" t="s">
        <v>51</v>
      </c>
      <c r="L223" s="10" t="s">
        <v>51</v>
      </c>
      <c r="N223" t="str">
        <f t="shared" si="10"/>
        <v>Include</v>
      </c>
      <c r="O223" t="s">
        <v>4306</v>
      </c>
    </row>
    <row r="224" spans="1:15">
      <c r="A224" t="s">
        <v>4275</v>
      </c>
      <c r="B224" s="39" t="str">
        <f>HYPERLINK('references-it1-studies'!$D36,'references-it1-studies'!$B36)</f>
        <v>Handbook of Big Data Technologies - SCADA Systems in the Cloud</v>
      </c>
      <c r="C224">
        <f>'references-it1-studies'!$C36</f>
        <v>2017</v>
      </c>
      <c r="D224">
        <f>'references-it1-studies'!$H36</f>
        <v>28</v>
      </c>
      <c r="E224" t="s">
        <v>1398</v>
      </c>
      <c r="F224" s="10" t="s">
        <v>51</v>
      </c>
      <c r="G224" s="10" t="s">
        <v>51</v>
      </c>
      <c r="H224" s="10" t="s">
        <v>51</v>
      </c>
      <c r="I224" s="10" t="s">
        <v>51</v>
      </c>
      <c r="J224" s="10" t="s">
        <v>51</v>
      </c>
      <c r="K224" s="10" t="s">
        <v>51</v>
      </c>
      <c r="L224" s="10" t="s">
        <v>1397</v>
      </c>
      <c r="M224" t="s">
        <v>1397</v>
      </c>
      <c r="N224" t="str">
        <f t="shared" ref="N224:N255" si="11">IF(COUNTIF(F224:M224,"X")&gt;0,"Exclude",IF(UPPER(TRIM(E224))="O","Include",""))</f>
        <v>Exclude</v>
      </c>
      <c r="O224" t="s">
        <v>4278</v>
      </c>
    </row>
    <row r="225" spans="1:15">
      <c r="A225" t="s">
        <v>4275</v>
      </c>
      <c r="B225" s="39" t="str">
        <f>HYPERLINK('references-it1-studies'!$D37,'references-it1-studies'!$B37)</f>
        <v>EnGINE: Developing a Flexible Research Infrastructure for Reliable and Scalable Intra-Vehicular TSN Networks</v>
      </c>
      <c r="C225">
        <f>'references-it1-studies'!$C37</f>
        <v>2021</v>
      </c>
      <c r="D225">
        <f>'references-it1-studies'!$H37</f>
        <v>0</v>
      </c>
      <c r="E225" t="s">
        <v>1398</v>
      </c>
      <c r="F225" s="9" t="s">
        <v>51</v>
      </c>
      <c r="G225" s="9" t="s">
        <v>51</v>
      </c>
      <c r="H225" s="9" t="s">
        <v>51</v>
      </c>
      <c r="I225" s="9" t="s">
        <v>1397</v>
      </c>
      <c r="J225" s="9" t="s">
        <v>51</v>
      </c>
      <c r="K225" s="9" t="s">
        <v>51</v>
      </c>
      <c r="L225" s="9" t="s">
        <v>1397</v>
      </c>
      <c r="M225" t="s">
        <v>1397</v>
      </c>
      <c r="N225" t="str">
        <f t="shared" si="11"/>
        <v>Exclude</v>
      </c>
      <c r="O225" t="s">
        <v>4280</v>
      </c>
    </row>
    <row r="226" spans="1:15">
      <c r="A226" t="s">
        <v>4275</v>
      </c>
      <c r="B226" s="39" t="str">
        <f>HYPERLINK('references-it1-studies'!$D38,'references-it1-studies'!$B38)</f>
        <v>An Effective Methodology for Measuring Software Resource Usage</v>
      </c>
      <c r="C226">
        <f>'references-it1-studies'!$C38</f>
        <v>2018</v>
      </c>
      <c r="D226">
        <f>'references-it1-studies'!$H38</f>
        <v>8</v>
      </c>
      <c r="E226" t="s">
        <v>1398</v>
      </c>
      <c r="F226" s="10" t="s">
        <v>51</v>
      </c>
      <c r="G226" s="10" t="s">
        <v>51</v>
      </c>
      <c r="H226" s="10" t="s">
        <v>1397</v>
      </c>
      <c r="I226" s="10" t="s">
        <v>51</v>
      </c>
      <c r="J226" s="10" t="s">
        <v>51</v>
      </c>
      <c r="K226" s="10" t="s">
        <v>51</v>
      </c>
      <c r="L226" s="10" t="s">
        <v>51</v>
      </c>
      <c r="M226" t="s">
        <v>1397</v>
      </c>
      <c r="N226" t="str">
        <f t="shared" si="11"/>
        <v>Exclude</v>
      </c>
      <c r="O226" t="s">
        <v>4277</v>
      </c>
    </row>
    <row r="227" spans="1:15">
      <c r="A227" t="s">
        <v>4275</v>
      </c>
      <c r="B227" s="39" t="str">
        <f>HYPERLINK('references-it1-studies'!$D39,'references-it1-studies'!$B39)</f>
        <v>Manufacturing in the fourth industrial revolution: A positive prospect in Sustainable Manufacturing</v>
      </c>
      <c r="C227">
        <f>'references-it1-studies'!$C39</f>
        <v>2018</v>
      </c>
      <c r="D227">
        <f>'references-it1-studies'!$H39</f>
        <v>8</v>
      </c>
      <c r="E227" t="s">
        <v>1398</v>
      </c>
      <c r="F227" s="9" t="s">
        <v>51</v>
      </c>
      <c r="G227" s="9" t="s">
        <v>51</v>
      </c>
      <c r="H227" s="9" t="s">
        <v>51</v>
      </c>
      <c r="I227" s="9" t="s">
        <v>51</v>
      </c>
      <c r="J227" s="9" t="s">
        <v>51</v>
      </c>
      <c r="K227" s="9" t="s">
        <v>51</v>
      </c>
      <c r="L227" s="9" t="s">
        <v>1397</v>
      </c>
      <c r="M227" t="s">
        <v>1397</v>
      </c>
      <c r="N227" t="str">
        <f t="shared" si="11"/>
        <v>Exclude</v>
      </c>
      <c r="O227" t="s">
        <v>4278</v>
      </c>
    </row>
    <row r="228" spans="1:15">
      <c r="A228" t="s">
        <v>4275</v>
      </c>
      <c r="B228" s="39" t="str">
        <f>HYPERLINK('references-it1-studies'!$D44,'references-it1-studies'!$B44)</f>
        <v>A Review of IEC 62351 Security Mechanisms for IEC 61850 Message Exchanges</v>
      </c>
      <c r="C228">
        <f>'references-it1-studies'!$C44</f>
        <v>2020</v>
      </c>
      <c r="D228">
        <f>'references-it1-studies'!$H44</f>
        <v>12</v>
      </c>
      <c r="E228" t="s">
        <v>1398</v>
      </c>
      <c r="F228" s="9" t="s">
        <v>51</v>
      </c>
      <c r="G228" s="9" t="s">
        <v>51</v>
      </c>
      <c r="H228" s="9" t="s">
        <v>51</v>
      </c>
      <c r="I228" s="9" t="s">
        <v>51</v>
      </c>
      <c r="J228" s="9" t="s">
        <v>1397</v>
      </c>
      <c r="K228" s="9" t="s">
        <v>51</v>
      </c>
      <c r="L228" s="9" t="s">
        <v>51</v>
      </c>
      <c r="M228" t="s">
        <v>1397</v>
      </c>
      <c r="N228" t="str">
        <f t="shared" si="11"/>
        <v>Exclude</v>
      </c>
      <c r="O228" t="s">
        <v>4281</v>
      </c>
    </row>
    <row r="229" spans="1:15">
      <c r="A229" t="s">
        <v>4275</v>
      </c>
      <c r="B229" s="39" t="str">
        <f>HYPERLINK('references-it1-studies'!$D45,'references-it1-studies'!$B45)</f>
        <v>SmartGridComm - A Cost-efficient Software Testbed for Cyber-Physical Security in IEC 61850-based Substations</v>
      </c>
      <c r="C229">
        <f>'references-it1-studies'!$C45</f>
        <v>2018</v>
      </c>
      <c r="D229">
        <f>'references-it1-studies'!$H45</f>
        <v>0</v>
      </c>
      <c r="E229" t="s">
        <v>1398</v>
      </c>
      <c r="F229" s="10" t="s">
        <v>51</v>
      </c>
      <c r="G229" s="10" t="s">
        <v>51</v>
      </c>
      <c r="H229" s="10" t="s">
        <v>51</v>
      </c>
      <c r="I229" s="10" t="s">
        <v>51</v>
      </c>
      <c r="J229" s="10" t="s">
        <v>51</v>
      </c>
      <c r="K229" s="10" t="s">
        <v>51</v>
      </c>
      <c r="L229" s="10" t="s">
        <v>1397</v>
      </c>
      <c r="N229" t="str">
        <f t="shared" si="11"/>
        <v>Exclude</v>
      </c>
      <c r="O229" t="s">
        <v>5684</v>
      </c>
    </row>
    <row r="230" spans="1:15">
      <c r="A230" t="s">
        <v>4275</v>
      </c>
      <c r="B230" s="39" t="str">
        <f>HYPERLINK('references-it1-studies'!$D47,'references-it1-studies'!$B47)</f>
        <v>QEST - How Fast Is MQTT</v>
      </c>
      <c r="C230">
        <f>'references-it1-studies'!$C47</f>
        <v>2018</v>
      </c>
      <c r="D230">
        <f>'references-it1-studies'!$H47</f>
        <v>17</v>
      </c>
      <c r="E230" t="s">
        <v>1398</v>
      </c>
      <c r="F230" s="10" t="s">
        <v>51</v>
      </c>
      <c r="G230" s="10" t="s">
        <v>51</v>
      </c>
      <c r="H230" s="10" t="s">
        <v>1397</v>
      </c>
      <c r="I230" s="10" t="s">
        <v>51</v>
      </c>
      <c r="J230" s="10" t="s">
        <v>51</v>
      </c>
      <c r="K230" s="10" t="s">
        <v>51</v>
      </c>
      <c r="L230" s="10" t="s">
        <v>51</v>
      </c>
      <c r="M230" t="s">
        <v>1397</v>
      </c>
      <c r="N230" t="str">
        <f t="shared" si="11"/>
        <v>Exclude</v>
      </c>
      <c r="O230" t="s">
        <v>4277</v>
      </c>
    </row>
    <row r="231" spans="1:15">
      <c r="A231" t="s">
        <v>4275</v>
      </c>
      <c r="B231" s="39" t="str">
        <f>HYPERLINK('references-it1-studies'!$D48,'references-it1-studies'!$B48)</f>
        <v>ISGT Europe - Stealthy Injection Attacks Against IEC61850's GOOSE Messaging Service</v>
      </c>
      <c r="C231">
        <f>'references-it1-studies'!$C48</f>
        <v>2018</v>
      </c>
      <c r="D231">
        <f>'references-it1-studies'!$H48</f>
        <v>6</v>
      </c>
      <c r="E231" t="s">
        <v>1398</v>
      </c>
      <c r="F231" s="9" t="s">
        <v>51</v>
      </c>
      <c r="G231" s="9" t="s">
        <v>51</v>
      </c>
      <c r="H231" s="9" t="s">
        <v>51</v>
      </c>
      <c r="I231" s="9" t="s">
        <v>51</v>
      </c>
      <c r="J231" s="9" t="s">
        <v>51</v>
      </c>
      <c r="K231" s="9" t="s">
        <v>51</v>
      </c>
      <c r="L231" s="9" t="s">
        <v>1397</v>
      </c>
      <c r="M231" t="s">
        <v>1397</v>
      </c>
      <c r="N231" t="str">
        <f t="shared" si="11"/>
        <v>Exclude</v>
      </c>
      <c r="O231" t="s">
        <v>4280</v>
      </c>
    </row>
    <row r="232" spans="1:15">
      <c r="A232" t="s">
        <v>4275</v>
      </c>
      <c r="B232" s="39" t="str">
        <f>HYPERLINK('references-it1-studies'!$D49,'references-it1-studies'!$B49)</f>
        <v>Internet of Things (IoT): Research, Simulators, and Testbeds</v>
      </c>
      <c r="C232">
        <f>'references-it1-studies'!$C49</f>
        <v>2018</v>
      </c>
      <c r="D232">
        <f>'references-it1-studies'!$H49</f>
        <v>11</v>
      </c>
      <c r="E232" t="s">
        <v>1398</v>
      </c>
      <c r="F232" s="10" t="s">
        <v>51</v>
      </c>
      <c r="G232" s="10" t="s">
        <v>51</v>
      </c>
      <c r="H232" s="10" t="s">
        <v>1397</v>
      </c>
      <c r="I232" s="10" t="s">
        <v>51</v>
      </c>
      <c r="J232" s="10" t="s">
        <v>51</v>
      </c>
      <c r="K232" s="10" t="s">
        <v>51</v>
      </c>
      <c r="L232" s="10" t="s">
        <v>51</v>
      </c>
      <c r="M232" t="s">
        <v>1397</v>
      </c>
      <c r="N232" t="str">
        <f t="shared" si="11"/>
        <v>Exclude</v>
      </c>
      <c r="O232" t="s">
        <v>4277</v>
      </c>
    </row>
    <row r="233" spans="1:15">
      <c r="A233" t="s">
        <v>4275</v>
      </c>
      <c r="B233" s="39" t="str">
        <f>HYPERLINK('references-it1-studies'!$D50,'references-it1-studies'!$B50)</f>
        <v>SoK: A Reality Check for DNP3 Attacks 15 Years Later</v>
      </c>
      <c r="C233">
        <f>'references-it1-studies'!$C50</f>
        <v>2024</v>
      </c>
      <c r="D233">
        <f>'references-it1-studies'!$H50</f>
        <v>19</v>
      </c>
      <c r="E233" t="s">
        <v>1398</v>
      </c>
      <c r="F233" s="9" t="s">
        <v>51</v>
      </c>
      <c r="G233" s="9" t="s">
        <v>51</v>
      </c>
      <c r="H233" s="9" t="s">
        <v>51</v>
      </c>
      <c r="I233" s="9" t="s">
        <v>51</v>
      </c>
      <c r="J233" s="9" t="s">
        <v>1397</v>
      </c>
      <c r="K233" s="9" t="s">
        <v>51</v>
      </c>
      <c r="L233" s="9" t="s">
        <v>51</v>
      </c>
      <c r="M233" t="s">
        <v>1397</v>
      </c>
      <c r="N233" t="str">
        <f t="shared" si="11"/>
        <v>Exclude</v>
      </c>
      <c r="O233" t="s">
        <v>4281</v>
      </c>
    </row>
    <row r="234" spans="1:15">
      <c r="A234" t="s">
        <v>4275</v>
      </c>
      <c r="B234" s="39" t="str">
        <f>HYPERLINK('references-it1-studies'!$D51,'references-it1-studies'!$B51)</f>
        <v>Avoiding the internet of insecure industrial things</v>
      </c>
      <c r="C234">
        <f>'references-it1-studies'!$C51</f>
        <v>2018</v>
      </c>
      <c r="D234">
        <f>'references-it1-studies'!$H51</f>
        <v>17</v>
      </c>
      <c r="E234" t="s">
        <v>1398</v>
      </c>
      <c r="F234" s="10" t="s">
        <v>51</v>
      </c>
      <c r="G234" s="10" t="s">
        <v>51</v>
      </c>
      <c r="H234" s="10" t="s">
        <v>51</v>
      </c>
      <c r="I234" s="10" t="s">
        <v>51</v>
      </c>
      <c r="J234" s="10" t="s">
        <v>51</v>
      </c>
      <c r="K234" s="10" t="s">
        <v>51</v>
      </c>
      <c r="L234" s="10" t="s">
        <v>1397</v>
      </c>
      <c r="M234" t="s">
        <v>1397</v>
      </c>
      <c r="N234" t="str">
        <f t="shared" si="11"/>
        <v>Exclude</v>
      </c>
      <c r="O234" t="s">
        <v>4278</v>
      </c>
    </row>
    <row r="235" spans="1:15">
      <c r="A235" t="s">
        <v>4275</v>
      </c>
      <c r="B235" s="39" t="str">
        <f>HYPERLINK('references-it1-studies'!$D52,'references-it1-studies'!$B52)</f>
        <v>ES - Performance Evaluation of Application Layer Protocols for the Internet-of-Things</v>
      </c>
      <c r="C235">
        <f>'references-it1-studies'!$C52</f>
        <v>2018</v>
      </c>
      <c r="D235">
        <f>'references-it1-studies'!$H52</f>
        <v>8</v>
      </c>
      <c r="E235" t="s">
        <v>1398</v>
      </c>
      <c r="F235" s="9" t="s">
        <v>51</v>
      </c>
      <c r="G235" s="9" t="s">
        <v>51</v>
      </c>
      <c r="H235" s="9" t="s">
        <v>1397</v>
      </c>
      <c r="I235" s="9" t="s">
        <v>51</v>
      </c>
      <c r="J235" s="9" t="s">
        <v>51</v>
      </c>
      <c r="K235" s="9" t="s">
        <v>51</v>
      </c>
      <c r="L235" s="9" t="s">
        <v>51</v>
      </c>
      <c r="M235" t="s">
        <v>1397</v>
      </c>
      <c r="N235" t="str">
        <f t="shared" si="11"/>
        <v>Exclude</v>
      </c>
      <c r="O235" t="s">
        <v>4277</v>
      </c>
    </row>
    <row r="236" spans="1:15">
      <c r="A236" t="s">
        <v>4275</v>
      </c>
      <c r="B236" s="39" t="str">
        <f>HYPERLINK('references-it1-studies'!$D55,'references-it1-studies'!$B55)</f>
        <v>ICPE - Bottleneck Identification and Performance Modeling of OPC UA Communication Models</v>
      </c>
      <c r="C236">
        <f>'references-it1-studies'!$C55</f>
        <v>2019</v>
      </c>
      <c r="D236">
        <f>'references-it1-studies'!$H55</f>
        <v>12</v>
      </c>
      <c r="E236" t="s">
        <v>1398</v>
      </c>
      <c r="F236" s="9" t="s">
        <v>51</v>
      </c>
      <c r="G236" s="9" t="s">
        <v>51</v>
      </c>
      <c r="H236" s="9" t="s">
        <v>51</v>
      </c>
      <c r="I236" s="9" t="s">
        <v>51</v>
      </c>
      <c r="J236" s="9" t="s">
        <v>51</v>
      </c>
      <c r="K236" s="9" t="s">
        <v>51</v>
      </c>
      <c r="L236" s="9" t="s">
        <v>51</v>
      </c>
      <c r="N236" t="str">
        <f t="shared" si="11"/>
        <v>Include</v>
      </c>
      <c r="O236" t="s">
        <v>4307</v>
      </c>
    </row>
    <row r="237" spans="1:15">
      <c r="A237" t="s">
        <v>4275</v>
      </c>
      <c r="B237" s="39" t="str">
        <f>HYPERLINK('references-it1-studies'!$D57,'references-it1-studies'!$B57)</f>
        <v>ICIOT - IoTbed: A Generic Architecture for Testbed as a Service for Internet of Things-Based Systems</v>
      </c>
      <c r="C237">
        <f>'references-it1-studies'!$C57</f>
        <v>2017</v>
      </c>
      <c r="D237">
        <f>'references-it1-studies'!$H57</f>
        <v>8</v>
      </c>
      <c r="E237" t="s">
        <v>1398</v>
      </c>
      <c r="F237" s="9" t="s">
        <v>51</v>
      </c>
      <c r="G237" s="9" t="s">
        <v>51</v>
      </c>
      <c r="H237" s="9" t="s">
        <v>1397</v>
      </c>
      <c r="I237" s="9" t="s">
        <v>51</v>
      </c>
      <c r="J237" s="9" t="s">
        <v>51</v>
      </c>
      <c r="K237" s="9" t="s">
        <v>51</v>
      </c>
      <c r="L237" s="9" t="s">
        <v>51</v>
      </c>
      <c r="M237" t="s">
        <v>1397</v>
      </c>
      <c r="N237" t="str">
        <f t="shared" si="11"/>
        <v>Exclude</v>
      </c>
      <c r="O237" t="s">
        <v>4277</v>
      </c>
    </row>
    <row r="238" spans="1:15">
      <c r="A238" t="s">
        <v>4275</v>
      </c>
      <c r="B238" s="39" t="str">
        <f>HYPERLINK('references-it1-studies'!$D58,'references-it1-studies'!$B58)</f>
        <v>Modeling and Analysis of Attacks and Counter Defense Mechanisms for Cyber Physical Systems</v>
      </c>
      <c r="C238">
        <f>'references-it1-studies'!$C58</f>
        <v>2016</v>
      </c>
      <c r="D238">
        <f>'references-it1-studies'!$H58</f>
        <v>9</v>
      </c>
      <c r="E238" t="s">
        <v>1398</v>
      </c>
      <c r="F238" s="10" t="s">
        <v>51</v>
      </c>
      <c r="G238" s="10" t="s">
        <v>51</v>
      </c>
      <c r="H238" s="10" t="s">
        <v>1397</v>
      </c>
      <c r="I238" s="10" t="s">
        <v>51</v>
      </c>
      <c r="J238" s="10" t="s">
        <v>51</v>
      </c>
      <c r="K238" s="10" t="s">
        <v>51</v>
      </c>
      <c r="L238" s="10" t="s">
        <v>51</v>
      </c>
      <c r="M238" t="s">
        <v>1397</v>
      </c>
      <c r="N238" t="str">
        <f t="shared" si="11"/>
        <v>Exclude</v>
      </c>
      <c r="O238" t="s">
        <v>4277</v>
      </c>
    </row>
    <row r="239" spans="1:15">
      <c r="A239" t="s">
        <v>4275</v>
      </c>
      <c r="B239" s="39" t="str">
        <f>HYPERLINK('references-it1-studies'!$D59,'references-it1-studies'!$B59)</f>
        <v>HICSS - Design Principles for Industrie 4.0 Scenarios</v>
      </c>
      <c r="C239">
        <f>'references-it1-studies'!$C59</f>
        <v>2016</v>
      </c>
      <c r="D239">
        <f>'references-it1-studies'!$H59</f>
        <v>10</v>
      </c>
      <c r="E239" t="s">
        <v>1398</v>
      </c>
      <c r="F239" s="9" t="s">
        <v>51</v>
      </c>
      <c r="G239" s="9" t="s">
        <v>51</v>
      </c>
      <c r="H239" s="9" t="s">
        <v>1397</v>
      </c>
      <c r="I239" s="9" t="s">
        <v>51</v>
      </c>
      <c r="J239" s="9" t="s">
        <v>51</v>
      </c>
      <c r="K239" s="9" t="s">
        <v>51</v>
      </c>
      <c r="L239" s="9" t="s">
        <v>51</v>
      </c>
      <c r="M239" t="s">
        <v>1397</v>
      </c>
      <c r="N239" t="str">
        <f t="shared" si="11"/>
        <v>Exclude</v>
      </c>
      <c r="O239" t="s">
        <v>4277</v>
      </c>
    </row>
    <row r="240" spans="1:15">
      <c r="A240" t="s">
        <v>4275</v>
      </c>
      <c r="B240" s="39" t="str">
        <f>HYPERLINK('references-it1-studies'!$D62,'references-it1-studies'!$B62)</f>
        <v>Vulnerability and Impact Analysis of the IEC 61850 GOOSE Protocol in the Smart Grid.</v>
      </c>
      <c r="C240">
        <f>'references-it1-studies'!$C62</f>
        <v>2021</v>
      </c>
      <c r="D240">
        <f>'references-it1-studies'!$H62</f>
        <v>0</v>
      </c>
      <c r="E240" t="s">
        <v>1398</v>
      </c>
      <c r="F240" s="9" t="s">
        <v>51</v>
      </c>
      <c r="G240" s="9" t="s">
        <v>51</v>
      </c>
      <c r="H240" s="9" t="s">
        <v>51</v>
      </c>
      <c r="I240" s="9" t="s">
        <v>51</v>
      </c>
      <c r="J240" s="9" t="s">
        <v>51</v>
      </c>
      <c r="K240" s="9" t="s">
        <v>51</v>
      </c>
      <c r="L240" s="9" t="s">
        <v>51</v>
      </c>
      <c r="N240" t="str">
        <f t="shared" si="11"/>
        <v>Include</v>
      </c>
      <c r="O240" t="s">
        <v>4308</v>
      </c>
    </row>
    <row r="241" spans="1:15">
      <c r="A241" t="s">
        <v>4275</v>
      </c>
      <c r="B241" s="39" t="str">
        <f>HYPERLINK('references-it1-studies'!$D64,'references-it1-studies'!$B64)</f>
        <v>INDIN - OPC UA integration for field devices</v>
      </c>
      <c r="C241">
        <f>'references-it1-studies'!$C64</f>
        <v>2017</v>
      </c>
      <c r="D241">
        <f>'references-it1-studies'!$H64</f>
        <v>6</v>
      </c>
      <c r="E241" t="s">
        <v>1398</v>
      </c>
      <c r="F241" s="9" t="s">
        <v>51</v>
      </c>
      <c r="G241" s="9" t="s">
        <v>51</v>
      </c>
      <c r="H241" s="9" t="s">
        <v>51</v>
      </c>
      <c r="I241" s="9" t="s">
        <v>51</v>
      </c>
      <c r="J241" s="9" t="s">
        <v>51</v>
      </c>
      <c r="K241" s="9" t="s">
        <v>51</v>
      </c>
      <c r="L241" s="9" t="s">
        <v>1397</v>
      </c>
      <c r="M241" t="s">
        <v>1397</v>
      </c>
      <c r="N241" t="str">
        <f t="shared" si="11"/>
        <v>Exclude</v>
      </c>
      <c r="O241" t="s">
        <v>4280</v>
      </c>
    </row>
    <row r="242" spans="1:15">
      <c r="A242" t="s">
        <v>4275</v>
      </c>
      <c r="B242" s="39" t="str">
        <f>HYPERLINK('references-it1-studies'!$D69,'references-it1-studies'!$B69)</f>
        <v>Comparative analysis of the security of configuration protocols for industrial control devices</v>
      </c>
      <c r="C242">
        <f>'references-it1-studies'!$C69</f>
        <v>2017</v>
      </c>
      <c r="D242">
        <f>'references-it1-studies'!$H69</f>
        <v>12</v>
      </c>
      <c r="E242" t="s">
        <v>1398</v>
      </c>
      <c r="F242" s="10" t="s">
        <v>51</v>
      </c>
      <c r="G242" s="10" t="s">
        <v>51</v>
      </c>
      <c r="H242" s="10" t="s">
        <v>51</v>
      </c>
      <c r="I242" s="10" t="s">
        <v>51</v>
      </c>
      <c r="J242" s="10" t="s">
        <v>51</v>
      </c>
      <c r="K242" s="10" t="s">
        <v>51</v>
      </c>
      <c r="L242" s="10" t="s">
        <v>51</v>
      </c>
      <c r="N242" t="str">
        <f t="shared" si="11"/>
        <v>Include</v>
      </c>
      <c r="O242" t="s">
        <v>4309</v>
      </c>
    </row>
    <row r="243" spans="1:15">
      <c r="A243" t="s">
        <v>4275</v>
      </c>
      <c r="B243" s="39" t="str">
        <f>HYPERLINK('references-it1-studies'!$D70,'references-it1-studies'!$B70)</f>
        <v>Experimental Characterization of Asynchronous Notification Latency for Subscriptions in OPC UA</v>
      </c>
      <c r="C243">
        <f>'references-it1-studies'!$C70</f>
        <v>2021</v>
      </c>
      <c r="D243">
        <f>'references-it1-studies'!$H70</f>
        <v>8</v>
      </c>
      <c r="E243" t="s">
        <v>1398</v>
      </c>
      <c r="F243" s="9" t="s">
        <v>51</v>
      </c>
      <c r="G243" s="9" t="s">
        <v>51</v>
      </c>
      <c r="H243" s="9" t="s">
        <v>51</v>
      </c>
      <c r="I243" s="9" t="s">
        <v>51</v>
      </c>
      <c r="J243" s="9" t="s">
        <v>51</v>
      </c>
      <c r="K243" s="9" t="s">
        <v>51</v>
      </c>
      <c r="L243" s="9" t="s">
        <v>51</v>
      </c>
      <c r="N243" t="str">
        <f t="shared" si="11"/>
        <v>Include</v>
      </c>
      <c r="O243" t="s">
        <v>4310</v>
      </c>
    </row>
    <row r="244" spans="1:15">
      <c r="A244" t="s">
        <v>4275</v>
      </c>
      <c r="B244" s="39" t="str">
        <f>HYPERLINK('references-it1-studies'!$D71,'references-it1-studies'!$B71)</f>
        <v>Assessment of Different OPC UA Implementations for Industrial IoT-Based Measurement Applications</v>
      </c>
      <c r="C244">
        <f>'references-it1-studies'!$C71</f>
        <v>2021</v>
      </c>
      <c r="D244">
        <f>'references-it1-studies'!$H71</f>
        <v>11</v>
      </c>
      <c r="E244" t="s">
        <v>1398</v>
      </c>
      <c r="F244" s="9" t="s">
        <v>51</v>
      </c>
      <c r="G244" s="9" t="s">
        <v>51</v>
      </c>
      <c r="H244" s="9" t="s">
        <v>51</v>
      </c>
      <c r="I244" s="9" t="s">
        <v>51</v>
      </c>
      <c r="J244" s="9" t="s">
        <v>51</v>
      </c>
      <c r="K244" s="9" t="s">
        <v>51</v>
      </c>
      <c r="L244" s="9" t="s">
        <v>51</v>
      </c>
      <c r="N244" t="str">
        <f t="shared" si="11"/>
        <v>Include</v>
      </c>
      <c r="O244" t="s">
        <v>4311</v>
      </c>
    </row>
    <row r="245" spans="1:15">
      <c r="A245" t="s">
        <v>4275</v>
      </c>
      <c r="B245" s="39" t="str">
        <f>HYPERLINK('references-it1-studies'!$D72,'references-it1-studies'!$B72)</f>
        <v>ICIT - OPC UA versus ROS, DDS, and MQTT: Performance Evaluation of Industry 4.0 Protocols</v>
      </c>
      <c r="C245">
        <f>'references-it1-studies'!$C72</f>
        <v>2019</v>
      </c>
      <c r="D245">
        <f>'references-it1-studies'!$H72</f>
        <v>8</v>
      </c>
      <c r="E245" t="s">
        <v>1398</v>
      </c>
      <c r="F245" s="10" t="s">
        <v>51</v>
      </c>
      <c r="G245" s="10" t="s">
        <v>51</v>
      </c>
      <c r="H245" s="10" t="s">
        <v>51</v>
      </c>
      <c r="I245" s="10" t="s">
        <v>51</v>
      </c>
      <c r="J245" s="10" t="s">
        <v>51</v>
      </c>
      <c r="K245" s="10" t="s">
        <v>51</v>
      </c>
      <c r="L245" s="10" t="s">
        <v>51</v>
      </c>
      <c r="N245" t="str">
        <f t="shared" si="11"/>
        <v>Include</v>
      </c>
      <c r="O245" t="s">
        <v>4312</v>
      </c>
    </row>
    <row r="246" spans="1:15">
      <c r="A246" t="s">
        <v>4275</v>
      </c>
      <c r="B246" s="39" t="str">
        <f>HYPERLINK('references-it1-studies'!$D73,'references-it1-studies'!$B73)</f>
        <v>Cyber-physical systems architectures for industrial internet of things applications in Industry 4.0: A literature review</v>
      </c>
      <c r="C246">
        <f>'references-it1-studies'!$C73</f>
        <v>2021</v>
      </c>
      <c r="D246">
        <f>'references-it1-studies'!$H73</f>
        <v>17</v>
      </c>
      <c r="E246" t="s">
        <v>1398</v>
      </c>
      <c r="F246" s="9" t="s">
        <v>51</v>
      </c>
      <c r="G246" s="9" t="s">
        <v>51</v>
      </c>
      <c r="H246" s="9" t="s">
        <v>51</v>
      </c>
      <c r="I246" s="9" t="s">
        <v>51</v>
      </c>
      <c r="J246" s="9" t="s">
        <v>1397</v>
      </c>
      <c r="K246" s="9" t="s">
        <v>51</v>
      </c>
      <c r="L246" s="9" t="s">
        <v>51</v>
      </c>
      <c r="M246" t="s">
        <v>1397</v>
      </c>
      <c r="N246" t="str">
        <f t="shared" si="11"/>
        <v>Exclude</v>
      </c>
      <c r="O246" t="s">
        <v>4281</v>
      </c>
    </row>
    <row r="247" spans="1:15">
      <c r="A247" t="s">
        <v>4275</v>
      </c>
      <c r="B247" s="39" t="str">
        <f>HYPERLINK('references-it1-studies'!$D75,'references-it1-studies'!$B75)</f>
        <v>The industrial internet of things (IIoT): An analysis framework</v>
      </c>
      <c r="C247">
        <f>'references-it1-studies'!$C75</f>
        <v>2018</v>
      </c>
      <c r="D247">
        <f>'references-it1-studies'!$H75</f>
        <v>12</v>
      </c>
      <c r="E247" t="s">
        <v>1398</v>
      </c>
      <c r="F247" s="10" t="s">
        <v>51</v>
      </c>
      <c r="G247" s="10" t="s">
        <v>51</v>
      </c>
      <c r="H247" s="10" t="s">
        <v>51</v>
      </c>
      <c r="I247" s="10" t="s">
        <v>51</v>
      </c>
      <c r="J247" s="10" t="s">
        <v>51</v>
      </c>
      <c r="K247" s="10" t="s">
        <v>51</v>
      </c>
      <c r="L247" s="10" t="s">
        <v>1397</v>
      </c>
      <c r="M247" t="s">
        <v>1397</v>
      </c>
      <c r="N247" t="str">
        <f t="shared" si="11"/>
        <v>Exclude</v>
      </c>
      <c r="O247" t="s">
        <v>4278</v>
      </c>
    </row>
    <row r="248" spans="1:15">
      <c r="A248" t="s">
        <v>4275</v>
      </c>
      <c r="B248" s="39" t="str">
        <f>HYPERLINK('references-it1-studies'!$D76,'references-it1-studies'!$B76)</f>
        <v>Address resolution protocol spoofing attacks and security approaches: A survey</v>
      </c>
      <c r="C248">
        <f>'references-it1-studies'!$C76</f>
        <v>2018</v>
      </c>
      <c r="D248">
        <f>'references-it1-studies'!$H76</f>
        <v>0</v>
      </c>
      <c r="E248" t="s">
        <v>1398</v>
      </c>
      <c r="F248" s="10" t="s">
        <v>51</v>
      </c>
      <c r="G248" s="10" t="s">
        <v>51</v>
      </c>
      <c r="H248" s="10" t="s">
        <v>51</v>
      </c>
      <c r="I248" s="10" t="s">
        <v>1397</v>
      </c>
      <c r="J248" s="10" t="s">
        <v>1397</v>
      </c>
      <c r="K248" s="10" t="s">
        <v>51</v>
      </c>
      <c r="L248" s="10" t="s">
        <v>51</v>
      </c>
      <c r="M248" t="s">
        <v>1397</v>
      </c>
      <c r="N248" t="str">
        <f t="shared" si="11"/>
        <v>Exclude</v>
      </c>
      <c r="O248" t="s">
        <v>4281</v>
      </c>
    </row>
    <row r="249" spans="1:15">
      <c r="A249" t="s">
        <v>4275</v>
      </c>
      <c r="B249" s="39" t="str">
        <f>HYPERLINK('references-it1-studies'!$D77,'references-it1-studies'!$B77)</f>
        <v>A comparison of AMQP and MQTT protocols for Internet of Things</v>
      </c>
      <c r="C249">
        <f>'references-it1-studies'!$C77</f>
        <v>2019</v>
      </c>
      <c r="D249">
        <f>'references-it1-studies'!$H77</f>
        <v>6</v>
      </c>
      <c r="E249" t="s">
        <v>1398</v>
      </c>
      <c r="F249" s="9" t="s">
        <v>51</v>
      </c>
      <c r="G249" s="9" t="s">
        <v>51</v>
      </c>
      <c r="H249" s="9" t="s">
        <v>1397</v>
      </c>
      <c r="I249" s="9" t="s">
        <v>51</v>
      </c>
      <c r="J249" s="9" t="s">
        <v>51</v>
      </c>
      <c r="K249" s="9" t="s">
        <v>51</v>
      </c>
      <c r="L249" s="9" t="s">
        <v>51</v>
      </c>
      <c r="M249" t="s">
        <v>1397</v>
      </c>
      <c r="N249" t="str">
        <f t="shared" si="11"/>
        <v>Exclude</v>
      </c>
      <c r="O249" t="s">
        <v>4277</v>
      </c>
    </row>
    <row r="250" spans="1:15">
      <c r="A250" t="s">
        <v>4275</v>
      </c>
      <c r="B250" s="39" t="str">
        <f>HYPERLINK('references-it1-studies'!$D79,'references-it1-studies'!$B79)</f>
        <v>ASP-DAC - Security analysis on consumer and industrial IoT devices</v>
      </c>
      <c r="C250">
        <f>'references-it1-studies'!$C79</f>
        <v>2016</v>
      </c>
      <c r="D250">
        <f>'references-it1-studies'!$H79</f>
        <v>6</v>
      </c>
      <c r="E250" t="s">
        <v>1398</v>
      </c>
      <c r="F250" s="10" t="s">
        <v>51</v>
      </c>
      <c r="G250" s="10" t="s">
        <v>51</v>
      </c>
      <c r="H250" s="10" t="s">
        <v>51</v>
      </c>
      <c r="I250" s="10" t="s">
        <v>51</v>
      </c>
      <c r="J250" s="10" t="s">
        <v>51</v>
      </c>
      <c r="K250" s="10" t="s">
        <v>51</v>
      </c>
      <c r="L250" s="10" t="s">
        <v>1397</v>
      </c>
      <c r="M250" t="s">
        <v>1397</v>
      </c>
      <c r="N250" t="str">
        <f t="shared" si="11"/>
        <v>Exclude</v>
      </c>
      <c r="O250" t="s">
        <v>4278</v>
      </c>
    </row>
    <row r="251" spans="1:15">
      <c r="A251" t="s">
        <v>4275</v>
      </c>
      <c r="B251" s="39" t="str">
        <f>HYPERLINK('references-it1-studies'!$D84,'references-it1-studies'!$B84)</f>
        <v>Industrial Internet of Things: Challenges, Opportunities, and Directions</v>
      </c>
      <c r="C251">
        <f>'references-it1-studies'!$C84</f>
        <v>2018</v>
      </c>
      <c r="D251">
        <f>'references-it1-studies'!$H84</f>
        <v>11</v>
      </c>
      <c r="E251" t="s">
        <v>1398</v>
      </c>
      <c r="F251" s="10" t="s">
        <v>51</v>
      </c>
      <c r="G251" s="10" t="s">
        <v>51</v>
      </c>
      <c r="H251" s="10" t="s">
        <v>51</v>
      </c>
      <c r="I251" s="10" t="s">
        <v>51</v>
      </c>
      <c r="J251" s="10" t="s">
        <v>51</v>
      </c>
      <c r="K251" s="10" t="s">
        <v>51</v>
      </c>
      <c r="L251" s="10" t="s">
        <v>1397</v>
      </c>
      <c r="M251" t="s">
        <v>1397</v>
      </c>
      <c r="N251" t="str">
        <f t="shared" si="11"/>
        <v>Exclude</v>
      </c>
      <c r="O251" t="s">
        <v>4278</v>
      </c>
    </row>
    <row r="252" spans="1:15">
      <c r="A252" t="s">
        <v>4275</v>
      </c>
      <c r="B252" s="39" t="str">
        <f>HYPERLINK('references-it1-studies'!$D85,'references-it1-studies'!$B85)</f>
        <v>URAI - An EtherCAT-based real-time motion control system in mobile robot application</v>
      </c>
      <c r="C252">
        <f>'references-it1-studies'!$C85</f>
        <v>2016</v>
      </c>
      <c r="D252">
        <f>'references-it1-studies'!$H85</f>
        <v>6</v>
      </c>
      <c r="E252" t="s">
        <v>1398</v>
      </c>
      <c r="F252" s="9" t="s">
        <v>51</v>
      </c>
      <c r="G252" s="9" t="s">
        <v>51</v>
      </c>
      <c r="H252" s="9" t="s">
        <v>51</v>
      </c>
      <c r="I252" s="9" t="s">
        <v>51</v>
      </c>
      <c r="J252" s="9" t="s">
        <v>51</v>
      </c>
      <c r="K252" s="9" t="s">
        <v>51</v>
      </c>
      <c r="L252" s="9" t="s">
        <v>1397</v>
      </c>
      <c r="N252" t="str">
        <f t="shared" si="11"/>
        <v>Exclude</v>
      </c>
      <c r="O252" t="s">
        <v>4313</v>
      </c>
    </row>
    <row r="253" spans="1:15">
      <c r="A253" t="s">
        <v>4275</v>
      </c>
      <c r="B253" s="39" t="str">
        <f>HYPERLINK('references-it1-studies'!$D88,'references-it1-studies'!$B88)</f>
        <v>Trustworthiness in Industrial IoT Systems Based on Artificial Intelligence</v>
      </c>
      <c r="C253">
        <f>'references-it1-studies'!$C88</f>
        <v>2021</v>
      </c>
      <c r="D253">
        <f>'references-it1-studies'!$H88</f>
        <v>9</v>
      </c>
      <c r="E253" t="s">
        <v>1398</v>
      </c>
      <c r="F253" s="9" t="s">
        <v>51</v>
      </c>
      <c r="G253" s="9" t="s">
        <v>51</v>
      </c>
      <c r="H253" s="9" t="s">
        <v>51</v>
      </c>
      <c r="I253" s="9" t="s">
        <v>51</v>
      </c>
      <c r="J253" s="9" t="s">
        <v>51</v>
      </c>
      <c r="K253" s="9" t="s">
        <v>51</v>
      </c>
      <c r="L253" s="9" t="s">
        <v>1397</v>
      </c>
      <c r="M253" t="s">
        <v>1397</v>
      </c>
      <c r="N253" t="str">
        <f t="shared" si="11"/>
        <v>Exclude</v>
      </c>
      <c r="O253" t="s">
        <v>4278</v>
      </c>
    </row>
    <row r="254" spans="1:15">
      <c r="A254" t="s">
        <v>4275</v>
      </c>
      <c r="B254" s="39" t="str">
        <f>HYPERLINK('references-it1-studies'!$D89,'references-it1-studies'!$B89)</f>
        <v>Processes, Motivations, and Issues for Migrating to Microservices Architectures: An Empirical Investigation</v>
      </c>
      <c r="C254">
        <f>'references-it1-studies'!$C89</f>
        <v>2017</v>
      </c>
      <c r="D254">
        <f>'references-it1-studies'!$H89</f>
        <v>11</v>
      </c>
      <c r="E254" t="s">
        <v>1398</v>
      </c>
      <c r="F254" s="10" t="s">
        <v>51</v>
      </c>
      <c r="G254" s="10" t="s">
        <v>51</v>
      </c>
      <c r="H254" s="10" t="s">
        <v>1397</v>
      </c>
      <c r="I254" s="10" t="s">
        <v>51</v>
      </c>
      <c r="J254" s="10" t="s">
        <v>51</v>
      </c>
      <c r="K254" s="10" t="s">
        <v>51</v>
      </c>
      <c r="L254" s="10" t="s">
        <v>51</v>
      </c>
      <c r="M254" t="s">
        <v>1397</v>
      </c>
      <c r="N254" t="str">
        <f t="shared" si="11"/>
        <v>Exclude</v>
      </c>
      <c r="O254" t="s">
        <v>4277</v>
      </c>
    </row>
    <row r="255" spans="1:15">
      <c r="A255" t="s">
        <v>4275</v>
      </c>
      <c r="B255" s="39" t="str">
        <f>HYPERLINK('references-it1-studies'!$D90,'references-it1-studies'!$B90)</f>
        <v>Interoperability in Smart Manufacturing: Research Challenges</v>
      </c>
      <c r="C255">
        <f>'references-it1-studies'!$C90</f>
        <v>2019</v>
      </c>
      <c r="D255">
        <f>'references-it1-studies'!$H90</f>
        <v>0</v>
      </c>
      <c r="E255" t="s">
        <v>1398</v>
      </c>
      <c r="F255" s="9" t="s">
        <v>51</v>
      </c>
      <c r="G255" s="9" t="s">
        <v>51</v>
      </c>
      <c r="H255" s="9" t="s">
        <v>51</v>
      </c>
      <c r="I255" s="9" t="s">
        <v>1397</v>
      </c>
      <c r="J255" s="9" t="s">
        <v>51</v>
      </c>
      <c r="K255" s="9" t="s">
        <v>51</v>
      </c>
      <c r="L255" s="9" t="s">
        <v>1397</v>
      </c>
      <c r="M255" t="s">
        <v>1397</v>
      </c>
      <c r="N255" t="str">
        <f t="shared" si="11"/>
        <v>Exclude</v>
      </c>
      <c r="O255" t="s">
        <v>4278</v>
      </c>
    </row>
    <row r="256" spans="1:15">
      <c r="A256" t="s">
        <v>4275</v>
      </c>
      <c r="B256" s="39" t="str">
        <f>HYPERLINK('references-it1-studies'!$D91,'references-it1-studies'!$B91)</f>
        <v>SIGCOMM - The QUIC Transport Protocol: Design and Internet-Scale Deployment</v>
      </c>
      <c r="C256">
        <f>'references-it1-studies'!$C91</f>
        <v>2017</v>
      </c>
      <c r="D256">
        <f>'references-it1-studies'!$H91</f>
        <v>14</v>
      </c>
      <c r="E256" t="s">
        <v>1398</v>
      </c>
      <c r="F256" s="10" t="s">
        <v>51</v>
      </c>
      <c r="G256" s="10" t="s">
        <v>51</v>
      </c>
      <c r="H256" s="10" t="s">
        <v>1397</v>
      </c>
      <c r="I256" s="10" t="s">
        <v>51</v>
      </c>
      <c r="J256" s="10" t="s">
        <v>51</v>
      </c>
      <c r="K256" s="10" t="s">
        <v>51</v>
      </c>
      <c r="L256" s="10" t="s">
        <v>51</v>
      </c>
      <c r="M256" t="s">
        <v>1397</v>
      </c>
      <c r="N256" t="str">
        <f t="shared" ref="N256:N307" si="12">IF(COUNTIF(F256:M256,"X")&gt;0,"Exclude",IF(UPPER(TRIM(E256))="O","Include",""))</f>
        <v>Exclude</v>
      </c>
      <c r="O256" t="s">
        <v>4277</v>
      </c>
    </row>
    <row r="257" spans="1:15">
      <c r="A257" t="s">
        <v>4275</v>
      </c>
      <c r="B257" s="39" t="str">
        <f>HYPERLINK('references-it1-studies'!$D92,'references-it1-studies'!$B92)</f>
        <v>INDIN - TSN Traffic Shaping for OPC UA Field Devices</v>
      </c>
      <c r="C257">
        <f>'references-it1-studies'!$C92</f>
        <v>2019</v>
      </c>
      <c r="D257">
        <f>'references-it1-studies'!$H92</f>
        <v>6</v>
      </c>
      <c r="E257" t="s">
        <v>1398</v>
      </c>
      <c r="F257" s="9" t="s">
        <v>51</v>
      </c>
      <c r="G257" s="9" t="s">
        <v>51</v>
      </c>
      <c r="H257" s="9" t="s">
        <v>51</v>
      </c>
      <c r="I257" s="9" t="s">
        <v>51</v>
      </c>
      <c r="J257" s="9" t="s">
        <v>51</v>
      </c>
      <c r="K257" s="9" t="s">
        <v>51</v>
      </c>
      <c r="L257" s="9" t="s">
        <v>1397</v>
      </c>
      <c r="M257" t="s">
        <v>1397</v>
      </c>
      <c r="N257" t="str">
        <f t="shared" si="12"/>
        <v>Exclude</v>
      </c>
      <c r="O257" t="s">
        <v>4280</v>
      </c>
    </row>
    <row r="258" spans="1:15">
      <c r="A258" t="s">
        <v>4275</v>
      </c>
      <c r="B258" s="39" t="str">
        <f>HYPERLINK('references-it1-studies'!$D94,'references-it1-studies'!$B94)</f>
        <v>Information-Centric Networking, A natural design for IoT applications?</v>
      </c>
      <c r="C258">
        <f>'references-it1-studies'!$C94</f>
        <v>2017</v>
      </c>
      <c r="D258">
        <f>'references-it1-studies'!$H94</f>
        <v>0</v>
      </c>
      <c r="E258" t="s">
        <v>1398</v>
      </c>
      <c r="F258" s="10" t="s">
        <v>51</v>
      </c>
      <c r="G258" s="10" t="s">
        <v>51</v>
      </c>
      <c r="H258" s="10" t="s">
        <v>1397</v>
      </c>
      <c r="I258" s="10" t="s">
        <v>1397</v>
      </c>
      <c r="J258" s="10" t="s">
        <v>51</v>
      </c>
      <c r="K258" s="10" t="s">
        <v>51</v>
      </c>
      <c r="L258" s="10" t="s">
        <v>51</v>
      </c>
      <c r="M258" t="s">
        <v>1397</v>
      </c>
      <c r="N258" t="str">
        <f t="shared" si="12"/>
        <v>Exclude</v>
      </c>
      <c r="O258" t="s">
        <v>4277</v>
      </c>
    </row>
    <row r="259" spans="1:15">
      <c r="A259" t="s">
        <v>4275</v>
      </c>
      <c r="B259" s="39" t="str">
        <f>HYPERLINK('references-it1-studies'!$D95,'references-it1-studies'!$B95)</f>
        <v>Trends in Smart Grid Cyber-Physical Security: Components, Threats, and Solutions</v>
      </c>
      <c r="C259">
        <f>'references-it1-studies'!$C95</f>
        <v>2024</v>
      </c>
      <c r="D259">
        <f>'references-it1-studies'!$H95</f>
        <v>28</v>
      </c>
      <c r="E259" t="s">
        <v>1398</v>
      </c>
      <c r="F259" s="9" t="s">
        <v>51</v>
      </c>
      <c r="G259" s="9" t="s">
        <v>51</v>
      </c>
      <c r="H259" s="9" t="s">
        <v>51</v>
      </c>
      <c r="I259" s="9" t="s">
        <v>51</v>
      </c>
      <c r="J259" s="9" t="s">
        <v>51</v>
      </c>
      <c r="K259" s="9" t="s">
        <v>51</v>
      </c>
      <c r="L259" s="9" t="s">
        <v>1397</v>
      </c>
      <c r="M259" t="s">
        <v>1397</v>
      </c>
      <c r="N259" t="str">
        <f t="shared" si="12"/>
        <v>Exclude</v>
      </c>
      <c r="O259" t="s">
        <v>4278</v>
      </c>
    </row>
    <row r="260" spans="1:15">
      <c r="A260" t="s">
        <v>4275</v>
      </c>
      <c r="B260" s="39" t="str">
        <f>HYPERLINK('references-it1-studies'!$D101,'references-it1-studies'!$B101)</f>
        <v>CCS - Principled Unearthing of TCP Side Channel Vulnerabilities</v>
      </c>
      <c r="C260">
        <f>'references-it1-studies'!$C101</f>
        <v>2019</v>
      </c>
      <c r="D260">
        <f>'references-it1-studies'!$H101</f>
        <v>14</v>
      </c>
      <c r="E260" t="s">
        <v>1398</v>
      </c>
      <c r="F260" s="10" t="s">
        <v>51</v>
      </c>
      <c r="G260" s="10" t="s">
        <v>51</v>
      </c>
      <c r="H260" s="10" t="s">
        <v>1397</v>
      </c>
      <c r="I260" s="10" t="s">
        <v>51</v>
      </c>
      <c r="J260" s="10" t="s">
        <v>51</v>
      </c>
      <c r="K260" s="10" t="s">
        <v>51</v>
      </c>
      <c r="L260" s="10" t="s">
        <v>51</v>
      </c>
      <c r="M260" t="s">
        <v>1397</v>
      </c>
      <c r="N260" t="str">
        <f t="shared" si="12"/>
        <v>Exclude</v>
      </c>
      <c r="O260" t="s">
        <v>4277</v>
      </c>
    </row>
    <row r="261" spans="1:15">
      <c r="A261" t="s">
        <v>4275</v>
      </c>
      <c r="B261" s="39" t="str">
        <f>HYPERLINK('references-it1-studies'!$D102,'references-it1-studies'!$B102)</f>
        <v>Communication Systems for Industry 4.0 and the IIoT</v>
      </c>
      <c r="C261">
        <f>'references-it1-studies'!$C102</f>
        <v>2018</v>
      </c>
      <c r="D261">
        <f>'references-it1-studies'!$H102</f>
        <v>6</v>
      </c>
      <c r="E261" t="s">
        <v>1398</v>
      </c>
      <c r="F261" s="9" t="s">
        <v>51</v>
      </c>
      <c r="G261" s="9" t="s">
        <v>51</v>
      </c>
      <c r="H261" s="9" t="s">
        <v>51</v>
      </c>
      <c r="I261" s="9" t="s">
        <v>51</v>
      </c>
      <c r="J261" s="9" t="s">
        <v>51</v>
      </c>
      <c r="K261" s="9" t="s">
        <v>51</v>
      </c>
      <c r="L261" s="9" t="s">
        <v>1397</v>
      </c>
      <c r="M261" t="s">
        <v>1397</v>
      </c>
      <c r="N261" t="str">
        <f t="shared" si="12"/>
        <v>Exclude</v>
      </c>
      <c r="O261" t="s">
        <v>4278</v>
      </c>
    </row>
    <row r="262" spans="1:15">
      <c r="A262" t="s">
        <v>4275</v>
      </c>
      <c r="B262" s="39" t="str">
        <f>HYPERLINK('references-it1-studies'!$D104,'references-it1-studies'!$B104)</f>
        <v>ICN - NDN, CoAP, and MQTT: a comparative measurement study in the IoT</v>
      </c>
      <c r="C262">
        <f>'references-it1-studies'!$C104</f>
        <v>2018</v>
      </c>
      <c r="D262">
        <f>'references-it1-studies'!$H104</f>
        <v>13</v>
      </c>
      <c r="E262" t="s">
        <v>1398</v>
      </c>
      <c r="F262" s="10" t="s">
        <v>51</v>
      </c>
      <c r="G262" s="10" t="s">
        <v>51</v>
      </c>
      <c r="H262" s="10" t="s">
        <v>1397</v>
      </c>
      <c r="I262" s="10" t="s">
        <v>51</v>
      </c>
      <c r="J262" s="10" t="s">
        <v>51</v>
      </c>
      <c r="K262" s="10" t="s">
        <v>51</v>
      </c>
      <c r="L262" s="10" t="s">
        <v>51</v>
      </c>
      <c r="M262" t="s">
        <v>1397</v>
      </c>
      <c r="N262" t="str">
        <f t="shared" si="12"/>
        <v>Exclude</v>
      </c>
      <c r="O262" t="s">
        <v>4277</v>
      </c>
    </row>
    <row r="263" spans="1:15">
      <c r="A263" t="s">
        <v>4275</v>
      </c>
      <c r="B263" s="39" t="str">
        <f>HYPERLINK('references-it1-studies'!$D106,'references-it1-studies'!$B106)</f>
        <v>Integration of WirelessHART and ISA100.11a field devices into condition monitoring system for starting IIoT implementation</v>
      </c>
      <c r="C263">
        <f>'references-it1-studies'!$C106</f>
        <v>2017</v>
      </c>
      <c r="D263">
        <f>'references-it1-studies'!$H106</f>
        <v>6</v>
      </c>
      <c r="E263" t="s">
        <v>1398</v>
      </c>
      <c r="F263" s="9" t="s">
        <v>51</v>
      </c>
      <c r="G263" s="9" t="s">
        <v>51</v>
      </c>
      <c r="H263" s="9" t="s">
        <v>51</v>
      </c>
      <c r="I263" s="9" t="s">
        <v>51</v>
      </c>
      <c r="J263" s="9" t="s">
        <v>51</v>
      </c>
      <c r="K263" s="9" t="s">
        <v>51</v>
      </c>
      <c r="L263" s="9" t="s">
        <v>1397</v>
      </c>
      <c r="M263" t="s">
        <v>1397</v>
      </c>
      <c r="N263" t="str">
        <f t="shared" si="12"/>
        <v>Exclude</v>
      </c>
      <c r="O263" t="s">
        <v>4280</v>
      </c>
    </row>
    <row r="264" spans="1:15">
      <c r="A264" t="s">
        <v>4275</v>
      </c>
      <c r="B264" s="39" t="str">
        <f>HYPERLINK('references-it1-studies'!$D107,'references-it1-studies'!$B107)</f>
        <v>JOSE: An Open Testbed for Field Trials of Large-scale IoT Services</v>
      </c>
      <c r="C264">
        <f>'references-it1-studies'!$C107</f>
        <v>2016</v>
      </c>
      <c r="D264">
        <f>'references-it1-studies'!$H107</f>
        <v>9</v>
      </c>
      <c r="E264" t="s">
        <v>1398</v>
      </c>
      <c r="F264" s="10" t="s">
        <v>51</v>
      </c>
      <c r="G264" s="10" t="s">
        <v>51</v>
      </c>
      <c r="H264" s="10" t="s">
        <v>1397</v>
      </c>
      <c r="I264" s="10" t="s">
        <v>51</v>
      </c>
      <c r="J264" s="10" t="s">
        <v>51</v>
      </c>
      <c r="K264" s="10" t="s">
        <v>51</v>
      </c>
      <c r="L264" s="10" t="s">
        <v>51</v>
      </c>
      <c r="M264" t="s">
        <v>1397</v>
      </c>
      <c r="N264" t="str">
        <f t="shared" si="12"/>
        <v>Exclude</v>
      </c>
      <c r="O264" t="s">
        <v>4277</v>
      </c>
    </row>
    <row r="265" spans="1:15">
      <c r="A265" t="s">
        <v>4275</v>
      </c>
      <c r="B265" s="39" t="str">
        <f>HYPERLINK('references-it1-studies'!$D108,'references-it1-studies'!$B108)</f>
        <v>Open-Source Implementierung von OPC UA PubSub für echtzeitfähige Kommunikation mit Time-Sensitive Networking</v>
      </c>
      <c r="C265">
        <f>'references-it1-studies'!$C108</f>
        <v>2020</v>
      </c>
      <c r="D265">
        <f>'references-it1-studies'!$H108</f>
        <v>10</v>
      </c>
      <c r="E265" t="s">
        <v>1398</v>
      </c>
      <c r="F265" s="9" t="s">
        <v>51</v>
      </c>
      <c r="G265" s="9" t="s">
        <v>51</v>
      </c>
      <c r="H265" s="9" t="s">
        <v>51</v>
      </c>
      <c r="I265" s="9" t="s">
        <v>51</v>
      </c>
      <c r="J265" s="9" t="s">
        <v>51</v>
      </c>
      <c r="K265" s="9" t="s">
        <v>51</v>
      </c>
      <c r="L265" s="9" t="s">
        <v>1397</v>
      </c>
      <c r="M265" t="s">
        <v>1397</v>
      </c>
      <c r="N265" t="str">
        <f t="shared" si="12"/>
        <v>Exclude</v>
      </c>
      <c r="O265" t="s">
        <v>4280</v>
      </c>
    </row>
    <row r="266" spans="1:15">
      <c r="A266" t="s">
        <v>4275</v>
      </c>
      <c r="B266" s="39" t="str">
        <f>HYPERLINK('references-it1-studies'!$D112,'references-it1-studies'!$B112)</f>
        <v>Concept and engineering development of cyber physical production systems: a systematic literature review</v>
      </c>
      <c r="C266">
        <f>'references-it1-studies'!$C112</f>
        <v>2020</v>
      </c>
      <c r="D266">
        <f>'references-it1-studies'!$H112</f>
        <v>19</v>
      </c>
      <c r="E266" t="s">
        <v>1398</v>
      </c>
      <c r="F266" s="10" t="s">
        <v>51</v>
      </c>
      <c r="G266" s="10" t="s">
        <v>51</v>
      </c>
      <c r="H266" s="10" t="s">
        <v>51</v>
      </c>
      <c r="I266" s="10" t="s">
        <v>51</v>
      </c>
      <c r="J266" s="10" t="s">
        <v>1397</v>
      </c>
      <c r="K266" s="10" t="s">
        <v>51</v>
      </c>
      <c r="L266" s="10" t="s">
        <v>51</v>
      </c>
      <c r="M266" t="s">
        <v>1397</v>
      </c>
      <c r="N266" t="str">
        <f t="shared" si="12"/>
        <v>Exclude</v>
      </c>
      <c r="O266" t="s">
        <v>4281</v>
      </c>
    </row>
    <row r="267" spans="1:15">
      <c r="A267" t="s">
        <v>4275</v>
      </c>
      <c r="B267" s="39" t="str">
        <f>HYPERLINK('references-it1-studies'!$D113,'references-it1-studies'!$B113)</f>
        <v>Real-Time Hardware-in-the-Loop Testing of IEC 61850 GOOSE-Based Logically Selective Adaptive Protection of AC Microgrid</v>
      </c>
      <c r="C267">
        <f>'references-it1-studies'!$C113</f>
        <v>2021</v>
      </c>
      <c r="D267">
        <f>'references-it1-studies'!$H113</f>
        <v>28</v>
      </c>
      <c r="E267" t="s">
        <v>1398</v>
      </c>
      <c r="F267" s="9" t="s">
        <v>51</v>
      </c>
      <c r="G267" s="9" t="s">
        <v>51</v>
      </c>
      <c r="H267" s="9" t="s">
        <v>51</v>
      </c>
      <c r="I267" s="9" t="s">
        <v>51</v>
      </c>
      <c r="J267" s="9" t="s">
        <v>51</v>
      </c>
      <c r="K267" s="9" t="s">
        <v>51</v>
      </c>
      <c r="L267" s="9" t="s">
        <v>51</v>
      </c>
      <c r="N267" t="str">
        <f t="shared" si="12"/>
        <v>Include</v>
      </c>
      <c r="O267" t="s">
        <v>4314</v>
      </c>
    </row>
    <row r="268" spans="1:15">
      <c r="A268" t="s">
        <v>4275</v>
      </c>
      <c r="B268" s="39" t="str">
        <f>HYPERLINK('references-it1-studies'!$D114,'references-it1-studies'!$B114)</f>
        <v>Container-based Virtualization for Real-time Industrial Systems—A Systematic Review</v>
      </c>
      <c r="C268">
        <f>'references-it1-studies'!$C114</f>
        <v>2023</v>
      </c>
      <c r="D268">
        <f>'references-it1-studies'!$H114</f>
        <v>38</v>
      </c>
      <c r="E268" t="s">
        <v>1398</v>
      </c>
      <c r="F268" s="10" t="s">
        <v>51</v>
      </c>
      <c r="G268" s="10" t="s">
        <v>51</v>
      </c>
      <c r="H268" s="10" t="s">
        <v>51</v>
      </c>
      <c r="I268" s="10" t="s">
        <v>51</v>
      </c>
      <c r="J268" s="10" t="s">
        <v>1397</v>
      </c>
      <c r="K268" s="10" t="s">
        <v>51</v>
      </c>
      <c r="L268" s="10" t="s">
        <v>51</v>
      </c>
      <c r="M268" t="s">
        <v>1397</v>
      </c>
      <c r="N268" t="str">
        <f t="shared" si="12"/>
        <v>Exclude</v>
      </c>
      <c r="O268" t="s">
        <v>4281</v>
      </c>
    </row>
    <row r="269" spans="1:15">
      <c r="A269" t="s">
        <v>4275</v>
      </c>
      <c r="B269" s="39" t="str">
        <f>HYPERLINK('references-it1-studies'!$D115,'references-it1-studies'!$B115)</f>
        <v>Industry 4.0 for SMEs</v>
      </c>
      <c r="C269">
        <f>'references-it1-studies'!$C115</f>
        <v>2020</v>
      </c>
      <c r="D269">
        <f>'references-it1-studies'!$H115</f>
        <v>0</v>
      </c>
      <c r="E269" t="s">
        <v>1398</v>
      </c>
      <c r="F269" s="9" t="s">
        <v>51</v>
      </c>
      <c r="G269" s="9" t="s">
        <v>51</v>
      </c>
      <c r="H269" s="9" t="s">
        <v>51</v>
      </c>
      <c r="I269" s="9" t="s">
        <v>1397</v>
      </c>
      <c r="J269" s="9" t="s">
        <v>51</v>
      </c>
      <c r="K269" s="9" t="s">
        <v>51</v>
      </c>
      <c r="L269" s="9" t="s">
        <v>1397</v>
      </c>
      <c r="M269" t="s">
        <v>1397</v>
      </c>
      <c r="N269" t="str">
        <f t="shared" si="12"/>
        <v>Exclude</v>
      </c>
      <c r="O269" t="s">
        <v>4278</v>
      </c>
    </row>
    <row r="270" spans="1:15">
      <c r="A270" t="s">
        <v>4275</v>
      </c>
      <c r="B270" s="39" t="str">
        <f>HYPERLINK('references-it1-studies'!$D117,'references-it1-studies'!$B117)</f>
        <v>An anomaly-based approach for DDoS attack detection in cloud environment</v>
      </c>
      <c r="C270">
        <f>'references-it1-studies'!$C117</f>
        <v>2018</v>
      </c>
      <c r="D270">
        <f>'references-it1-studies'!$H117</f>
        <v>13</v>
      </c>
      <c r="E270" t="s">
        <v>1398</v>
      </c>
      <c r="F270" s="10" t="s">
        <v>51</v>
      </c>
      <c r="G270" s="10" t="s">
        <v>51</v>
      </c>
      <c r="H270" s="10" t="s">
        <v>1397</v>
      </c>
      <c r="I270" s="10" t="s">
        <v>51</v>
      </c>
      <c r="J270" s="10" t="s">
        <v>51</v>
      </c>
      <c r="K270" s="10" t="s">
        <v>51</v>
      </c>
      <c r="L270" s="10" t="s">
        <v>51</v>
      </c>
      <c r="M270" t="s">
        <v>1397</v>
      </c>
      <c r="N270" t="str">
        <f t="shared" si="12"/>
        <v>Exclude</v>
      </c>
      <c r="O270" t="s">
        <v>4277</v>
      </c>
    </row>
    <row r="271" spans="1:15">
      <c r="A271" t="s">
        <v>4275</v>
      </c>
      <c r="B271" s="39" t="str">
        <f>HYPERLINK('references-it1-studies'!$D118,'references-it1-studies'!$B118)</f>
        <v>ICETE (2) - Side Channel Attacks over Encrypted TCP/IP Modbus Reveal Functionality Leaks.</v>
      </c>
      <c r="C271">
        <f>'references-it1-studies'!$C118</f>
        <v>2018</v>
      </c>
      <c r="D271">
        <f>'references-it1-studies'!$H118</f>
        <v>11</v>
      </c>
      <c r="E271" t="s">
        <v>1398</v>
      </c>
      <c r="F271" s="9" t="s">
        <v>1397</v>
      </c>
      <c r="G271" s="9" t="s">
        <v>51</v>
      </c>
      <c r="H271" s="9" t="s">
        <v>51</v>
      </c>
      <c r="I271" s="9" t="s">
        <v>51</v>
      </c>
      <c r="J271" s="9" t="s">
        <v>51</v>
      </c>
      <c r="K271" s="9" t="s">
        <v>51</v>
      </c>
      <c r="L271" s="9" t="s">
        <v>51</v>
      </c>
      <c r="N271" t="str">
        <f t="shared" si="12"/>
        <v>Exclude</v>
      </c>
      <c r="O271" t="s">
        <v>4289</v>
      </c>
    </row>
    <row r="272" spans="1:15">
      <c r="A272" t="s">
        <v>4275</v>
      </c>
      <c r="B272" s="39" t="str">
        <f>HYPERLINK('references-it1-studies'!$D120,'references-it1-studies'!$B120)</f>
        <v>ICC - QoS-FS: A new forwarding strategy with QoS for routing in Named Data Networking</v>
      </c>
      <c r="C272">
        <f>'references-it1-studies'!$C120</f>
        <v>2016</v>
      </c>
      <c r="D272">
        <f>'references-it1-studies'!$H120</f>
        <v>7</v>
      </c>
      <c r="E272" t="s">
        <v>1398</v>
      </c>
      <c r="F272" s="10" t="s">
        <v>51</v>
      </c>
      <c r="G272" s="10" t="s">
        <v>51</v>
      </c>
      <c r="H272" s="10" t="s">
        <v>1397</v>
      </c>
      <c r="I272" s="10" t="s">
        <v>51</v>
      </c>
      <c r="J272" s="10" t="s">
        <v>51</v>
      </c>
      <c r="K272" s="10" t="s">
        <v>51</v>
      </c>
      <c r="L272" s="10" t="s">
        <v>51</v>
      </c>
      <c r="M272" t="s">
        <v>1397</v>
      </c>
      <c r="N272" t="str">
        <f t="shared" si="12"/>
        <v>Exclude</v>
      </c>
      <c r="O272" t="s">
        <v>4277</v>
      </c>
    </row>
    <row r="273" spans="1:15">
      <c r="A273" t="s">
        <v>4275</v>
      </c>
      <c r="B273" s="39" t="str">
        <f>HYPERLINK('references-it1-studies'!$D124,'references-it1-studies'!$B124)</f>
        <v>I2MTC - Assessment of Different OPC UA Industrial IoT solutions for Distributed Measurement Applications</v>
      </c>
      <c r="C273">
        <f>'references-it1-studies'!$C124</f>
        <v>2020</v>
      </c>
      <c r="D273">
        <f>'references-it1-studies'!$H124</f>
        <v>6</v>
      </c>
      <c r="E273" t="s">
        <v>1398</v>
      </c>
      <c r="F273" s="10" t="s">
        <v>51</v>
      </c>
      <c r="G273" s="10" t="s">
        <v>51</v>
      </c>
      <c r="H273" s="10" t="s">
        <v>51</v>
      </c>
      <c r="I273" s="10" t="s">
        <v>51</v>
      </c>
      <c r="J273" s="10" t="s">
        <v>51</v>
      </c>
      <c r="K273" s="10" t="s">
        <v>51</v>
      </c>
      <c r="L273" s="10" t="s">
        <v>51</v>
      </c>
      <c r="N273" t="str">
        <f t="shared" si="12"/>
        <v>Include</v>
      </c>
      <c r="O273" t="s">
        <v>4315</v>
      </c>
    </row>
    <row r="274" spans="1:15">
      <c r="A274" t="s">
        <v>4275</v>
      </c>
      <c r="B274" s="39" t="str">
        <f>HYPERLINK('references-it1-studies'!$D129,'references-it1-studies'!$B129)</f>
        <v>Industrial Automation using IoT with Raspberry Pi</v>
      </c>
      <c r="C274">
        <f>'references-it1-studies'!$C129</f>
        <v>2017</v>
      </c>
      <c r="D274">
        <f>'references-it1-studies'!$H129</f>
        <v>5</v>
      </c>
      <c r="E274" t="s">
        <v>1398</v>
      </c>
      <c r="F274" s="10" t="s">
        <v>51</v>
      </c>
      <c r="G274" s="10" t="s">
        <v>51</v>
      </c>
      <c r="H274" s="10" t="s">
        <v>51</v>
      </c>
      <c r="I274" s="10" t="s">
        <v>51</v>
      </c>
      <c r="J274" s="10" t="s">
        <v>51</v>
      </c>
      <c r="K274" s="10" t="s">
        <v>51</v>
      </c>
      <c r="L274" s="10" t="s">
        <v>1397</v>
      </c>
      <c r="M274" t="s">
        <v>1397</v>
      </c>
      <c r="N274" t="str">
        <f t="shared" si="12"/>
        <v>Exclude</v>
      </c>
      <c r="O274" t="s">
        <v>4278</v>
      </c>
    </row>
    <row r="275" spans="1:15">
      <c r="A275" t="s">
        <v>4275</v>
      </c>
      <c r="B275" s="39" t="str">
        <f>HYPERLINK('references-it1-studies'!$D130,'references-it1-studies'!$B130)</f>
        <v>ISIE - Identifying vulnerabilities in smart gric communication networks of electrical substations using GEESE 2.0</v>
      </c>
      <c r="C275">
        <f>'references-it1-studies'!$C130</f>
        <v>2017</v>
      </c>
      <c r="D275">
        <f>'references-it1-studies'!$H130</f>
        <v>6</v>
      </c>
      <c r="E275" t="s">
        <v>1398</v>
      </c>
      <c r="F275" s="9" t="s">
        <v>51</v>
      </c>
      <c r="G275" s="9" t="s">
        <v>51</v>
      </c>
      <c r="H275" s="9" t="s">
        <v>1397</v>
      </c>
      <c r="I275" s="9" t="s">
        <v>51</v>
      </c>
      <c r="J275" s="9" t="s">
        <v>51</v>
      </c>
      <c r="K275" s="9" t="s">
        <v>51</v>
      </c>
      <c r="L275" s="9" t="s">
        <v>51</v>
      </c>
      <c r="M275" t="s">
        <v>1397</v>
      </c>
      <c r="N275" t="str">
        <f t="shared" si="12"/>
        <v>Exclude</v>
      </c>
      <c r="O275" t="s">
        <v>4277</v>
      </c>
    </row>
    <row r="276" spans="1:15">
      <c r="A276" t="s">
        <v>4275</v>
      </c>
      <c r="B276" s="39" t="str">
        <f>HYPERLINK('references-it1-studies'!$D131,'references-it1-studies'!$B131)</f>
        <v>A Comparative Evaluation of AMQP, MQTT and HTTP Protocols Using Real-Time Public Smart City Data</v>
      </c>
      <c r="C276">
        <f>'references-it1-studies'!$C131</f>
        <v>2021</v>
      </c>
      <c r="D276">
        <f>'references-it1-studies'!$H131</f>
        <v>6</v>
      </c>
      <c r="E276" t="s">
        <v>1398</v>
      </c>
      <c r="F276" s="10" t="s">
        <v>51</v>
      </c>
      <c r="G276" s="10" t="s">
        <v>51</v>
      </c>
      <c r="H276" s="10" t="s">
        <v>1397</v>
      </c>
      <c r="I276" s="10" t="s">
        <v>51</v>
      </c>
      <c r="J276" s="10" t="s">
        <v>51</v>
      </c>
      <c r="K276" s="10" t="s">
        <v>51</v>
      </c>
      <c r="L276" s="10" t="s">
        <v>51</v>
      </c>
      <c r="M276" t="s">
        <v>1397</v>
      </c>
      <c r="N276" t="str">
        <f t="shared" si="12"/>
        <v>Exclude</v>
      </c>
      <c r="O276" t="s">
        <v>4277</v>
      </c>
    </row>
    <row r="277" spans="1:15">
      <c r="A277" t="s">
        <v>4275</v>
      </c>
      <c r="B277" s="39" t="str">
        <f>HYPERLINK('references-it1-studies'!$D132,'references-it1-studies'!$B132)</f>
        <v>An Overview on Push-Based Communication Models for Information-Centric Networking</v>
      </c>
      <c r="C277">
        <f>'references-it1-studies'!$C132</f>
        <v>2019</v>
      </c>
      <c r="D277">
        <f>'references-it1-studies'!$H132</f>
        <v>0</v>
      </c>
      <c r="E277" t="s">
        <v>1398</v>
      </c>
      <c r="F277" s="9" t="s">
        <v>51</v>
      </c>
      <c r="G277" s="9" t="s">
        <v>51</v>
      </c>
      <c r="H277" s="9" t="s">
        <v>51</v>
      </c>
      <c r="I277" s="9" t="s">
        <v>1397</v>
      </c>
      <c r="J277" s="9" t="s">
        <v>1397</v>
      </c>
      <c r="K277" s="9" t="s">
        <v>51</v>
      </c>
      <c r="L277" s="9" t="s">
        <v>51</v>
      </c>
      <c r="M277" t="s">
        <v>1397</v>
      </c>
      <c r="N277" t="str">
        <f t="shared" si="12"/>
        <v>Exclude</v>
      </c>
      <c r="O277" t="s">
        <v>4281</v>
      </c>
    </row>
    <row r="278" spans="1:15">
      <c r="A278" t="s">
        <v>4275</v>
      </c>
      <c r="B278" s="39" t="str">
        <f>HYPERLINK('references-it1-studies'!$D133,'references-it1-studies'!$B133)</f>
        <v>Vulnerability Identification of Operational Technology Protocol Specifications Through Formal Modeling</v>
      </c>
      <c r="C278">
        <f>'references-it1-studies'!$C133</f>
        <v>2023</v>
      </c>
      <c r="D278">
        <f>'references-it1-studies'!$H133</f>
        <v>6</v>
      </c>
      <c r="E278" t="s">
        <v>1398</v>
      </c>
      <c r="F278" s="10" t="s">
        <v>51</v>
      </c>
      <c r="G278" s="10" t="s">
        <v>51</v>
      </c>
      <c r="H278" s="10" t="s">
        <v>1397</v>
      </c>
      <c r="I278" s="10" t="s">
        <v>51</v>
      </c>
      <c r="J278" s="10" t="s">
        <v>51</v>
      </c>
      <c r="K278" s="10" t="s">
        <v>51</v>
      </c>
      <c r="L278" s="10" t="s">
        <v>51</v>
      </c>
      <c r="M278" t="s">
        <v>1397</v>
      </c>
      <c r="N278" t="str">
        <f t="shared" si="12"/>
        <v>Exclude</v>
      </c>
      <c r="O278" t="s">
        <v>4277</v>
      </c>
    </row>
    <row r="279" spans="1:15">
      <c r="A279" t="s">
        <v>4275</v>
      </c>
      <c r="B279" s="39" t="str">
        <f>HYPERLINK('references-it1-studies'!$D136,'references-it1-studies'!$B136)</f>
        <v>The development of a novel servo motor controller based on EtherCAT and FPGA</v>
      </c>
      <c r="C279">
        <f>'references-it1-studies'!$C136</f>
        <v>2016</v>
      </c>
      <c r="D279">
        <f>'references-it1-studies'!$H136</f>
        <v>6</v>
      </c>
      <c r="E279" t="s">
        <v>1398</v>
      </c>
      <c r="F279" s="9" t="s">
        <v>51</v>
      </c>
      <c r="G279" s="9" t="s">
        <v>51</v>
      </c>
      <c r="H279" s="9" t="s">
        <v>51</v>
      </c>
      <c r="I279" s="9" t="s">
        <v>51</v>
      </c>
      <c r="J279" s="9" t="s">
        <v>51</v>
      </c>
      <c r="K279" s="9" t="s">
        <v>51</v>
      </c>
      <c r="L279" s="9" t="s">
        <v>1397</v>
      </c>
      <c r="M279" t="s">
        <v>1397</v>
      </c>
      <c r="N279" t="str">
        <f t="shared" si="12"/>
        <v>Exclude</v>
      </c>
      <c r="O279" t="s">
        <v>4280</v>
      </c>
    </row>
    <row r="280" spans="1:15">
      <c r="A280" t="s">
        <v>4275</v>
      </c>
      <c r="B280" s="39" t="str">
        <f>HYPERLINK('references-it1-studies'!$D137,'references-it1-studies'!$B137)</f>
        <v>On the Use of LoRaWAN and Cloud Platforms for Diversification of Mobility-as-a-Service Infrastructure in Smart City Scenarios</v>
      </c>
      <c r="C280">
        <f>'references-it1-studies'!$C137</f>
        <v>2022</v>
      </c>
      <c r="D280">
        <f>'references-it1-studies'!$H137</f>
        <v>9</v>
      </c>
      <c r="E280" t="s">
        <v>1398</v>
      </c>
      <c r="F280" s="10" t="s">
        <v>51</v>
      </c>
      <c r="G280" s="10" t="s">
        <v>51</v>
      </c>
      <c r="H280" s="10" t="s">
        <v>1397</v>
      </c>
      <c r="I280" s="10" t="s">
        <v>51</v>
      </c>
      <c r="J280" s="10" t="s">
        <v>51</v>
      </c>
      <c r="K280" s="10" t="s">
        <v>51</v>
      </c>
      <c r="L280" s="10" t="s">
        <v>51</v>
      </c>
      <c r="M280" t="s">
        <v>1397</v>
      </c>
      <c r="N280" t="str">
        <f t="shared" si="12"/>
        <v>Exclude</v>
      </c>
      <c r="O280" t="s">
        <v>4277</v>
      </c>
    </row>
    <row r="281" spans="1:15">
      <c r="A281" t="s">
        <v>4275</v>
      </c>
      <c r="B281" s="39" t="str">
        <f>HYPERLINK('references-it1-studies'!$D138,'references-it1-studies'!$B138)</f>
        <v>Integration of IEC 61850 SCL and OPC UA to improve interoperability in Smart Grid environment</v>
      </c>
      <c r="C281">
        <f>'references-it1-studies'!$C138</f>
        <v>2016</v>
      </c>
      <c r="D281">
        <f>'references-it1-studies'!$H138</f>
        <v>23</v>
      </c>
      <c r="E281" t="s">
        <v>1398</v>
      </c>
      <c r="F281" s="9" t="s">
        <v>51</v>
      </c>
      <c r="G281" s="9" t="s">
        <v>51</v>
      </c>
      <c r="H281" s="9" t="s">
        <v>51</v>
      </c>
      <c r="I281" s="9" t="s">
        <v>51</v>
      </c>
      <c r="J281" s="9" t="s">
        <v>51</v>
      </c>
      <c r="K281" s="9" t="s">
        <v>51</v>
      </c>
      <c r="L281" s="9" t="s">
        <v>1397</v>
      </c>
      <c r="M281" t="s">
        <v>1397</v>
      </c>
      <c r="N281" t="str">
        <f t="shared" si="12"/>
        <v>Exclude</v>
      </c>
      <c r="O281" t="s">
        <v>4280</v>
      </c>
    </row>
    <row r="282" spans="1:15">
      <c r="A282" t="s">
        <v>4275</v>
      </c>
      <c r="B282" s="39" t="str">
        <f>HYPERLINK('references-it1-studies'!$D140,'references-it1-studies'!$B140)</f>
        <v>End System TSN Enablement Using OPC UA</v>
      </c>
      <c r="C282">
        <f>'references-it1-studies'!$C140</f>
        <v>2021</v>
      </c>
      <c r="D282">
        <f>'references-it1-studies'!$H140</f>
        <v>7</v>
      </c>
      <c r="E282" t="s">
        <v>1398</v>
      </c>
      <c r="F282" s="9" t="s">
        <v>51</v>
      </c>
      <c r="G282" s="9" t="s">
        <v>51</v>
      </c>
      <c r="H282" s="9" t="s">
        <v>51</v>
      </c>
      <c r="I282" s="9" t="s">
        <v>51</v>
      </c>
      <c r="J282" s="9" t="s">
        <v>51</v>
      </c>
      <c r="K282" s="9" t="s">
        <v>51</v>
      </c>
      <c r="L282" s="9" t="s">
        <v>1397</v>
      </c>
      <c r="M282" t="s">
        <v>1397</v>
      </c>
      <c r="N282" t="str">
        <f t="shared" si="12"/>
        <v>Exclude</v>
      </c>
      <c r="O282" t="s">
        <v>4280</v>
      </c>
    </row>
    <row r="283" spans="1:15">
      <c r="A283" t="s">
        <v>4275</v>
      </c>
      <c r="B283" s="39" t="str">
        <f>HYPERLINK('references-it1-studies'!$D141,'references-it1-studies'!$B141)</f>
        <v>An integrated testbed IEC61850-IIoT for Gas Insulated SF6 Monitoring in SCADA systems</v>
      </c>
      <c r="C283">
        <f>'references-it1-studies'!$C141</f>
        <v>2022</v>
      </c>
      <c r="D283">
        <f>'references-it1-studies'!$H141</f>
        <v>6</v>
      </c>
      <c r="E283" t="s">
        <v>1398</v>
      </c>
      <c r="F283" s="10" t="s">
        <v>51</v>
      </c>
      <c r="G283" s="10" t="s">
        <v>51</v>
      </c>
      <c r="H283" s="10" t="s">
        <v>51</v>
      </c>
      <c r="I283" s="10" t="s">
        <v>51</v>
      </c>
      <c r="J283" s="10" t="s">
        <v>51</v>
      </c>
      <c r="K283" s="10" t="s">
        <v>51</v>
      </c>
      <c r="L283" s="10" t="s">
        <v>1397</v>
      </c>
      <c r="N283" t="str">
        <f t="shared" si="12"/>
        <v>Exclude</v>
      </c>
      <c r="O283" t="s">
        <v>4316</v>
      </c>
    </row>
    <row r="284" spans="1:15">
      <c r="A284" t="s">
        <v>4275</v>
      </c>
      <c r="B284" s="39" t="str">
        <f>HYPERLINK('references-it1-studies'!$D142,'references-it1-studies'!$B142)</f>
        <v>Industrial Control System-Anomaly Detection Dataset (ICS-ADD) for Cyber-Physical Security Monitoring in Smart Industry Environments</v>
      </c>
      <c r="C284">
        <f>'references-it1-studies'!$C142</f>
        <v>2024</v>
      </c>
      <c r="D284">
        <f>'references-it1-studies'!$H142</f>
        <v>10</v>
      </c>
      <c r="E284" t="s">
        <v>1398</v>
      </c>
      <c r="F284" s="9" t="s">
        <v>51</v>
      </c>
      <c r="G284" s="9" t="s">
        <v>51</v>
      </c>
      <c r="H284" s="9" t="s">
        <v>51</v>
      </c>
      <c r="I284" s="9" t="s">
        <v>51</v>
      </c>
      <c r="J284" s="9" t="s">
        <v>51</v>
      </c>
      <c r="K284" s="9" t="s">
        <v>51</v>
      </c>
      <c r="L284" s="9" t="s">
        <v>1397</v>
      </c>
      <c r="M284" t="s">
        <v>1397</v>
      </c>
      <c r="N284" t="str">
        <f t="shared" si="12"/>
        <v>Exclude</v>
      </c>
      <c r="O284" t="s">
        <v>4276</v>
      </c>
    </row>
    <row r="285" spans="1:15">
      <c r="A285" t="s">
        <v>4275</v>
      </c>
      <c r="B285" s="39" t="str">
        <f>HYPERLINK('references-it1-studies'!$D144,'references-it1-studies'!$B144)</f>
        <v>RTSI - Comparing application layer protocols for the Internet of Things via experimentation</v>
      </c>
      <c r="C285">
        <f>'references-it1-studies'!$C144</f>
        <v>2016</v>
      </c>
      <c r="D285">
        <f>'references-it1-studies'!$H144</f>
        <v>5</v>
      </c>
      <c r="E285" t="s">
        <v>1398</v>
      </c>
      <c r="F285" s="10" t="s">
        <v>51</v>
      </c>
      <c r="G285" s="10" t="s">
        <v>51</v>
      </c>
      <c r="H285" s="10" t="s">
        <v>1397</v>
      </c>
      <c r="I285" s="10" t="s">
        <v>51</v>
      </c>
      <c r="J285" s="10" t="s">
        <v>51</v>
      </c>
      <c r="K285" s="10" t="s">
        <v>51</v>
      </c>
      <c r="L285" s="10" t="s">
        <v>51</v>
      </c>
      <c r="M285" t="s">
        <v>1397</v>
      </c>
      <c r="N285" t="str">
        <f t="shared" si="12"/>
        <v>Exclude</v>
      </c>
      <c r="O285" t="s">
        <v>4277</v>
      </c>
    </row>
    <row r="286" spans="1:15">
      <c r="A286" t="s">
        <v>4275</v>
      </c>
      <c r="B286" s="39" t="str">
        <f>HYPERLINK('references-it1-studies'!$D146,'references-it1-studies'!$B146)</f>
        <v>Networking - Performance Comparison of Messaging Protocols and Serialization Formats for Digital Twins in IoV</v>
      </c>
      <c r="C286">
        <f>'references-it1-studies'!$C146</f>
        <v>2020</v>
      </c>
      <c r="D286">
        <f>'references-it1-studies'!$H146</f>
        <v>9</v>
      </c>
      <c r="E286" t="s">
        <v>1398</v>
      </c>
      <c r="F286" s="9" t="s">
        <v>51</v>
      </c>
      <c r="G286" s="9" t="s">
        <v>51</v>
      </c>
      <c r="H286" s="9" t="s">
        <v>1397</v>
      </c>
      <c r="I286" s="9" t="s">
        <v>51</v>
      </c>
      <c r="J286" s="9" t="s">
        <v>51</v>
      </c>
      <c r="K286" s="9" t="s">
        <v>51</v>
      </c>
      <c r="L286" s="9" t="s">
        <v>51</v>
      </c>
      <c r="M286" t="s">
        <v>1397</v>
      </c>
      <c r="N286" t="str">
        <f t="shared" si="12"/>
        <v>Exclude</v>
      </c>
      <c r="O286" t="s">
        <v>4277</v>
      </c>
    </row>
    <row r="287" spans="1:15">
      <c r="A287" t="s">
        <v>4275</v>
      </c>
      <c r="B287" s="39" t="str">
        <f>HYPERLINK('references-it1-studies'!$D148,'references-it1-studies'!$B148)</f>
        <v>Analysis of relevant standards for industrial systems to support zero defects manufacturing process</v>
      </c>
      <c r="C287">
        <f>'references-it1-studies'!$C148</f>
        <v>2021</v>
      </c>
      <c r="D287">
        <f>'references-it1-studies'!$H148</f>
        <v>0</v>
      </c>
      <c r="E287" t="s">
        <v>1398</v>
      </c>
      <c r="F287" s="10" t="s">
        <v>51</v>
      </c>
      <c r="G287" s="10" t="s">
        <v>51</v>
      </c>
      <c r="H287" s="10" t="s">
        <v>51</v>
      </c>
      <c r="I287" s="10" t="s">
        <v>1397</v>
      </c>
      <c r="J287" s="10" t="s">
        <v>51</v>
      </c>
      <c r="K287" s="10" t="s">
        <v>51</v>
      </c>
      <c r="L287" s="10" t="s">
        <v>1397</v>
      </c>
      <c r="M287" t="s">
        <v>1397</v>
      </c>
      <c r="N287" t="str">
        <f t="shared" si="12"/>
        <v>Exclude</v>
      </c>
      <c r="O287" t="s">
        <v>4278</v>
      </c>
    </row>
    <row r="288" spans="1:15">
      <c r="A288" t="s">
        <v>4275</v>
      </c>
      <c r="B288" s="39" t="str">
        <f>HYPERLINK('references-it1-studies'!$D149,'references-it1-studies'!$B149)</f>
        <v>Cybersecurity Analysis for the Communication Protocol in Smart Grids</v>
      </c>
      <c r="C288">
        <f>'references-it1-studies'!$C149</f>
        <v>2020</v>
      </c>
      <c r="D288">
        <f>'references-it1-studies'!$H149</f>
        <v>6</v>
      </c>
      <c r="E288" t="s">
        <v>1398</v>
      </c>
      <c r="F288" s="9" t="s">
        <v>51</v>
      </c>
      <c r="G288" s="9" t="s">
        <v>51</v>
      </c>
      <c r="H288" s="9" t="s">
        <v>1397</v>
      </c>
      <c r="I288" s="9" t="s">
        <v>51</v>
      </c>
      <c r="J288" s="9" t="s">
        <v>51</v>
      </c>
      <c r="K288" s="9" t="s">
        <v>51</v>
      </c>
      <c r="L288" s="9" t="s">
        <v>51</v>
      </c>
      <c r="M288" t="s">
        <v>1397</v>
      </c>
      <c r="N288" t="str">
        <f t="shared" si="12"/>
        <v>Exclude</v>
      </c>
      <c r="O288" t="s">
        <v>4277</v>
      </c>
    </row>
    <row r="289" spans="1:15">
      <c r="A289" t="s">
        <v>4275</v>
      </c>
      <c r="B289" s="39" t="str">
        <f>HYPERLINK('references-it1-studies'!$D150,'references-it1-studies'!$B150)</f>
        <v>A Survey on SCADA Systems: Secure Protocols, Incidents, Threats and Tactics</v>
      </c>
      <c r="C289">
        <f>'references-it1-studies'!$C150</f>
        <v>2020</v>
      </c>
      <c r="D289">
        <f>'references-it1-studies'!$H150</f>
        <v>35</v>
      </c>
      <c r="E289" t="s">
        <v>1398</v>
      </c>
      <c r="F289" s="9" t="s">
        <v>51</v>
      </c>
      <c r="G289" s="9" t="s">
        <v>51</v>
      </c>
      <c r="H289" s="9" t="s">
        <v>51</v>
      </c>
      <c r="I289" s="9" t="s">
        <v>51</v>
      </c>
      <c r="J289" s="9" t="s">
        <v>1397</v>
      </c>
      <c r="K289" s="9" t="s">
        <v>51</v>
      </c>
      <c r="L289" s="9" t="s">
        <v>51</v>
      </c>
      <c r="M289" t="s">
        <v>1397</v>
      </c>
      <c r="N289" t="str">
        <f t="shared" si="12"/>
        <v>Exclude</v>
      </c>
      <c r="O289" t="s">
        <v>4281</v>
      </c>
    </row>
    <row r="290" spans="1:15">
      <c r="A290" t="s">
        <v>4275</v>
      </c>
      <c r="B290" s="39" t="str">
        <f>HYPERLINK('references-it1-studies'!$D151,'references-it1-studies'!$B151)</f>
        <v>EDGE - Edge Powered Industrial Control: Concept for Combining Cloud and Automation Technologies</v>
      </c>
      <c r="C290">
        <f>'references-it1-studies'!$C151</f>
        <v>2018</v>
      </c>
      <c r="D290">
        <f>'references-it1-studies'!$H151</f>
        <v>5</v>
      </c>
      <c r="E290" t="s">
        <v>1398</v>
      </c>
      <c r="F290" s="10" t="s">
        <v>51</v>
      </c>
      <c r="G290" s="10" t="s">
        <v>51</v>
      </c>
      <c r="H290" s="10" t="s">
        <v>51</v>
      </c>
      <c r="I290" s="10" t="s">
        <v>51</v>
      </c>
      <c r="J290" s="10" t="s">
        <v>51</v>
      </c>
      <c r="K290" s="10" t="s">
        <v>51</v>
      </c>
      <c r="L290" s="10" t="s">
        <v>1397</v>
      </c>
      <c r="M290" t="s">
        <v>1397</v>
      </c>
      <c r="N290" t="str">
        <f t="shared" si="12"/>
        <v>Exclude</v>
      </c>
      <c r="O290" t="s">
        <v>4278</v>
      </c>
    </row>
    <row r="291" spans="1:15">
      <c r="A291" t="s">
        <v>4275</v>
      </c>
      <c r="B291" s="39" t="str">
        <f>HYPERLINK('references-it1-studies'!$D152,'references-it1-studies'!$B152)</f>
        <v>SITA - Analysis and evaluation of communication Protocols for IoT Applications</v>
      </c>
      <c r="C291">
        <f>'references-it1-studies'!$C152</f>
        <v>2020</v>
      </c>
      <c r="D291">
        <f>'references-it1-studies'!$H152</f>
        <v>6</v>
      </c>
      <c r="E291" t="s">
        <v>1398</v>
      </c>
      <c r="F291" s="10" t="s">
        <v>51</v>
      </c>
      <c r="G291" s="10" t="s">
        <v>51</v>
      </c>
      <c r="H291" s="10" t="s">
        <v>1397</v>
      </c>
      <c r="I291" s="10" t="s">
        <v>51</v>
      </c>
      <c r="J291" s="10" t="s">
        <v>51</v>
      </c>
      <c r="K291" s="10" t="s">
        <v>51</v>
      </c>
      <c r="L291" s="10" t="s">
        <v>51</v>
      </c>
      <c r="M291" t="s">
        <v>1397</v>
      </c>
      <c r="N291" t="str">
        <f t="shared" si="12"/>
        <v>Exclude</v>
      </c>
      <c r="O291" t="s">
        <v>4277</v>
      </c>
    </row>
    <row r="292" spans="1:15">
      <c r="A292" t="s">
        <v>4275</v>
      </c>
      <c r="B292" s="39" t="str">
        <f>HYPERLINK('references-it1-studies'!$D154,'references-it1-studies'!$B154)</f>
        <v>Integrating Electrical Substations Within the IoT Using IEC 61850, CoAP, and CBOR</v>
      </c>
      <c r="C292">
        <f>'references-it1-studies'!$C154</f>
        <v>2019</v>
      </c>
      <c r="D292">
        <f>'references-it1-studies'!$H154</f>
        <v>13</v>
      </c>
      <c r="E292" t="s">
        <v>1398</v>
      </c>
      <c r="F292" s="10" t="s">
        <v>51</v>
      </c>
      <c r="G292" s="10" t="s">
        <v>51</v>
      </c>
      <c r="H292" s="10" t="s">
        <v>51</v>
      </c>
      <c r="I292" s="10" t="s">
        <v>51</v>
      </c>
      <c r="J292" s="10" t="s">
        <v>51</v>
      </c>
      <c r="K292" s="10" t="s">
        <v>51</v>
      </c>
      <c r="L292" s="10" t="s">
        <v>1397</v>
      </c>
      <c r="M292" t="s">
        <v>1397</v>
      </c>
      <c r="N292" t="str">
        <f t="shared" si="12"/>
        <v>Exclude</v>
      </c>
      <c r="O292" t="s">
        <v>4280</v>
      </c>
    </row>
    <row r="293" spans="1:15">
      <c r="A293" t="s">
        <v>4275</v>
      </c>
      <c r="B293" s="39" t="str">
        <f>HYPERLINK('references-it1-studies'!$D155,'references-it1-studies'!$B155)</f>
        <v>Utilisation of a compressed air test bed to assess the effects of pneumatic parameters on energy consumption</v>
      </c>
      <c r="C293">
        <f>'references-it1-studies'!$C155</f>
        <v>2020</v>
      </c>
      <c r="D293">
        <f>'references-it1-studies'!$H155</f>
        <v>6</v>
      </c>
      <c r="E293" t="s">
        <v>1398</v>
      </c>
      <c r="F293" s="10" t="s">
        <v>51</v>
      </c>
      <c r="G293" s="10" t="s">
        <v>51</v>
      </c>
      <c r="H293" s="10" t="s">
        <v>1397</v>
      </c>
      <c r="I293" s="10" t="s">
        <v>51</v>
      </c>
      <c r="J293" s="10" t="s">
        <v>51</v>
      </c>
      <c r="K293" s="10" t="s">
        <v>51</v>
      </c>
      <c r="L293" s="10" t="s">
        <v>51</v>
      </c>
      <c r="M293" t="s">
        <v>1397</v>
      </c>
      <c r="N293" t="str">
        <f t="shared" si="12"/>
        <v>Exclude</v>
      </c>
      <c r="O293" t="s">
        <v>4277</v>
      </c>
    </row>
    <row r="294" spans="1:15">
      <c r="A294" t="s">
        <v>4275</v>
      </c>
      <c r="B294" s="39" t="str">
        <f>HYPERLINK('references-it1-studies'!$D158,'references-it1-studies'!$B158)</f>
        <v>Security Testbed for Internet-of-Things Devices</v>
      </c>
      <c r="C294">
        <f>'references-it1-studies'!$C158</f>
        <v>2019</v>
      </c>
      <c r="D294">
        <f>'references-it1-studies'!$H158</f>
        <v>22</v>
      </c>
      <c r="E294" t="s">
        <v>1398</v>
      </c>
      <c r="F294" s="9" t="s">
        <v>51</v>
      </c>
      <c r="G294" s="9" t="s">
        <v>51</v>
      </c>
      <c r="H294" s="9" t="s">
        <v>1397</v>
      </c>
      <c r="I294" s="9" t="s">
        <v>51</v>
      </c>
      <c r="J294" s="9" t="s">
        <v>51</v>
      </c>
      <c r="K294" s="9" t="s">
        <v>51</v>
      </c>
      <c r="L294" s="9" t="s">
        <v>51</v>
      </c>
      <c r="M294" t="s">
        <v>1397</v>
      </c>
      <c r="N294" t="str">
        <f t="shared" si="12"/>
        <v>Exclude</v>
      </c>
      <c r="O294" t="s">
        <v>4277</v>
      </c>
    </row>
    <row r="295" spans="1:15">
      <c r="A295" t="s">
        <v>4275</v>
      </c>
      <c r="B295" s="39" t="str">
        <f>HYPERLINK('references-it1-studies'!$D160,'references-it1-studies'!$B160)</f>
        <v>Converging IoT protocols for the data integration of automation systems in the electrical industry</v>
      </c>
      <c r="C295">
        <f>'references-it1-studies'!$C160</f>
        <v>2022</v>
      </c>
      <c r="D295">
        <f>'references-it1-studies'!$H160</f>
        <v>0</v>
      </c>
      <c r="E295" t="s">
        <v>1398</v>
      </c>
      <c r="F295" s="9" t="s">
        <v>51</v>
      </c>
      <c r="G295" s="9" t="s">
        <v>51</v>
      </c>
      <c r="H295" s="9" t="s">
        <v>51</v>
      </c>
      <c r="I295" s="9" t="s">
        <v>1397</v>
      </c>
      <c r="J295" s="9" t="s">
        <v>51</v>
      </c>
      <c r="K295" s="9" t="s">
        <v>51</v>
      </c>
      <c r="L295" s="9" t="s">
        <v>1397</v>
      </c>
      <c r="M295" t="s">
        <v>1397</v>
      </c>
      <c r="N295" t="str">
        <f t="shared" si="12"/>
        <v>Exclude</v>
      </c>
      <c r="O295" t="s">
        <v>4280</v>
      </c>
    </row>
    <row r="296" spans="1:15">
      <c r="A296" t="s">
        <v>4275</v>
      </c>
      <c r="B296" s="39" t="str">
        <f>HYPERLINK('references-it1-studies'!$D161,'references-it1-studies'!$B161)</f>
        <v>Design of an IoT-PLC: A containerized programmable logical controller for the industry 4.0</v>
      </c>
      <c r="C296">
        <f>'references-it1-studies'!$C161</f>
        <v>2022</v>
      </c>
      <c r="D296">
        <f>'references-it1-studies'!$H161</f>
        <v>0</v>
      </c>
      <c r="E296" t="s">
        <v>1398</v>
      </c>
      <c r="F296" s="10" t="s">
        <v>51</v>
      </c>
      <c r="G296" s="10" t="s">
        <v>51</v>
      </c>
      <c r="H296" s="10" t="s">
        <v>51</v>
      </c>
      <c r="I296" s="10" t="s">
        <v>1397</v>
      </c>
      <c r="J296" s="10" t="s">
        <v>51</v>
      </c>
      <c r="K296" s="10" t="s">
        <v>51</v>
      </c>
      <c r="L296" s="10" t="s">
        <v>1397</v>
      </c>
      <c r="M296" t="s">
        <v>1397</v>
      </c>
      <c r="N296" t="str">
        <f t="shared" si="12"/>
        <v>Exclude</v>
      </c>
      <c r="O296" t="s">
        <v>4278</v>
      </c>
    </row>
    <row r="297" spans="1:15">
      <c r="A297" t="s">
        <v>4275</v>
      </c>
      <c r="B297" s="39" t="str">
        <f>HYPERLINK('references-it1-studies'!$D163,'references-it1-studies'!$B163)</f>
        <v>Scalability Evaluation of a Modbus TCP Control and Monitoring System for Distributed Energy Resources</v>
      </c>
      <c r="C297">
        <f>'references-it1-studies'!$C163</f>
        <v>2022</v>
      </c>
      <c r="D297">
        <f>'references-it1-studies'!$H163</f>
        <v>6</v>
      </c>
      <c r="E297" t="s">
        <v>1398</v>
      </c>
      <c r="F297" s="9" t="s">
        <v>51</v>
      </c>
      <c r="G297" s="9" t="s">
        <v>51</v>
      </c>
      <c r="H297" s="9" t="s">
        <v>51</v>
      </c>
      <c r="I297" s="9" t="s">
        <v>51</v>
      </c>
      <c r="J297" s="9" t="s">
        <v>51</v>
      </c>
      <c r="K297" s="9" t="s">
        <v>51</v>
      </c>
      <c r="L297" s="9" t="s">
        <v>1397</v>
      </c>
      <c r="N297" t="str">
        <f t="shared" si="12"/>
        <v>Exclude</v>
      </c>
      <c r="O297" t="s">
        <v>4317</v>
      </c>
    </row>
    <row r="298" spans="1:15">
      <c r="A298" t="s">
        <v>4275</v>
      </c>
      <c r="B298" s="39" t="str">
        <f>HYPERLINK('references-it1-studies'!$D165,'references-it1-studies'!$B165)</f>
        <v>ETFA - Comparative assessment of different OPC UA open–source stacks for embedded systems</v>
      </c>
      <c r="C298">
        <f>'references-it1-studies'!$C165</f>
        <v>2019</v>
      </c>
      <c r="D298">
        <f>'references-it1-studies'!$H165</f>
        <v>8</v>
      </c>
      <c r="E298" t="s">
        <v>1398</v>
      </c>
      <c r="F298" s="10" t="s">
        <v>51</v>
      </c>
      <c r="G298" s="10" t="s">
        <v>51</v>
      </c>
      <c r="H298" s="10" t="s">
        <v>51</v>
      </c>
      <c r="I298" s="10" t="s">
        <v>51</v>
      </c>
      <c r="J298" s="10" t="s">
        <v>51</v>
      </c>
      <c r="K298" s="10" t="s">
        <v>51</v>
      </c>
      <c r="L298" s="10" t="s">
        <v>1397</v>
      </c>
      <c r="N298" t="str">
        <f t="shared" si="12"/>
        <v>Exclude</v>
      </c>
      <c r="O298" t="s">
        <v>5680</v>
      </c>
    </row>
    <row r="299" spans="1:15">
      <c r="A299" t="s">
        <v>4275</v>
      </c>
      <c r="B299" s="39" t="str">
        <f>HYPERLINK('references-it1-studies'!$D166,'references-it1-studies'!$B166)</f>
        <v>On the performance of OPC UA and MQTT for data exchange between industrial plants and cloud servers</v>
      </c>
      <c r="C299">
        <f>'references-it1-studies'!$C166</f>
        <v>2019</v>
      </c>
      <c r="D299">
        <f>'references-it1-studies'!$H166</f>
        <v>0</v>
      </c>
      <c r="E299" t="s">
        <v>1398</v>
      </c>
      <c r="F299" s="10" t="s">
        <v>51</v>
      </c>
      <c r="G299" s="10" t="s">
        <v>51</v>
      </c>
      <c r="H299" s="10" t="s">
        <v>51</v>
      </c>
      <c r="I299" s="10" t="s">
        <v>51</v>
      </c>
      <c r="J299" s="10" t="s">
        <v>51</v>
      </c>
      <c r="K299" s="10" t="s">
        <v>51</v>
      </c>
      <c r="L299" s="10" t="s">
        <v>51</v>
      </c>
      <c r="N299" t="str">
        <f t="shared" si="12"/>
        <v>Include</v>
      </c>
      <c r="O299" t="s">
        <v>4279</v>
      </c>
    </row>
    <row r="300" spans="1:15">
      <c r="A300" t="s">
        <v>4275</v>
      </c>
      <c r="B300" s="39" t="str">
        <f>HYPERLINK('references-it1-studies'!$D167,'references-it1-studies'!$B167)</f>
        <v>AN EQUIPMENT-ORIENTED VULNERABILITY THREAT ASSESSMENT METHOD FOR ELECTRIC POWER SUPERVISION AND CONTROL SYSTEMS</v>
      </c>
      <c r="C300">
        <f>'references-it1-studies'!$C167</f>
        <v>2021</v>
      </c>
      <c r="D300">
        <f>'references-it1-studies'!$H167</f>
        <v>6</v>
      </c>
      <c r="E300" t="s">
        <v>1398</v>
      </c>
      <c r="F300" s="9" t="s">
        <v>51</v>
      </c>
      <c r="G300" s="9" t="s">
        <v>51</v>
      </c>
      <c r="H300" s="9" t="s">
        <v>1397</v>
      </c>
      <c r="I300" s="9" t="s">
        <v>51</v>
      </c>
      <c r="J300" s="9" t="s">
        <v>51</v>
      </c>
      <c r="K300" s="9" t="s">
        <v>51</v>
      </c>
      <c r="L300" s="9" t="s">
        <v>51</v>
      </c>
      <c r="M300" t="s">
        <v>1397</v>
      </c>
      <c r="N300" t="str">
        <f t="shared" si="12"/>
        <v>Exclude</v>
      </c>
      <c r="O300" t="s">
        <v>4277</v>
      </c>
    </row>
    <row r="301" spans="1:15">
      <c r="A301" t="s">
        <v>4275</v>
      </c>
      <c r="B301" s="39" t="str">
        <f>HYPERLINK('references-it1-studies'!$D168,'references-it1-studies'!$B168)</f>
        <v>Real-time Power System Simulation with Hardware Devices through DNP3 in Cyber-Physical Testbed</v>
      </c>
      <c r="C301">
        <f>'references-it1-studies'!$C168</f>
        <v>2021</v>
      </c>
      <c r="D301">
        <f>'references-it1-studies'!$H168</f>
        <v>6</v>
      </c>
      <c r="E301" t="s">
        <v>1398</v>
      </c>
      <c r="F301" s="10" t="s">
        <v>51</v>
      </c>
      <c r="G301" s="10" t="s">
        <v>51</v>
      </c>
      <c r="H301" s="10" t="s">
        <v>51</v>
      </c>
      <c r="I301" s="10" t="s">
        <v>51</v>
      </c>
      <c r="J301" s="10" t="s">
        <v>51</v>
      </c>
      <c r="K301" s="10" t="s">
        <v>51</v>
      </c>
      <c r="L301" s="10" t="s">
        <v>1397</v>
      </c>
      <c r="N301" t="str">
        <f t="shared" si="12"/>
        <v>Exclude</v>
      </c>
      <c r="O301" t="s">
        <v>4318</v>
      </c>
    </row>
    <row r="302" spans="1:15">
      <c r="A302" t="s">
        <v>4275</v>
      </c>
      <c r="B302" s="39" t="str">
        <f>HYPERLINK('references-it1-studies'!$D169,'references-it1-studies'!$B169)</f>
        <v>Delay Estimation of Industrial IoT Applications Based on Messaging Protocols</v>
      </c>
      <c r="C302">
        <f>'references-it1-studies'!$C169</f>
        <v>2018</v>
      </c>
      <c r="D302">
        <f>'references-it1-studies'!$H169</f>
        <v>12</v>
      </c>
      <c r="E302" t="s">
        <v>1398</v>
      </c>
      <c r="F302" s="9" t="s">
        <v>51</v>
      </c>
      <c r="G302" s="9" t="s">
        <v>51</v>
      </c>
      <c r="H302" s="9" t="s">
        <v>51</v>
      </c>
      <c r="I302" s="9" t="s">
        <v>51</v>
      </c>
      <c r="J302" s="9" t="s">
        <v>51</v>
      </c>
      <c r="K302" s="9" t="s">
        <v>51</v>
      </c>
      <c r="L302" s="9" t="s">
        <v>1397</v>
      </c>
      <c r="M302" t="s">
        <v>1397</v>
      </c>
      <c r="N302" t="str">
        <f t="shared" si="12"/>
        <v>Exclude</v>
      </c>
      <c r="O302" t="s">
        <v>4280</v>
      </c>
    </row>
    <row r="303" spans="1:15">
      <c r="A303" t="s">
        <v>4275</v>
      </c>
      <c r="B303" s="39" t="str">
        <f>HYPERLINK('references-it1-studies'!$D170,'references-it1-studies'!$B170)</f>
        <v>Protecting Modbus/TCP-Based Industrial Automation and Control Systems Using Message Authentication Codes</v>
      </c>
      <c r="C303">
        <f>'references-it1-studies'!$C170</f>
        <v>2023</v>
      </c>
      <c r="D303">
        <f>'references-it1-studies'!$H170</f>
        <v>17</v>
      </c>
      <c r="E303" t="s">
        <v>1398</v>
      </c>
      <c r="F303" s="10" t="s">
        <v>51</v>
      </c>
      <c r="G303" s="10" t="s">
        <v>51</v>
      </c>
      <c r="H303" s="10" t="s">
        <v>51</v>
      </c>
      <c r="I303" s="10" t="s">
        <v>51</v>
      </c>
      <c r="J303" s="10" t="s">
        <v>51</v>
      </c>
      <c r="K303" s="10" t="s">
        <v>51</v>
      </c>
      <c r="L303" s="10" t="s">
        <v>1397</v>
      </c>
      <c r="N303" t="str">
        <f t="shared" si="12"/>
        <v>Exclude</v>
      </c>
      <c r="O303" t="s">
        <v>4319</v>
      </c>
    </row>
    <row r="304" spans="1:15">
      <c r="A304" t="s">
        <v>4275</v>
      </c>
      <c r="B304" s="39" t="str">
        <f>HYPERLINK('references-it1-studies'!$D171,'references-it1-studies'!$B171)</f>
        <v>ETFA - Analysis of the Round Trip Time of OPC UA and TSN based Peer-to-Peer Communication</v>
      </c>
      <c r="C304">
        <f>'references-it1-studies'!$C171</f>
        <v>2019</v>
      </c>
      <c r="D304">
        <f>'references-it1-studies'!$H171</f>
        <v>7</v>
      </c>
      <c r="E304" t="s">
        <v>1398</v>
      </c>
      <c r="F304" s="9" t="s">
        <v>51</v>
      </c>
      <c r="G304" s="9" t="s">
        <v>51</v>
      </c>
      <c r="H304" s="9" t="s">
        <v>51</v>
      </c>
      <c r="I304" s="9" t="s">
        <v>51</v>
      </c>
      <c r="J304" s="9" t="s">
        <v>51</v>
      </c>
      <c r="K304" s="9" t="s">
        <v>51</v>
      </c>
      <c r="L304" s="9" t="s">
        <v>1397</v>
      </c>
      <c r="M304" t="s">
        <v>1397</v>
      </c>
      <c r="N304" t="str">
        <f t="shared" si="12"/>
        <v>Exclude</v>
      </c>
      <c r="O304" t="s">
        <v>4280</v>
      </c>
    </row>
    <row r="305" spans="1:15">
      <c r="A305" t="s">
        <v>4275</v>
      </c>
      <c r="B305" s="39" t="str">
        <f>HYPERLINK('references-it1-studies'!$D173,'references-it1-studies'!$B173)</f>
        <v>RESTful Industrial Communication With OPC UA</v>
      </c>
      <c r="C305">
        <f>'references-it1-studies'!$C173</f>
        <v>2016</v>
      </c>
      <c r="D305">
        <f>'references-it1-studies'!$H173</f>
        <v>10</v>
      </c>
      <c r="E305" t="s">
        <v>1398</v>
      </c>
      <c r="F305" s="9" t="s">
        <v>51</v>
      </c>
      <c r="G305" s="9" t="s">
        <v>51</v>
      </c>
      <c r="H305" s="9" t="s">
        <v>51</v>
      </c>
      <c r="I305" s="9" t="s">
        <v>51</v>
      </c>
      <c r="J305" s="9" t="s">
        <v>51</v>
      </c>
      <c r="K305" s="9" t="s">
        <v>51</v>
      </c>
      <c r="L305" s="9" t="s">
        <v>1397</v>
      </c>
      <c r="M305" t="s">
        <v>1397</v>
      </c>
      <c r="N305" t="str">
        <f t="shared" si="12"/>
        <v>Exclude</v>
      </c>
      <c r="O305" t="s">
        <v>4280</v>
      </c>
    </row>
    <row r="306" spans="1:15">
      <c r="A306" t="s">
        <v>4275</v>
      </c>
      <c r="B306" s="39" t="str">
        <f>HYPERLINK('references-it1-studies'!$D176,'references-it1-studies'!$B176)</f>
        <v>How Real (Time) Are Virtual PLCs?</v>
      </c>
      <c r="C306">
        <f>'references-it1-studies'!$C176</f>
        <v>2022</v>
      </c>
      <c r="D306">
        <f>'references-it1-studies'!$H176</f>
        <v>0</v>
      </c>
      <c r="E306" t="s">
        <v>1398</v>
      </c>
      <c r="F306" s="10" t="s">
        <v>51</v>
      </c>
      <c r="G306" s="10" t="s">
        <v>51</v>
      </c>
      <c r="H306" s="10" t="s">
        <v>1397</v>
      </c>
      <c r="I306" s="10" t="s">
        <v>1397</v>
      </c>
      <c r="J306" s="10" t="s">
        <v>51</v>
      </c>
      <c r="K306" s="10" t="s">
        <v>51</v>
      </c>
      <c r="L306" s="10" t="s">
        <v>51</v>
      </c>
      <c r="M306" t="s">
        <v>1397</v>
      </c>
      <c r="N306" t="str">
        <f t="shared" si="12"/>
        <v>Exclude</v>
      </c>
      <c r="O306" t="s">
        <v>4277</v>
      </c>
    </row>
    <row r="307" spans="1:15">
      <c r="A307" t="s">
        <v>4275</v>
      </c>
      <c r="B307" s="39" t="str">
        <f>HYPERLINK('references-it1-studies'!$D177,'references-it1-studies'!$B177)</f>
        <v>Off-Path TCP Hijacking Attacks via the Side Channel of Downgraded IPID</v>
      </c>
      <c r="C307">
        <f>'references-it1-studies'!$C177</f>
        <v>2022</v>
      </c>
      <c r="D307">
        <f>'references-it1-studies'!$H177</f>
        <v>14</v>
      </c>
      <c r="E307" t="s">
        <v>1398</v>
      </c>
      <c r="F307" s="9" t="s">
        <v>51</v>
      </c>
      <c r="G307" s="9" t="s">
        <v>51</v>
      </c>
      <c r="H307" s="9" t="s">
        <v>1397</v>
      </c>
      <c r="I307" s="9" t="s">
        <v>51</v>
      </c>
      <c r="J307" s="9" t="s">
        <v>51</v>
      </c>
      <c r="K307" s="9" t="s">
        <v>51</v>
      </c>
      <c r="L307" s="9" t="s">
        <v>51</v>
      </c>
      <c r="M307" t="s">
        <v>1397</v>
      </c>
      <c r="N307" t="str">
        <f t="shared" si="12"/>
        <v>Exclude</v>
      </c>
      <c r="O307" t="s">
        <v>4277</v>
      </c>
    </row>
    <row r="308" spans="1:15">
      <c r="A308" t="s">
        <v>4275</v>
      </c>
      <c r="B308" s="39" t="str">
        <f>HYPERLINK('references-it1-studies'!$D178,'references-it1-studies'!$B178)</f>
        <v>BDIOT - An Efficient Intrusion Detection Model for Edge System in Brownfield Industrial Internet of Things</v>
      </c>
      <c r="C308">
        <f>'references-it1-studies'!$C178</f>
        <v>2019</v>
      </c>
      <c r="D308">
        <f>'references-it1-studies'!$H178</f>
        <v>5</v>
      </c>
      <c r="E308" t="s">
        <v>1398</v>
      </c>
      <c r="F308" s="10" t="s">
        <v>51</v>
      </c>
      <c r="G308" s="10" t="s">
        <v>51</v>
      </c>
      <c r="H308" s="10" t="s">
        <v>51</v>
      </c>
      <c r="I308" s="10" t="s">
        <v>51</v>
      </c>
      <c r="J308" s="10" t="s">
        <v>51</v>
      </c>
      <c r="K308" s="10" t="s">
        <v>51</v>
      </c>
      <c r="L308" s="10" t="s">
        <v>1397</v>
      </c>
      <c r="M308" t="s">
        <v>1397</v>
      </c>
      <c r="N308" t="str">
        <f t="shared" ref="N308:N322" si="13">IF(COUNTIF(F308:M308,"X")&gt;0,"Exclude",IF(UPPER(TRIM(E308))="O","Include",""))</f>
        <v>Exclude</v>
      </c>
      <c r="O308" t="s">
        <v>4276</v>
      </c>
    </row>
    <row r="309" spans="1:15">
      <c r="A309" t="s">
        <v>4275</v>
      </c>
      <c r="B309" s="39" t="str">
        <f>HYPERLINK('references-it1-studies'!$D179,'references-it1-studies'!$B179)</f>
        <v>Edge Computing: Vision and Challenges</v>
      </c>
      <c r="C309">
        <f>'references-it1-studies'!$C179</f>
        <v>2016</v>
      </c>
      <c r="D309">
        <f>'references-it1-studies'!$H179</f>
        <v>10</v>
      </c>
      <c r="E309" t="s">
        <v>1398</v>
      </c>
      <c r="F309" s="9" t="s">
        <v>51</v>
      </c>
      <c r="G309" s="9" t="s">
        <v>51</v>
      </c>
      <c r="H309" s="9" t="s">
        <v>1397</v>
      </c>
      <c r="I309" s="9" t="s">
        <v>51</v>
      </c>
      <c r="J309" s="9" t="s">
        <v>51</v>
      </c>
      <c r="K309" s="9" t="s">
        <v>51</v>
      </c>
      <c r="L309" s="9" t="s">
        <v>51</v>
      </c>
      <c r="M309" t="s">
        <v>1397</v>
      </c>
      <c r="N309" t="str">
        <f t="shared" si="13"/>
        <v>Exclude</v>
      </c>
      <c r="O309" t="s">
        <v>4277</v>
      </c>
    </row>
    <row r="310" spans="1:15">
      <c r="A310" t="s">
        <v>4275</v>
      </c>
      <c r="B310" s="39" t="str">
        <f>HYPERLINK('references-it1-studies'!$D180,'references-it1-studies'!$B180)</f>
        <v>GOOSE Protocol: IED's Smart Solution for Victoria University Zone Substation (VUZS) Simulator Based on IEC61850 Standard</v>
      </c>
      <c r="C310">
        <f>'references-it1-studies'!$C180</f>
        <v>2018</v>
      </c>
      <c r="D310">
        <f>'references-it1-studies'!$H180</f>
        <v>6</v>
      </c>
      <c r="E310" t="s">
        <v>1398</v>
      </c>
      <c r="F310" s="10" t="s">
        <v>51</v>
      </c>
      <c r="G310" s="10" t="s">
        <v>51</v>
      </c>
      <c r="H310" s="10" t="s">
        <v>51</v>
      </c>
      <c r="I310" s="10" t="s">
        <v>51</v>
      </c>
      <c r="J310" s="10" t="s">
        <v>51</v>
      </c>
      <c r="K310" s="10" t="s">
        <v>51</v>
      </c>
      <c r="L310" s="10" t="s">
        <v>1397</v>
      </c>
      <c r="N310" t="str">
        <f t="shared" si="13"/>
        <v>Exclude</v>
      </c>
      <c r="O310" t="s">
        <v>4320</v>
      </c>
    </row>
    <row r="311" spans="1:15">
      <c r="A311" t="s">
        <v>4275</v>
      </c>
      <c r="B311" s="39" t="str">
        <f>HYPERLINK('references-it1-studies'!$D181,'references-it1-studies'!$B181)</f>
        <v>Communication Requirements for a Hybrid VSC Based HVDC/AC Transmission Networks State Estimation</v>
      </c>
      <c r="C311">
        <f>'references-it1-studies'!$C181</f>
        <v>2021</v>
      </c>
      <c r="D311">
        <f>'references-it1-studies'!$H181</f>
        <v>0</v>
      </c>
      <c r="E311" t="s">
        <v>1398</v>
      </c>
      <c r="F311" s="9" t="s">
        <v>51</v>
      </c>
      <c r="G311" s="9" t="s">
        <v>51</v>
      </c>
      <c r="H311" s="9" t="s">
        <v>1397</v>
      </c>
      <c r="I311" s="9" t="s">
        <v>1397</v>
      </c>
      <c r="J311" s="9" t="s">
        <v>51</v>
      </c>
      <c r="K311" s="9" t="s">
        <v>51</v>
      </c>
      <c r="L311" s="9" t="s">
        <v>51</v>
      </c>
      <c r="M311" t="s">
        <v>1397</v>
      </c>
      <c r="N311" t="str">
        <f t="shared" si="13"/>
        <v>Exclude</v>
      </c>
      <c r="O311" t="s">
        <v>4277</v>
      </c>
    </row>
    <row r="312" spans="1:15">
      <c r="A312" t="s">
        <v>4275</v>
      </c>
      <c r="B312" s="39" t="str">
        <f>HYPERLINK('references-it1-studies'!$D182,'references-it1-studies'!$B182)</f>
        <v>DNP3 Implementation in a High DER Penetration Distribution System</v>
      </c>
      <c r="C312">
        <f>'references-it1-studies'!$C182</f>
        <v>2024</v>
      </c>
      <c r="D312">
        <f>'references-it1-studies'!$H182</f>
        <v>5</v>
      </c>
      <c r="E312" t="s">
        <v>1398</v>
      </c>
      <c r="F312" s="9" t="s">
        <v>51</v>
      </c>
      <c r="G312" s="9" t="s">
        <v>51</v>
      </c>
      <c r="H312" s="9" t="s">
        <v>51</v>
      </c>
      <c r="I312" s="9" t="s">
        <v>51</v>
      </c>
      <c r="J312" s="9" t="s">
        <v>51</v>
      </c>
      <c r="K312" s="9" t="s">
        <v>51</v>
      </c>
      <c r="L312" s="9" t="s">
        <v>1397</v>
      </c>
      <c r="M312" t="s">
        <v>1397</v>
      </c>
      <c r="N312" t="str">
        <f t="shared" si="13"/>
        <v>Exclude</v>
      </c>
      <c r="O312" t="s">
        <v>4280</v>
      </c>
    </row>
    <row r="313" spans="1:15">
      <c r="A313" t="s">
        <v>4275</v>
      </c>
      <c r="B313" s="39" t="str">
        <f>HYPERLINK('references-it1-studies'!$D184,'references-it1-studies'!$B184)</f>
        <v>Docker container based analytics at IoT edge Video analytics usecase</v>
      </c>
      <c r="C313">
        <f>'references-it1-studies'!$C184</f>
        <v>2018</v>
      </c>
      <c r="D313">
        <f>'references-it1-studies'!$H184</f>
        <v>0</v>
      </c>
      <c r="E313" t="s">
        <v>1398</v>
      </c>
      <c r="F313" s="10" t="s">
        <v>51</v>
      </c>
      <c r="G313" s="10" t="s">
        <v>51</v>
      </c>
      <c r="H313" s="10" t="s">
        <v>1397</v>
      </c>
      <c r="I313" s="10" t="s">
        <v>1397</v>
      </c>
      <c r="J313" s="10" t="s">
        <v>51</v>
      </c>
      <c r="K313" s="10" t="s">
        <v>51</v>
      </c>
      <c r="L313" s="10" t="s">
        <v>51</v>
      </c>
      <c r="M313" t="s">
        <v>1397</v>
      </c>
      <c r="N313" t="str">
        <f t="shared" si="13"/>
        <v>Exclude</v>
      </c>
      <c r="O313" t="s">
        <v>4277</v>
      </c>
    </row>
    <row r="314" spans="1:15">
      <c r="A314" t="s">
        <v>4275</v>
      </c>
      <c r="B314" s="39" t="str">
        <f>HYPERLINK('references-it1-studies'!$D185,'references-it1-studies'!$B185)</f>
        <v>A Testbed for Experimenting Internet of Things Applications.</v>
      </c>
      <c r="C314">
        <f>'references-it1-studies'!$C185</f>
        <v>2017</v>
      </c>
      <c r="D314">
        <f>'references-it1-studies'!$H185</f>
        <v>0</v>
      </c>
      <c r="E314" t="s">
        <v>1398</v>
      </c>
      <c r="F314" s="9" t="s">
        <v>51</v>
      </c>
      <c r="G314" s="9" t="s">
        <v>51</v>
      </c>
      <c r="H314" s="9" t="s">
        <v>1397</v>
      </c>
      <c r="I314" s="9" t="s">
        <v>1397</v>
      </c>
      <c r="J314" s="9" t="s">
        <v>51</v>
      </c>
      <c r="K314" s="9" t="s">
        <v>51</v>
      </c>
      <c r="L314" s="9" t="s">
        <v>51</v>
      </c>
      <c r="M314" t="s">
        <v>1397</v>
      </c>
      <c r="N314" t="str">
        <f t="shared" si="13"/>
        <v>Exclude</v>
      </c>
      <c r="O314" t="s">
        <v>4277</v>
      </c>
    </row>
    <row r="315" spans="1:15">
      <c r="A315" t="s">
        <v>4275</v>
      </c>
      <c r="B315" s="39" t="str">
        <f>HYPERLINK('references-it1-studies'!$D186,'references-it1-studies'!$B186)</f>
        <v>Targeted Ransomware: A New Cyber Threat to Edge System of Brownfield Industrial Internet of Things</v>
      </c>
      <c r="C315">
        <f>'references-it1-studies'!$C186</f>
        <v>2019</v>
      </c>
      <c r="D315">
        <f>'references-it1-studies'!$H186</f>
        <v>15</v>
      </c>
      <c r="E315" t="s">
        <v>1398</v>
      </c>
      <c r="F315" s="10" t="s">
        <v>51</v>
      </c>
      <c r="G315" s="10" t="s">
        <v>51</v>
      </c>
      <c r="H315" s="10" t="s">
        <v>51</v>
      </c>
      <c r="I315" s="10" t="s">
        <v>51</v>
      </c>
      <c r="J315" s="10" t="s">
        <v>51</v>
      </c>
      <c r="K315" s="10" t="s">
        <v>51</v>
      </c>
      <c r="L315" s="10" t="s">
        <v>1397</v>
      </c>
      <c r="M315" t="s">
        <v>1397</v>
      </c>
      <c r="N315" t="str">
        <f t="shared" si="13"/>
        <v>Exclude</v>
      </c>
      <c r="O315" t="s">
        <v>4276</v>
      </c>
    </row>
    <row r="316" spans="1:15">
      <c r="A316" t="s">
        <v>4275</v>
      </c>
      <c r="B316" s="39" t="str">
        <f>HYPERLINK('references-it1-studies'!$D187,'references-it1-studies'!$B187)</f>
        <v>Implementation of an intelligence-based framework for anomaly detection on the demand-side of sustainable compressed air systems</v>
      </c>
      <c r="C316">
        <f>'references-it1-studies'!$C187</f>
        <v>2024</v>
      </c>
      <c r="D316">
        <f>'references-it1-studies'!$H187</f>
        <v>10</v>
      </c>
      <c r="E316" t="s">
        <v>1398</v>
      </c>
      <c r="F316" s="9" t="s">
        <v>51</v>
      </c>
      <c r="G316" s="9" t="s">
        <v>51</v>
      </c>
      <c r="H316" s="9" t="s">
        <v>51</v>
      </c>
      <c r="I316" s="9" t="s">
        <v>51</v>
      </c>
      <c r="J316" s="9" t="s">
        <v>51</v>
      </c>
      <c r="K316" s="9" t="s">
        <v>51</v>
      </c>
      <c r="L316" s="9" t="s">
        <v>1397</v>
      </c>
      <c r="M316" t="s">
        <v>1397</v>
      </c>
      <c r="N316" t="str">
        <f t="shared" si="13"/>
        <v>Exclude</v>
      </c>
      <c r="O316" t="s">
        <v>4276</v>
      </c>
    </row>
    <row r="317" spans="1:15">
      <c r="A317" t="s">
        <v>4275</v>
      </c>
      <c r="B317" s="39" t="str">
        <f>HYPERLINK('references-it1-studies'!$D189,'references-it1-studies'!$B189)</f>
        <v>Attacking and Defending DNP3 ICS/SCADA Systems</v>
      </c>
      <c r="C317">
        <f>'references-it1-studies'!$C189</f>
        <v>2022</v>
      </c>
      <c r="D317">
        <f>'references-it1-studies'!$H189</f>
        <v>8</v>
      </c>
      <c r="E317" t="s">
        <v>1398</v>
      </c>
      <c r="F317" s="10" t="s">
        <v>51</v>
      </c>
      <c r="G317" s="10" t="s">
        <v>51</v>
      </c>
      <c r="H317" s="10" t="s">
        <v>51</v>
      </c>
      <c r="I317" s="10" t="s">
        <v>51</v>
      </c>
      <c r="J317" s="10" t="s">
        <v>51</v>
      </c>
      <c r="K317" s="10" t="s">
        <v>51</v>
      </c>
      <c r="L317" s="10" t="s">
        <v>1397</v>
      </c>
      <c r="M317" t="s">
        <v>1397</v>
      </c>
      <c r="N317" t="str">
        <f t="shared" si="13"/>
        <v>Exclude</v>
      </c>
      <c r="O317" t="s">
        <v>4280</v>
      </c>
    </row>
    <row r="318" spans="1:15">
      <c r="A318" t="s">
        <v>4275</v>
      </c>
      <c r="B318" s="39" t="str">
        <f>HYPERLINK('references-it1-studies'!$D190,'references-it1-studies'!$B190)</f>
        <v>CPS Testbed Architectures for WAMPAC using Industrial Substation and Control Center Platforms and Attack-Defense Evaluation</v>
      </c>
      <c r="C318">
        <f>'references-it1-studies'!$C190</f>
        <v>2021</v>
      </c>
      <c r="D318">
        <f>'references-it1-studies'!$H190</f>
        <v>5</v>
      </c>
      <c r="E318" t="s">
        <v>1398</v>
      </c>
      <c r="F318" s="10" t="s">
        <v>51</v>
      </c>
      <c r="G318" s="10" t="s">
        <v>51</v>
      </c>
      <c r="H318" s="10" t="s">
        <v>51</v>
      </c>
      <c r="I318" s="10" t="s">
        <v>51</v>
      </c>
      <c r="J318" s="10" t="s">
        <v>51</v>
      </c>
      <c r="K318" s="10" t="s">
        <v>51</v>
      </c>
      <c r="L318" s="10" t="s">
        <v>1397</v>
      </c>
      <c r="N318" t="str">
        <f t="shared" si="13"/>
        <v>Exclude</v>
      </c>
      <c r="O318" t="s">
        <v>4321</v>
      </c>
    </row>
    <row r="319" spans="1:15">
      <c r="A319" t="s">
        <v>4275</v>
      </c>
      <c r="B319" s="39" t="str">
        <f>HYPERLINK('references-it1-studies'!$D191,'references-it1-studies'!$B191)</f>
        <v>Supporting vPLC Networking over TSN with Kubernetes in Industry 4.0</v>
      </c>
      <c r="C319">
        <f>'references-it1-studies'!$C191</f>
        <v>2023</v>
      </c>
      <c r="D319">
        <f>'references-it1-studies'!$H191</f>
        <v>7</v>
      </c>
      <c r="E319" t="s">
        <v>1398</v>
      </c>
      <c r="F319" s="9" t="s">
        <v>51</v>
      </c>
      <c r="G319" s="9" t="s">
        <v>51</v>
      </c>
      <c r="H319" s="9" t="s">
        <v>51</v>
      </c>
      <c r="I319" s="9" t="s">
        <v>51</v>
      </c>
      <c r="J319" s="9" t="s">
        <v>51</v>
      </c>
      <c r="K319" s="9" t="s">
        <v>51</v>
      </c>
      <c r="L319" s="9" t="s">
        <v>1397</v>
      </c>
      <c r="M319" t="s">
        <v>1397</v>
      </c>
      <c r="N319" t="str">
        <f t="shared" si="13"/>
        <v>Exclude</v>
      </c>
      <c r="O319" t="s">
        <v>4280</v>
      </c>
    </row>
    <row r="320" spans="1:15">
      <c r="A320" t="s">
        <v>4275</v>
      </c>
      <c r="B320" s="39" t="str">
        <f>HYPERLINK('references-it1-studies'!$D198,'references-it1-studies'!$B198)</f>
        <v>A survey on communication protocols and performance evaluations for Internet of Things</v>
      </c>
      <c r="C320">
        <f>'references-it1-studies'!$C198</f>
        <v>2022</v>
      </c>
      <c r="D320">
        <f>'references-it1-studies'!$H198</f>
        <v>11</v>
      </c>
      <c r="E320" t="s">
        <v>1398</v>
      </c>
      <c r="F320" s="10" t="s">
        <v>51</v>
      </c>
      <c r="G320" s="10" t="s">
        <v>51</v>
      </c>
      <c r="H320" s="10" t="s">
        <v>51</v>
      </c>
      <c r="I320" s="10" t="s">
        <v>51</v>
      </c>
      <c r="J320" s="10" t="s">
        <v>1397</v>
      </c>
      <c r="K320" s="10" t="s">
        <v>51</v>
      </c>
      <c r="L320" s="10" t="s">
        <v>51</v>
      </c>
      <c r="M320" t="s">
        <v>1397</v>
      </c>
      <c r="N320" t="str">
        <f t="shared" si="13"/>
        <v>Exclude</v>
      </c>
      <c r="O320" t="s">
        <v>4281</v>
      </c>
    </row>
    <row r="321" spans="1:15">
      <c r="A321" t="s">
        <v>4275</v>
      </c>
      <c r="B321" s="39" t="str">
        <f>HYPERLINK('references-it1-studies'!$D200,'references-it1-studies'!$B200)</f>
        <v>IoT Fundamentals: Networking Technologies, Protocols, and Use Cases for the Internet of Things</v>
      </c>
      <c r="C321">
        <f>'references-it1-studies'!$C200</f>
        <v>2017</v>
      </c>
      <c r="D321">
        <f>'references-it1-studies'!$H200</f>
        <v>0</v>
      </c>
      <c r="E321" t="s">
        <v>1398</v>
      </c>
      <c r="F321" s="9" t="s">
        <v>51</v>
      </c>
      <c r="G321" s="9" t="s">
        <v>51</v>
      </c>
      <c r="H321" s="9" t="s">
        <v>1397</v>
      </c>
      <c r="I321" s="9" t="s">
        <v>1397</v>
      </c>
      <c r="J321" s="9" t="s">
        <v>51</v>
      </c>
      <c r="K321" s="9" t="s">
        <v>51</v>
      </c>
      <c r="L321" s="9" t="s">
        <v>51</v>
      </c>
      <c r="M321" t="s">
        <v>1397</v>
      </c>
      <c r="N321" t="str">
        <f t="shared" si="13"/>
        <v>Exclude</v>
      </c>
      <c r="O321" t="s">
        <v>4277</v>
      </c>
    </row>
    <row r="322" spans="1:15">
      <c r="A322" s="39" t="s">
        <v>4275</v>
      </c>
      <c r="B322" t="str">
        <f>HYPERLINK('references-it1-studies'!$D5,'references-it1-studies'!$B5)</f>
        <v>Integration of IoT Technologies into the Smart Grid.</v>
      </c>
      <c r="C322">
        <v>2022</v>
      </c>
      <c r="D322">
        <v>17</v>
      </c>
      <c r="E322" t="s">
        <v>1398</v>
      </c>
      <c r="F322" s="10" t="s">
        <v>51</v>
      </c>
      <c r="G322" s="10" t="s">
        <v>51</v>
      </c>
      <c r="H322" s="10" t="s">
        <v>51</v>
      </c>
      <c r="I322" s="10" t="s">
        <v>51</v>
      </c>
      <c r="J322" s="10" t="s">
        <v>1397</v>
      </c>
      <c r="K322" s="10" t="s">
        <v>51</v>
      </c>
      <c r="L322" s="40" t="s">
        <v>51</v>
      </c>
      <c r="M322" t="s">
        <v>1397</v>
      </c>
      <c r="N322" t="str">
        <f t="shared" si="13"/>
        <v>Exclude</v>
      </c>
      <c r="O322" t="s">
        <v>5654</v>
      </c>
    </row>
    <row r="323" spans="1:15">
      <c r="A323" s="39" t="s">
        <v>4275</v>
      </c>
      <c r="B323" t="str">
        <f>HYPERLINK('references-it1-studies'!$D23,'references-it1-studies'!$B23)</f>
        <v>Identification Overview of Industry 4.0 Essential Attributes and Resource-Limited Embedded Artificial-Intelligence-of-Things Devices for Small and Medium-Sized Enterprises</v>
      </c>
      <c r="C323">
        <v>2022</v>
      </c>
      <c r="D323">
        <v>26</v>
      </c>
      <c r="E323" t="s">
        <v>1398</v>
      </c>
      <c r="F323" s="9" t="s">
        <v>51</v>
      </c>
      <c r="G323" s="9" t="s">
        <v>51</v>
      </c>
      <c r="H323" s="9" t="s">
        <v>51</v>
      </c>
      <c r="I323" s="9" t="s">
        <v>51</v>
      </c>
      <c r="J323" s="9" t="s">
        <v>1397</v>
      </c>
      <c r="K323" s="9" t="s">
        <v>51</v>
      </c>
      <c r="L323" s="41" t="s">
        <v>51</v>
      </c>
      <c r="M323" t="s">
        <v>1397</v>
      </c>
      <c r="N323" t="str">
        <f t="shared" ref="N323:N336" si="14">IF(COUNTIF(F323:M323,"X")&gt;0,"Exclude",IF(UPPER(TRIM(E323))="O","Include",""))</f>
        <v>Exclude</v>
      </c>
      <c r="O323" t="s">
        <v>5655</v>
      </c>
    </row>
    <row r="324" spans="1:15">
      <c r="A324" s="39" t="s">
        <v>4275</v>
      </c>
      <c r="B324" t="str">
        <f>HYPERLINK('references-it1-studies'!$D63,'references-it1-studies'!$B63)</f>
        <v>Demonstration of 5G Solutions for Smart Energy Grids of the Future: A Perspective of the Smart5Grid Project</v>
      </c>
      <c r="C324">
        <v>2022</v>
      </c>
      <c r="D324">
        <v>27</v>
      </c>
      <c r="E324" t="s">
        <v>1398</v>
      </c>
      <c r="F324" s="9" t="s">
        <v>51</v>
      </c>
      <c r="G324" s="9" t="s">
        <v>51</v>
      </c>
      <c r="H324" s="9" t="s">
        <v>51</v>
      </c>
      <c r="I324" s="9" t="s">
        <v>51</v>
      </c>
      <c r="J324" s="9" t="s">
        <v>1397</v>
      </c>
      <c r="K324" s="9" t="s">
        <v>51</v>
      </c>
      <c r="L324" s="41" t="s">
        <v>51</v>
      </c>
      <c r="M324" t="s">
        <v>1397</v>
      </c>
      <c r="N324" t="str">
        <f t="shared" si="14"/>
        <v>Exclude</v>
      </c>
      <c r="O324" t="s">
        <v>5656</v>
      </c>
    </row>
    <row r="325" spans="1:15">
      <c r="A325" s="39" t="s">
        <v>4275</v>
      </c>
      <c r="B325" t="str">
        <f>HYPERLINK('references-it1-studies'!$D65,'references-it1-studies'!$B65)</f>
        <v>Analysis of pneumatic parameters to identify leakages and faults on the demand side of a compressed air system</v>
      </c>
      <c r="C325">
        <v>2022</v>
      </c>
      <c r="D325">
        <v>15</v>
      </c>
      <c r="E325" t="s">
        <v>1398</v>
      </c>
      <c r="F325" s="10" t="s">
        <v>51</v>
      </c>
      <c r="G325" s="10" t="s">
        <v>51</v>
      </c>
      <c r="H325" s="10" t="s">
        <v>1397</v>
      </c>
      <c r="I325" s="10" t="s">
        <v>51</v>
      </c>
      <c r="J325" s="10" t="s">
        <v>51</v>
      </c>
      <c r="K325" s="10" t="s">
        <v>51</v>
      </c>
      <c r="L325" s="40" t="s">
        <v>51</v>
      </c>
      <c r="M325" t="s">
        <v>1397</v>
      </c>
      <c r="N325" t="str">
        <f t="shared" si="14"/>
        <v>Exclude</v>
      </c>
      <c r="O325" t="s">
        <v>5657</v>
      </c>
    </row>
    <row r="326" spans="1:15">
      <c r="A326" s="39" t="s">
        <v>4275</v>
      </c>
      <c r="B326" t="str">
        <f>HYPERLINK('references-it1-studies'!$D68,'references-it1-studies'!$B68)</f>
        <v>An integrated outlook of Cyber–Physical Systems for Industry 4.0: Topical practices, architecture, and applications</v>
      </c>
      <c r="C326">
        <v>2023</v>
      </c>
      <c r="D326">
        <v>17</v>
      </c>
      <c r="E326" t="s">
        <v>1398</v>
      </c>
      <c r="F326" s="9" t="s">
        <v>51</v>
      </c>
      <c r="G326" s="9" t="s">
        <v>51</v>
      </c>
      <c r="H326" s="9" t="s">
        <v>51</v>
      </c>
      <c r="I326" s="9" t="s">
        <v>51</v>
      </c>
      <c r="J326" s="9" t="s">
        <v>1397</v>
      </c>
      <c r="K326" s="9" t="s">
        <v>51</v>
      </c>
      <c r="L326" s="41" t="s">
        <v>51</v>
      </c>
      <c r="M326" t="s">
        <v>1397</v>
      </c>
      <c r="N326" t="str">
        <f t="shared" si="14"/>
        <v>Exclude</v>
      </c>
      <c r="O326" t="s">
        <v>5658</v>
      </c>
    </row>
    <row r="327" spans="1:15">
      <c r="A327" s="39" t="s">
        <v>4275</v>
      </c>
      <c r="B327" s="11" t="str">
        <f>HYPERLINK('references-it1-studies'!$D78,'references-it1-studies'!$B78)</f>
        <v>End-to-End Framework for Identifying Vulnerabilities of Operational Technology Protocols and Their Implementations in Industrial IoT</v>
      </c>
      <c r="C327">
        <v>2025</v>
      </c>
      <c r="D327">
        <v>20</v>
      </c>
      <c r="E327" t="s">
        <v>1398</v>
      </c>
      <c r="F327" s="10" t="s">
        <v>51</v>
      </c>
      <c r="G327" s="10" t="s">
        <v>51</v>
      </c>
      <c r="H327" s="10" t="s">
        <v>51</v>
      </c>
      <c r="I327" s="10" t="s">
        <v>51</v>
      </c>
      <c r="J327" s="10" t="s">
        <v>51</v>
      </c>
      <c r="K327" s="10" t="s">
        <v>51</v>
      </c>
      <c r="L327" s="40" t="s">
        <v>51</v>
      </c>
      <c r="N327" t="str">
        <f t="shared" si="14"/>
        <v>Include</v>
      </c>
      <c r="O327" t="s">
        <v>5671</v>
      </c>
    </row>
    <row r="328" spans="1:15">
      <c r="A328" s="39" t="s">
        <v>4275</v>
      </c>
      <c r="B328" t="str">
        <f>HYPERLINK('references-it1-studies'!$D119,'references-it1-studies'!$B119)</f>
        <v>Communication and Control of an Assembly, Disassembly and Repair Flexible Manufacturing Technology on a Mechatronics Line Assisted by an Autonomous Robotic System</v>
      </c>
      <c r="C328">
        <v>2022</v>
      </c>
      <c r="D328">
        <v>28</v>
      </c>
      <c r="E328" t="s">
        <v>1398</v>
      </c>
      <c r="F328" s="9" t="s">
        <v>51</v>
      </c>
      <c r="G328" s="9" t="s">
        <v>51</v>
      </c>
      <c r="H328" s="9" t="s">
        <v>51</v>
      </c>
      <c r="I328" s="9" t="s">
        <v>51</v>
      </c>
      <c r="J328" s="9" t="s">
        <v>51</v>
      </c>
      <c r="K328" s="9" t="s">
        <v>51</v>
      </c>
      <c r="L328" s="41" t="s">
        <v>1397</v>
      </c>
      <c r="M328" t="s">
        <v>1397</v>
      </c>
      <c r="N328" t="str">
        <f t="shared" si="14"/>
        <v>Exclude</v>
      </c>
      <c r="O328" t="s">
        <v>5659</v>
      </c>
    </row>
    <row r="329" spans="1:15">
      <c r="A329" s="39" t="s">
        <v>4275</v>
      </c>
      <c r="B329" s="11" t="str">
        <f>HYPERLINK('references-it1-studies'!$D134,'references-it1-studies'!$B134)</f>
        <v>Network Architecture for IEC61850-90-5 Communication: Case Study of Evaluating R-GOOSE over 5G for Communication-Based Protection</v>
      </c>
      <c r="C329">
        <v>2022</v>
      </c>
      <c r="D329">
        <v>36</v>
      </c>
      <c r="E329" t="s">
        <v>1398</v>
      </c>
      <c r="F329" s="10" t="s">
        <v>51</v>
      </c>
      <c r="G329" s="10" t="s">
        <v>51</v>
      </c>
      <c r="H329" s="10" t="s">
        <v>51</v>
      </c>
      <c r="I329" s="10" t="s">
        <v>51</v>
      </c>
      <c r="J329" s="10" t="s">
        <v>51</v>
      </c>
      <c r="K329" s="10" t="s">
        <v>51</v>
      </c>
      <c r="L329" s="40" t="s">
        <v>51</v>
      </c>
      <c r="N329" t="str">
        <f t="shared" si="14"/>
        <v>Include</v>
      </c>
      <c r="O329" t="s">
        <v>5660</v>
      </c>
    </row>
    <row r="330" spans="1:15">
      <c r="A330" s="39" t="s">
        <v>4275</v>
      </c>
      <c r="B330" t="str">
        <f>HYPERLINK('references-it1-studies'!$D139,'references-it1-studies'!$B139)</f>
        <v>When Operation Technology Meets Information Technology: Challenges and Opportunities</v>
      </c>
      <c r="C330">
        <v>2023</v>
      </c>
      <c r="D330">
        <v>16</v>
      </c>
      <c r="E330" t="s">
        <v>1398</v>
      </c>
      <c r="F330" s="9" t="s">
        <v>51</v>
      </c>
      <c r="G330" s="9" t="s">
        <v>51</v>
      </c>
      <c r="H330" s="9" t="s">
        <v>51</v>
      </c>
      <c r="I330" s="9" t="s">
        <v>51</v>
      </c>
      <c r="J330" s="9" t="s">
        <v>1397</v>
      </c>
      <c r="K330" s="9" t="s">
        <v>51</v>
      </c>
      <c r="L330" s="41" t="s">
        <v>51</v>
      </c>
      <c r="M330" t="s">
        <v>1397</v>
      </c>
      <c r="N330" t="str">
        <f t="shared" si="14"/>
        <v>Exclude</v>
      </c>
      <c r="O330" t="s">
        <v>5661</v>
      </c>
    </row>
    <row r="331" spans="1:15">
      <c r="A331" s="39" t="s">
        <v>4275</v>
      </c>
      <c r="B331" t="str">
        <f>HYPERLINK('references-it1-studies'!$D143,'references-it1-studies'!$B143)</f>
        <v>Survey of Cybersecurity Governance, Threats, and Countermeasures for the Power Grid</v>
      </c>
      <c r="C331">
        <v>2022</v>
      </c>
      <c r="D331">
        <v>22</v>
      </c>
      <c r="E331" t="s">
        <v>1398</v>
      </c>
      <c r="F331" s="10" t="s">
        <v>51</v>
      </c>
      <c r="G331" s="10" t="s">
        <v>51</v>
      </c>
      <c r="H331" s="10" t="s">
        <v>51</v>
      </c>
      <c r="I331" s="10" t="s">
        <v>51</v>
      </c>
      <c r="J331" s="10" t="s">
        <v>1397</v>
      </c>
      <c r="K331" s="10" t="s">
        <v>51</v>
      </c>
      <c r="L331" s="40" t="s">
        <v>51</v>
      </c>
      <c r="M331" t="s">
        <v>1397</v>
      </c>
      <c r="N331" t="str">
        <f t="shared" si="14"/>
        <v>Exclude</v>
      </c>
      <c r="O331" t="s">
        <v>5646</v>
      </c>
    </row>
    <row r="332" spans="1:15">
      <c r="A332" s="39" t="s">
        <v>4275</v>
      </c>
      <c r="B332" t="str">
        <f>HYPERLINK('references-it1-studies'!$D153,'references-it1-studies'!$B153)</f>
        <v>An effective intrusion detection scheme for Distributed Network Protocol 3 (DNP3) applied in SCADA-enabled IoT applications</v>
      </c>
      <c r="C332">
        <v>2024</v>
      </c>
      <c r="D332">
        <v>17</v>
      </c>
      <c r="E332" t="s">
        <v>1398</v>
      </c>
      <c r="F332" s="9" t="s">
        <v>51</v>
      </c>
      <c r="G332" s="9" t="s">
        <v>51</v>
      </c>
      <c r="H332" s="9" t="s">
        <v>51</v>
      </c>
      <c r="I332" s="9" t="s">
        <v>51</v>
      </c>
      <c r="J332" s="9" t="s">
        <v>51</v>
      </c>
      <c r="K332" s="9" t="s">
        <v>51</v>
      </c>
      <c r="L332" s="41" t="s">
        <v>1397</v>
      </c>
      <c r="M332" t="s">
        <v>1397</v>
      </c>
      <c r="N332" t="str">
        <f t="shared" si="14"/>
        <v>Exclude</v>
      </c>
      <c r="O332" t="s">
        <v>5662</v>
      </c>
    </row>
    <row r="333" spans="1:15">
      <c r="A333" s="39" t="s">
        <v>4275</v>
      </c>
      <c r="B333" t="str">
        <f>HYPERLINK('references-it1-studies'!$D172,'references-it1-studies'!$B172)</f>
        <v>Performance evaluation of modbus and DNP3 protocols in the communication network of a university campus microgrid</v>
      </c>
      <c r="C333">
        <v>2024</v>
      </c>
      <c r="D333">
        <v>12</v>
      </c>
      <c r="E333" t="s">
        <v>1398</v>
      </c>
      <c r="F333" s="10" t="s">
        <v>51</v>
      </c>
      <c r="G333" s="10" t="s">
        <v>51</v>
      </c>
      <c r="H333" s="10" t="s">
        <v>1397</v>
      </c>
      <c r="I333" s="10" t="s">
        <v>51</v>
      </c>
      <c r="J333" s="10" t="s">
        <v>51</v>
      </c>
      <c r="K333" s="10" t="s">
        <v>51</v>
      </c>
      <c r="L333" s="40" t="s">
        <v>51</v>
      </c>
      <c r="N333" t="str">
        <f t="shared" si="14"/>
        <v>Exclude</v>
      </c>
      <c r="O333" t="s">
        <v>5674</v>
      </c>
    </row>
    <row r="334" spans="1:15">
      <c r="A334" s="39" t="s">
        <v>4275</v>
      </c>
      <c r="B334" s="11" t="str">
        <f>HYPERLINK('references-it1-studies'!$D175,'references-it1-studies'!$B175)</f>
        <v>Development of an Open-Source Testbed Based on the Modbus Protocol for Cybersecurity Analysis of Nuclear Power Plants</v>
      </c>
      <c r="C334">
        <v>2022</v>
      </c>
      <c r="D334">
        <v>31</v>
      </c>
      <c r="E334" t="s">
        <v>1398</v>
      </c>
      <c r="F334" s="9" t="s">
        <v>51</v>
      </c>
      <c r="G334" s="9" t="s">
        <v>51</v>
      </c>
      <c r="H334" s="9" t="s">
        <v>51</v>
      </c>
      <c r="I334" s="9" t="s">
        <v>51</v>
      </c>
      <c r="J334" s="9" t="s">
        <v>51</v>
      </c>
      <c r="K334" s="9" t="s">
        <v>51</v>
      </c>
      <c r="L334" s="41" t="s">
        <v>51</v>
      </c>
      <c r="N334" t="str">
        <f t="shared" si="14"/>
        <v>Include</v>
      </c>
      <c r="O334" t="s">
        <v>5663</v>
      </c>
    </row>
    <row r="335" spans="1:15">
      <c r="A335" s="39" t="s">
        <v>4275</v>
      </c>
      <c r="B335" t="str">
        <f>HYPERLINK('references-it1-studies'!$D194,'references-it1-studies'!$B194)</f>
        <v>Wireless Technologies for Industry 4.0 Applications</v>
      </c>
      <c r="C335">
        <v>2023</v>
      </c>
      <c r="D335">
        <v>13</v>
      </c>
      <c r="E335" t="s">
        <v>1398</v>
      </c>
      <c r="F335" s="10" t="s">
        <v>51</v>
      </c>
      <c r="G335" s="10" t="s">
        <v>51</v>
      </c>
      <c r="H335" s="10" t="s">
        <v>51</v>
      </c>
      <c r="I335" s="10" t="s">
        <v>51</v>
      </c>
      <c r="J335" s="10" t="s">
        <v>1397</v>
      </c>
      <c r="K335" s="10" t="s">
        <v>51</v>
      </c>
      <c r="L335" s="40" t="s">
        <v>51</v>
      </c>
      <c r="M335" t="s">
        <v>1397</v>
      </c>
      <c r="N335" t="str">
        <f t="shared" si="14"/>
        <v>Exclude</v>
      </c>
      <c r="O335" t="s">
        <v>5664</v>
      </c>
    </row>
    <row r="336" spans="1:15">
      <c r="A336" s="39" t="s">
        <v>4275</v>
      </c>
      <c r="B336" t="str">
        <f>HYPERLINK('references-it1-studies'!$D197,'references-it1-studies'!$B197)</f>
        <v>Key Challenges and Emerging Technologies in Industrial IoT Architectures: A Review.</v>
      </c>
      <c r="C336">
        <v>2022</v>
      </c>
      <c r="D336">
        <v>31</v>
      </c>
      <c r="E336" t="s">
        <v>1398</v>
      </c>
      <c r="F336" s="9" t="s">
        <v>51</v>
      </c>
      <c r="G336" s="9" t="s">
        <v>51</v>
      </c>
      <c r="H336" s="9" t="s">
        <v>51</v>
      </c>
      <c r="I336" s="9" t="s">
        <v>51</v>
      </c>
      <c r="J336" s="9" t="s">
        <v>1397</v>
      </c>
      <c r="K336" s="9" t="s">
        <v>51</v>
      </c>
      <c r="L336" s="41" t="s">
        <v>51</v>
      </c>
      <c r="M336" t="s">
        <v>1397</v>
      </c>
      <c r="N336" t="str">
        <f t="shared" si="14"/>
        <v>Exclude</v>
      </c>
      <c r="O336" t="s">
        <v>5638</v>
      </c>
    </row>
    <row r="342" spans="1:2">
      <c r="B342" s="9"/>
    </row>
    <row r="343" spans="1:2">
      <c r="B343" s="10"/>
    </row>
    <row r="344" spans="1:2">
      <c r="B344" s="9"/>
    </row>
    <row r="346" spans="1:2">
      <c r="A346" s="39"/>
    </row>
    <row r="347" spans="1:2">
      <c r="A347" s="39"/>
    </row>
    <row r="348" spans="1:2">
      <c r="A348" s="39"/>
    </row>
    <row r="349" spans="1:2">
      <c r="A349" s="39"/>
    </row>
    <row r="350" spans="1:2">
      <c r="A350" s="39"/>
    </row>
    <row r="351" spans="1:2">
      <c r="A351" s="39"/>
    </row>
    <row r="368" spans="2:2">
      <c r="B368" s="9"/>
    </row>
    <row r="369" spans="2:2">
      <c r="B369" s="10"/>
    </row>
    <row r="370" spans="2:2">
      <c r="B370" s="9"/>
    </row>
    <row r="371" spans="2:2">
      <c r="B371" s="10"/>
    </row>
    <row r="372" spans="2:2">
      <c r="B372" s="9"/>
    </row>
    <row r="373" spans="2:2">
      <c r="B373" s="10"/>
    </row>
    <row r="374" spans="2:2">
      <c r="B374" s="9"/>
    </row>
    <row r="375" spans="2:2">
      <c r="B375" s="10"/>
    </row>
    <row r="376" spans="2:2">
      <c r="B376" s="9"/>
    </row>
    <row r="377" spans="2:2">
      <c r="B377" s="10"/>
    </row>
    <row r="378" spans="2:2">
      <c r="B378" s="9"/>
    </row>
    <row r="379" spans="2:2">
      <c r="B379" s="10"/>
    </row>
    <row r="380" spans="2:2">
      <c r="B380" s="9"/>
    </row>
    <row r="381" spans="2:2">
      <c r="B381" s="10"/>
    </row>
    <row r="382" spans="2:2">
      <c r="B382" s="9"/>
    </row>
    <row r="383" spans="2:2">
      <c r="B383" s="10"/>
    </row>
    <row r="384" spans="2:2">
      <c r="B384" s="9"/>
    </row>
    <row r="385" spans="2:2">
      <c r="B385" s="10"/>
    </row>
    <row r="386" spans="2:2">
      <c r="B386" s="9"/>
    </row>
    <row r="387" spans="2:2">
      <c r="B387" s="10"/>
    </row>
    <row r="388" spans="2:2">
      <c r="B388" s="9"/>
    </row>
    <row r="389" spans="2:2">
      <c r="B389" s="10"/>
    </row>
  </sheetData>
  <conditionalFormatting sqref="B1:B1048576">
    <cfRule type="duplicateValues" dxfId="61" priority="1"/>
  </conditionalFormatting>
  <conditionalFormatting sqref="B368:B1048576 B1:B344">
    <cfRule type="duplicateValues" dxfId="60" priority="2"/>
    <cfRule type="duplicateValues" dxfId="59" priority="3"/>
    <cfRule type="duplicateValues" dxfId="58" priority="4"/>
  </conditionalFormatting>
  <conditionalFormatting sqref="N2:N336">
    <cfRule type="cellIs" dxfId="57" priority="6" operator="equal">
      <formula>"Exclude"</formula>
    </cfRule>
    <cfRule type="cellIs" dxfId="56" priority="7" operator="equal">
      <formula>"Include"</formula>
    </cfRule>
  </conditionalFormatting>
  <dataValidations count="1">
    <dataValidation type="whole" operator="greaterThan" allowBlank="1" showInputMessage="1" showErrorMessage="1" sqref="D346:D351 D408:D1048576 D1:D336" xr:uid="{EE08843E-19D4-4CD4-AB9D-5B927434F18E}">
      <formula1>4</formula1>
    </dataValidation>
  </dataValidation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18F46-F8EB-4805-99A1-690454C1E1CC}">
  <dimension ref="A1:W95"/>
  <sheetViews>
    <sheetView workbookViewId="0">
      <selection activeCell="V23" sqref="V23"/>
    </sheetView>
  </sheetViews>
  <sheetFormatPr defaultRowHeight="12.75"/>
  <cols>
    <col min="2" max="2" width="65" customWidth="1"/>
    <col min="9" max="10" width="8.85546875" customWidth="1"/>
  </cols>
  <sheetData>
    <row r="1" spans="1:19">
      <c r="A1" t="s">
        <v>47</v>
      </c>
      <c r="B1" t="s">
        <v>2</v>
      </c>
      <c r="C1" t="s">
        <v>32</v>
      </c>
      <c r="D1" t="s">
        <v>327</v>
      </c>
      <c r="E1" s="2" t="s">
        <v>1399</v>
      </c>
      <c r="F1" s="2" t="s">
        <v>2244</v>
      </c>
      <c r="G1" s="2" t="s">
        <v>2245</v>
      </c>
      <c r="H1" s="2" t="s">
        <v>2246</v>
      </c>
      <c r="I1" s="2" t="s">
        <v>2247</v>
      </c>
      <c r="J1" s="2" t="s">
        <v>5575</v>
      </c>
      <c r="K1" s="2" t="s">
        <v>3</v>
      </c>
      <c r="L1" s="2" t="s">
        <v>4</v>
      </c>
      <c r="M1" s="2" t="s">
        <v>328</v>
      </c>
      <c r="N1" s="2" t="s">
        <v>329</v>
      </c>
      <c r="O1" s="2" t="s">
        <v>330</v>
      </c>
      <c r="P1" s="2" t="s">
        <v>331</v>
      </c>
      <c r="Q1" s="2" t="s">
        <v>332</v>
      </c>
      <c r="R1" s="2" t="s">
        <v>325</v>
      </c>
      <c r="S1" s="2" t="s">
        <v>6</v>
      </c>
    </row>
    <row r="2" spans="1:19">
      <c r="A2" t="s">
        <v>4274</v>
      </c>
      <c r="B2" s="39" t="str">
        <f>HYPERLINK('citations-it1-studies'!$D25,'citations-it1-studies'!$B25)</f>
        <v>Evaluating Real-Time Ethernet performance indicators for SERCOS III networks</v>
      </c>
      <c r="C2">
        <f>'citations-it1-studies'!$C25</f>
        <v>2021</v>
      </c>
      <c r="D2">
        <f>'citations-it1-studies'!$H25</f>
        <v>7</v>
      </c>
      <c r="E2" t="s">
        <v>1398</v>
      </c>
      <c r="F2" t="s">
        <v>1397</v>
      </c>
      <c r="G2" t="s">
        <v>1397</v>
      </c>
      <c r="H2" t="s">
        <v>1397</v>
      </c>
      <c r="I2" t="s">
        <v>1397</v>
      </c>
      <c r="J2" t="s">
        <v>1397</v>
      </c>
      <c r="N2" t="str">
        <f t="shared" ref="N2:N21" si="0">IF(AND(D2&gt;=1, D2&lt;=4), "X", "")</f>
        <v/>
      </c>
      <c r="R2" t="str">
        <f>IF(AND(OR(COUNTIF(K2:Q2,"X")&gt;0,COUNTIF(F2:J2,"X")&lt;&gt;5),UPPER(TRIM(E2))="O"),"Exclude",IF(UPPER(TRIM(E2))="O","Include",""))</f>
        <v>Include</v>
      </c>
      <c r="S2" t="s">
        <v>4327</v>
      </c>
    </row>
    <row r="3" spans="1:19">
      <c r="A3" t="s">
        <v>4274</v>
      </c>
      <c r="B3" s="39" t="str">
        <f>HYPERLINK('citations-it1-studies'!$D58,'citations-it1-studies'!$B58)</f>
        <v>Characterizing the Real-Time Communication Performance of Virtual PLC in Industrial Edge Platform</v>
      </c>
      <c r="C3">
        <f>'citations-it1-studies'!$C58</f>
        <v>2025</v>
      </c>
      <c r="D3">
        <f>'citations-it1-studies'!$H58</f>
        <v>11</v>
      </c>
      <c r="E3" t="s">
        <v>1398</v>
      </c>
      <c r="F3" t="s">
        <v>1397</v>
      </c>
      <c r="G3" t="s">
        <v>1397</v>
      </c>
      <c r="H3" t="s">
        <v>1397</v>
      </c>
      <c r="I3" t="s">
        <v>1397</v>
      </c>
      <c r="J3" t="s">
        <v>1397</v>
      </c>
      <c r="N3" t="str">
        <f t="shared" si="0"/>
        <v/>
      </c>
      <c r="R3" t="str">
        <f t="shared" ref="R3:R25" si="1">IF(AND(OR(COUNTIF(K3:Q3,"X")&gt;0,COUNTIF(F3:J3,"X")&lt;&gt;5),UPPER(TRIM(E3))="O"),"Exclude",IF(UPPER(TRIM(E3))="O","Include",""))</f>
        <v>Include</v>
      </c>
      <c r="S3" t="s">
        <v>4323</v>
      </c>
    </row>
    <row r="4" spans="1:19">
      <c r="A4" t="s">
        <v>4274</v>
      </c>
      <c r="B4" s="39" t="str">
        <f>HYPERLINK('citations-it1-studies'!$D80,'citations-it1-studies'!$B80)</f>
        <v>Performance Analysis of OPC UA for Industrial Interoperability towards Industry 4.0</v>
      </c>
      <c r="C4">
        <f>'citations-it1-studies'!$C80</f>
        <v>2022</v>
      </c>
      <c r="D4">
        <f>'citations-it1-studies'!$H80</f>
        <v>19</v>
      </c>
      <c r="E4" t="s">
        <v>1398</v>
      </c>
      <c r="F4" t="s">
        <v>1397</v>
      </c>
      <c r="G4" t="s">
        <v>1397</v>
      </c>
      <c r="I4" t="s">
        <v>1397</v>
      </c>
      <c r="J4" t="s">
        <v>1397</v>
      </c>
      <c r="N4" t="str">
        <f t="shared" si="0"/>
        <v/>
      </c>
      <c r="R4" t="str">
        <f t="shared" si="1"/>
        <v>Exclude</v>
      </c>
      <c r="S4" t="s">
        <v>5710</v>
      </c>
    </row>
    <row r="5" spans="1:19">
      <c r="A5" t="s">
        <v>4274</v>
      </c>
      <c r="B5" s="39" t="str">
        <f>HYPERLINK('citations-it1-studies'!$D94,'citations-it1-studies'!$B94)</f>
        <v>Performance evaluation of industrial Ethernet protocols for networked control application</v>
      </c>
      <c r="C5">
        <f>'citations-it1-studies'!$C94</f>
        <v>2019</v>
      </c>
      <c r="D5">
        <f>'citations-it1-studies'!$H94</f>
        <v>10</v>
      </c>
      <c r="E5" t="s">
        <v>1398</v>
      </c>
      <c r="F5" t="s">
        <v>1397</v>
      </c>
      <c r="G5" t="s">
        <v>1397</v>
      </c>
      <c r="I5" t="s">
        <v>1397</v>
      </c>
      <c r="J5" t="s">
        <v>1397</v>
      </c>
      <c r="N5" t="str">
        <f t="shared" si="0"/>
        <v/>
      </c>
      <c r="R5" t="str">
        <f t="shared" si="1"/>
        <v>Exclude</v>
      </c>
      <c r="S5" t="s">
        <v>4328</v>
      </c>
    </row>
    <row r="6" spans="1:19">
      <c r="A6" t="s">
        <v>4274</v>
      </c>
      <c r="B6" s="39" t="str">
        <f>HYPERLINK('citations-it1-studies'!$D178,'citations-it1-studies'!$B178)</f>
        <v>Comparative Evaluation of open62541 OPC UA Servers on Embedded Devices</v>
      </c>
      <c r="C6">
        <f>'citations-it1-studies'!$C178</f>
        <v>2025</v>
      </c>
      <c r="D6">
        <f>'citations-it1-studies'!$H178</f>
        <v>6</v>
      </c>
      <c r="E6" t="s">
        <v>1398</v>
      </c>
      <c r="F6" t="s">
        <v>1397</v>
      </c>
      <c r="G6" t="s">
        <v>1397</v>
      </c>
      <c r="H6" t="s">
        <v>1397</v>
      </c>
      <c r="I6" t="s">
        <v>1397</v>
      </c>
      <c r="J6" t="s">
        <v>1397</v>
      </c>
      <c r="M6" t="s">
        <v>1397</v>
      </c>
      <c r="N6" t="str">
        <f t="shared" si="0"/>
        <v/>
      </c>
      <c r="R6" t="str">
        <f t="shared" si="1"/>
        <v>Exclude</v>
      </c>
      <c r="S6" t="s">
        <v>5690</v>
      </c>
    </row>
    <row r="7" spans="1:19">
      <c r="A7" t="s">
        <v>4274</v>
      </c>
      <c r="B7" s="39" t="str">
        <f>HYPERLINK('citations-it1-studies'!$D183,'citations-it1-studies'!$B183)</f>
        <v>Assessment of OPC UA PubSub at Scale Using TSN Infrastructure and Network Calculus</v>
      </c>
      <c r="C7">
        <f>'citations-it1-studies'!$C183</f>
        <v>2024</v>
      </c>
      <c r="D7">
        <f>'citations-it1-studies'!$H183</f>
        <v>9</v>
      </c>
      <c r="E7" t="s">
        <v>1398</v>
      </c>
      <c r="F7" t="s">
        <v>1397</v>
      </c>
      <c r="G7" t="s">
        <v>1397</v>
      </c>
      <c r="H7" t="s">
        <v>1397</v>
      </c>
      <c r="I7" t="s">
        <v>1397</v>
      </c>
      <c r="J7" t="s">
        <v>1397</v>
      </c>
      <c r="N7" t="str">
        <f t="shared" si="0"/>
        <v/>
      </c>
      <c r="Q7" t="s">
        <v>1397</v>
      </c>
      <c r="R7" t="str">
        <f t="shared" si="1"/>
        <v>Exclude</v>
      </c>
      <c r="S7" t="s">
        <v>5689</v>
      </c>
    </row>
    <row r="8" spans="1:19">
      <c r="A8" t="s">
        <v>4275</v>
      </c>
      <c r="B8" s="39" t="str">
        <f>HYPERLINK('references-it1-studies'!$D14,'references-it1-studies'!$B14)</f>
        <v>GNS3 Communication Network Emulation for Substation GOOSE Based Protection Schemes</v>
      </c>
      <c r="C8">
        <f>'references-it1-studies'!$C14</f>
        <v>2022</v>
      </c>
      <c r="D8">
        <f>'references-it1-studies'!$H14</f>
        <v>0</v>
      </c>
      <c r="E8" t="s">
        <v>1398</v>
      </c>
      <c r="F8" t="s">
        <v>1397</v>
      </c>
      <c r="G8" t="s">
        <v>1397</v>
      </c>
      <c r="H8" t="s">
        <v>1397</v>
      </c>
      <c r="I8" t="s">
        <v>1397</v>
      </c>
      <c r="J8" t="s">
        <v>1397</v>
      </c>
      <c r="N8" t="str">
        <f t="shared" si="0"/>
        <v/>
      </c>
      <c r="Q8" t="s">
        <v>1397</v>
      </c>
      <c r="R8" t="str">
        <f t="shared" si="1"/>
        <v>Exclude</v>
      </c>
      <c r="S8" t="s">
        <v>4324</v>
      </c>
    </row>
    <row r="9" spans="1:19">
      <c r="A9" t="s">
        <v>4275</v>
      </c>
      <c r="B9" s="39" t="str">
        <f>HYPERLINK('references-it1-studies'!$D24,'references-it1-studies'!$B24)</f>
        <v>Simulation and Analysis of Cyber-Attack on Modbus Protocol for Smart Grids in Virtual Environment</v>
      </c>
      <c r="C9">
        <f>'references-it1-studies'!$C24</f>
        <v>2023</v>
      </c>
      <c r="D9">
        <f>'references-it1-studies'!$H24</f>
        <v>0</v>
      </c>
      <c r="E9" t="s">
        <v>1398</v>
      </c>
      <c r="F9" t="s">
        <v>1397</v>
      </c>
      <c r="G9" t="s">
        <v>1397</v>
      </c>
      <c r="H9" t="s">
        <v>1397</v>
      </c>
      <c r="I9" t="s">
        <v>1397</v>
      </c>
      <c r="N9" t="str">
        <f t="shared" si="0"/>
        <v/>
      </c>
      <c r="R9" t="str">
        <f t="shared" si="1"/>
        <v>Exclude</v>
      </c>
      <c r="S9" t="s">
        <v>5573</v>
      </c>
    </row>
    <row r="10" spans="1:19">
      <c r="A10" t="s">
        <v>4275</v>
      </c>
      <c r="B10" s="39" t="str">
        <f>HYPERLINK('references-it1-studies'!$D27,'references-it1-studies'!$B27)</f>
        <v>MetroInd4.0&amp;amp;IoT - Performance Comparison Between OPC UA and MQTT for Data Exchange</v>
      </c>
      <c r="C10">
        <f>'references-it1-studies'!$C27</f>
        <v>2018</v>
      </c>
      <c r="D10">
        <f>'references-it1-studies'!$H27</f>
        <v>5</v>
      </c>
      <c r="E10" t="s">
        <v>1398</v>
      </c>
      <c r="F10" t="s">
        <v>1397</v>
      </c>
      <c r="G10" t="s">
        <v>1397</v>
      </c>
      <c r="H10" t="s">
        <v>1397</v>
      </c>
      <c r="I10" t="s">
        <v>1397</v>
      </c>
      <c r="J10" t="s">
        <v>1397</v>
      </c>
      <c r="N10" t="str">
        <f t="shared" si="0"/>
        <v/>
      </c>
      <c r="R10" t="str">
        <f t="shared" si="1"/>
        <v>Include</v>
      </c>
      <c r="S10" t="s">
        <v>4332</v>
      </c>
    </row>
    <row r="11" spans="1:19">
      <c r="A11" t="s">
        <v>4275</v>
      </c>
      <c r="B11" s="39" t="str">
        <f>HYPERLINK('references-it1-studies'!$D29,'references-it1-studies'!$B29)</f>
        <v>Practical Implementation of an OPC UA TSN Communication Architecture for a Manufacturing System</v>
      </c>
      <c r="C11">
        <f>'references-it1-studies'!$C29</f>
        <v>2020</v>
      </c>
      <c r="D11">
        <f>'references-it1-studies'!$H29</f>
        <v>12</v>
      </c>
      <c r="E11" t="s">
        <v>1398</v>
      </c>
      <c r="F11" t="s">
        <v>1397</v>
      </c>
      <c r="G11" t="s">
        <v>1397</v>
      </c>
      <c r="H11" t="s">
        <v>1397</v>
      </c>
      <c r="I11" t="s">
        <v>1397</v>
      </c>
      <c r="J11" t="s">
        <v>1397</v>
      </c>
      <c r="N11" t="str">
        <f t="shared" si="0"/>
        <v/>
      </c>
      <c r="Q11" t="s">
        <v>1397</v>
      </c>
      <c r="R11" t="str">
        <f t="shared" si="1"/>
        <v>Exclude</v>
      </c>
      <c r="S11" t="s">
        <v>5685</v>
      </c>
    </row>
    <row r="12" spans="1:19">
      <c r="A12" t="s">
        <v>4275</v>
      </c>
      <c r="B12" s="39" t="str">
        <f>HYPERLINK('references-it1-studies'!$D33,'references-it1-studies'!$B33)</f>
        <v>Performance of the XMPP and the MQTT Protocols on IEC 61850-Based Micro Grid Communication Architecture</v>
      </c>
      <c r="C12">
        <f>'references-it1-studies'!$C33</f>
        <v>2021</v>
      </c>
      <c r="D12">
        <f>'references-it1-studies'!$H33</f>
        <v>0</v>
      </c>
      <c r="E12" t="s">
        <v>1398</v>
      </c>
      <c r="F12" t="s">
        <v>1397</v>
      </c>
      <c r="G12" t="s">
        <v>1397</v>
      </c>
      <c r="H12" t="s">
        <v>1397</v>
      </c>
      <c r="I12" t="s">
        <v>1397</v>
      </c>
      <c r="J12" t="s">
        <v>1397</v>
      </c>
      <c r="N12" t="str">
        <f t="shared" si="0"/>
        <v/>
      </c>
      <c r="Q12" t="s">
        <v>1397</v>
      </c>
      <c r="R12" t="str">
        <f t="shared" si="1"/>
        <v>Exclude</v>
      </c>
      <c r="S12" t="s">
        <v>5687</v>
      </c>
    </row>
    <row r="13" spans="1:19">
      <c r="A13" t="s">
        <v>4275</v>
      </c>
      <c r="B13" s="39" t="str">
        <f>HYPERLINK('references-it1-studies'!$D55,'references-it1-studies'!$B55)</f>
        <v>ICPE - Bottleneck Identification and Performance Modeling of OPC UA Communication Models</v>
      </c>
      <c r="C13">
        <f>'references-it1-studies'!$C55</f>
        <v>2019</v>
      </c>
      <c r="D13">
        <f>'references-it1-studies'!$H55</f>
        <v>12</v>
      </c>
      <c r="E13" t="s">
        <v>1398</v>
      </c>
      <c r="F13" t="s">
        <v>1397</v>
      </c>
      <c r="G13" t="s">
        <v>1397</v>
      </c>
      <c r="H13" t="s">
        <v>1397</v>
      </c>
      <c r="I13" t="s">
        <v>1397</v>
      </c>
      <c r="J13" t="s">
        <v>1397</v>
      </c>
      <c r="N13" t="str">
        <f t="shared" si="0"/>
        <v/>
      </c>
      <c r="R13" t="str">
        <f t="shared" si="1"/>
        <v>Include</v>
      </c>
      <c r="S13" t="s">
        <v>4322</v>
      </c>
    </row>
    <row r="14" spans="1:19">
      <c r="A14" t="s">
        <v>4275</v>
      </c>
      <c r="B14" s="39" t="str">
        <f>HYPERLINK('references-it1-studies'!$D62,'references-it1-studies'!$B62)</f>
        <v>Vulnerability and Impact Analysis of the IEC 61850 GOOSE Protocol in the Smart Grid.</v>
      </c>
      <c r="C14">
        <f>'references-it1-studies'!$C62</f>
        <v>2021</v>
      </c>
      <c r="D14">
        <f>'references-it1-studies'!$H62</f>
        <v>0</v>
      </c>
      <c r="E14" t="s">
        <v>1398</v>
      </c>
      <c r="F14" t="s">
        <v>1397</v>
      </c>
      <c r="G14" t="s">
        <v>1397</v>
      </c>
      <c r="H14" t="s">
        <v>1397</v>
      </c>
      <c r="I14" t="s">
        <v>1397</v>
      </c>
      <c r="J14" t="s">
        <v>1397</v>
      </c>
      <c r="N14" t="str">
        <f t="shared" si="0"/>
        <v/>
      </c>
      <c r="Q14" t="s">
        <v>1397</v>
      </c>
      <c r="R14" t="str">
        <f t="shared" si="1"/>
        <v>Exclude</v>
      </c>
      <c r="S14" t="s">
        <v>5701</v>
      </c>
    </row>
    <row r="15" spans="1:19">
      <c r="A15" t="s">
        <v>4275</v>
      </c>
      <c r="B15" s="39" t="str">
        <f>HYPERLINK('references-it1-studies'!$D69,'references-it1-studies'!$B69)</f>
        <v>Comparative analysis of the security of configuration protocols for industrial control devices</v>
      </c>
      <c r="C15">
        <f>'references-it1-studies'!$C69</f>
        <v>2017</v>
      </c>
      <c r="D15">
        <f>'references-it1-studies'!$H69</f>
        <v>12</v>
      </c>
      <c r="E15" t="s">
        <v>1398</v>
      </c>
      <c r="F15" t="s">
        <v>1397</v>
      </c>
      <c r="H15" t="s">
        <v>1397</v>
      </c>
      <c r="I15" t="s">
        <v>1397</v>
      </c>
      <c r="J15" t="s">
        <v>1397</v>
      </c>
      <c r="N15" t="str">
        <f t="shared" si="0"/>
        <v/>
      </c>
      <c r="R15" t="str">
        <f t="shared" si="1"/>
        <v>Exclude</v>
      </c>
      <c r="S15" t="s">
        <v>4329</v>
      </c>
    </row>
    <row r="16" spans="1:19">
      <c r="A16" t="s">
        <v>4275</v>
      </c>
      <c r="B16" s="39" t="str">
        <f>HYPERLINK('references-it1-studies'!$D70,'references-it1-studies'!$B70)</f>
        <v>Experimental Characterization of Asynchronous Notification Latency for Subscriptions in OPC UA</v>
      </c>
      <c r="C16">
        <f>'references-it1-studies'!$C70</f>
        <v>2021</v>
      </c>
      <c r="D16">
        <f>'references-it1-studies'!$H70</f>
        <v>8</v>
      </c>
      <c r="E16" t="s">
        <v>1398</v>
      </c>
      <c r="F16" t="s">
        <v>1397</v>
      </c>
      <c r="G16" t="s">
        <v>1397</v>
      </c>
      <c r="I16" t="s">
        <v>1397</v>
      </c>
      <c r="J16" t="s">
        <v>1397</v>
      </c>
      <c r="N16" t="str">
        <f t="shared" si="0"/>
        <v/>
      </c>
      <c r="R16" t="str">
        <f t="shared" si="1"/>
        <v>Exclude</v>
      </c>
      <c r="S16" t="s">
        <v>4330</v>
      </c>
    </row>
    <row r="17" spans="1:23">
      <c r="A17" t="s">
        <v>4275</v>
      </c>
      <c r="B17" s="39" t="str">
        <f>HYPERLINK('references-it1-studies'!$D71,'references-it1-studies'!$B71)</f>
        <v>Assessment of Different OPC UA Implementations for Industrial IoT-Based Measurement Applications</v>
      </c>
      <c r="C17">
        <f>'references-it1-studies'!$C71</f>
        <v>2021</v>
      </c>
      <c r="D17">
        <f>'references-it1-studies'!$H71</f>
        <v>11</v>
      </c>
      <c r="E17" t="s">
        <v>1398</v>
      </c>
      <c r="F17" t="s">
        <v>1397</v>
      </c>
      <c r="G17" t="s">
        <v>1397</v>
      </c>
      <c r="H17" t="s">
        <v>1397</v>
      </c>
      <c r="I17" t="s">
        <v>1397</v>
      </c>
      <c r="J17" t="s">
        <v>1397</v>
      </c>
      <c r="N17" t="str">
        <f t="shared" si="0"/>
        <v/>
      </c>
      <c r="Q17" t="s">
        <v>1397</v>
      </c>
      <c r="R17" t="str">
        <f t="shared" si="1"/>
        <v>Exclude</v>
      </c>
      <c r="S17" t="s">
        <v>5688</v>
      </c>
    </row>
    <row r="18" spans="1:23">
      <c r="A18" t="s">
        <v>4275</v>
      </c>
      <c r="B18" s="39" t="str">
        <f>HYPERLINK('references-it1-studies'!$D72,'references-it1-studies'!$B72)</f>
        <v>ICIT - OPC UA versus ROS, DDS, and MQTT: Performance Evaluation of Industry 4.0 Protocols</v>
      </c>
      <c r="C18">
        <f>'references-it1-studies'!$C72</f>
        <v>2019</v>
      </c>
      <c r="D18">
        <f>'references-it1-studies'!$H72</f>
        <v>8</v>
      </c>
      <c r="E18" t="s">
        <v>1398</v>
      </c>
      <c r="F18" t="s">
        <v>1397</v>
      </c>
      <c r="G18" t="s">
        <v>1397</v>
      </c>
      <c r="H18" t="s">
        <v>1397</v>
      </c>
      <c r="I18" t="s">
        <v>1397</v>
      </c>
      <c r="J18" t="s">
        <v>1397</v>
      </c>
      <c r="N18" t="str">
        <f t="shared" si="0"/>
        <v/>
      </c>
      <c r="R18" t="str">
        <f t="shared" si="1"/>
        <v>Include</v>
      </c>
      <c r="S18" t="s">
        <v>4326</v>
      </c>
    </row>
    <row r="19" spans="1:23">
      <c r="A19" t="s">
        <v>4275</v>
      </c>
      <c r="B19" s="39" t="str">
        <f>HYPERLINK('references-it1-studies'!$D113,'references-it1-studies'!$B113)</f>
        <v>Real-Time Hardware-in-the-Loop Testing of IEC 61850 GOOSE-Based Logically Selective Adaptive Protection of AC Microgrid</v>
      </c>
      <c r="C19">
        <f>'references-it1-studies'!$C113</f>
        <v>2021</v>
      </c>
      <c r="D19">
        <f>'references-it1-studies'!$H113</f>
        <v>28</v>
      </c>
      <c r="E19" t="s">
        <v>1398</v>
      </c>
      <c r="F19" t="s">
        <v>1397</v>
      </c>
      <c r="G19" t="s">
        <v>1397</v>
      </c>
      <c r="H19" t="s">
        <v>1397</v>
      </c>
      <c r="I19" t="s">
        <v>1397</v>
      </c>
      <c r="J19" t="s">
        <v>1397</v>
      </c>
      <c r="N19" t="str">
        <f t="shared" si="0"/>
        <v/>
      </c>
      <c r="Q19" t="s">
        <v>1397</v>
      </c>
      <c r="R19" t="str">
        <f t="shared" si="1"/>
        <v>Exclude</v>
      </c>
      <c r="S19" t="s">
        <v>4325</v>
      </c>
    </row>
    <row r="20" spans="1:23">
      <c r="A20" t="s">
        <v>4275</v>
      </c>
      <c r="B20" s="39" t="str">
        <f>HYPERLINK('references-it1-studies'!$D124,'references-it1-studies'!$B124)</f>
        <v>I2MTC - Assessment of Different OPC UA Industrial IoT solutions for Distributed Measurement Applications</v>
      </c>
      <c r="C20">
        <f>'references-it1-studies'!$C124</f>
        <v>2020</v>
      </c>
      <c r="D20">
        <f>'references-it1-studies'!$H124</f>
        <v>6</v>
      </c>
      <c r="E20" t="s">
        <v>1398</v>
      </c>
      <c r="F20" t="s">
        <v>1397</v>
      </c>
      <c r="G20" t="s">
        <v>1397</v>
      </c>
      <c r="H20" t="s">
        <v>1397</v>
      </c>
      <c r="I20" t="s">
        <v>1397</v>
      </c>
      <c r="J20" t="s">
        <v>1397</v>
      </c>
      <c r="N20" t="str">
        <f t="shared" si="0"/>
        <v/>
      </c>
      <c r="Q20" t="s">
        <v>1397</v>
      </c>
      <c r="R20" t="str">
        <f t="shared" si="1"/>
        <v>Exclude</v>
      </c>
      <c r="S20" t="s">
        <v>5698</v>
      </c>
      <c r="U20" s="2" t="s">
        <v>5626</v>
      </c>
      <c r="V20" t="s">
        <v>1406</v>
      </c>
      <c r="W20" t="s">
        <v>1407</v>
      </c>
    </row>
    <row r="21" spans="1:23">
      <c r="A21" t="s">
        <v>4275</v>
      </c>
      <c r="B21" s="39" t="str">
        <f>HYPERLINK('references-it1-studies'!$D166,'references-it1-studies'!$B166)</f>
        <v>On the performance of OPC UA and MQTT for data exchange between industrial plants and cloud servers</v>
      </c>
      <c r="C21">
        <f>'references-it1-studies'!$C166</f>
        <v>2019</v>
      </c>
      <c r="D21">
        <f>'references-it1-studies'!$H166</f>
        <v>0</v>
      </c>
      <c r="E21" t="s">
        <v>1398</v>
      </c>
      <c r="F21" t="s">
        <v>1397</v>
      </c>
      <c r="G21" t="s">
        <v>1397</v>
      </c>
      <c r="I21" t="s">
        <v>1397</v>
      </c>
      <c r="J21" t="s">
        <v>1397</v>
      </c>
      <c r="N21" t="str">
        <f t="shared" si="0"/>
        <v/>
      </c>
      <c r="R21" t="str">
        <f t="shared" si="1"/>
        <v>Exclude</v>
      </c>
      <c r="S21" t="s">
        <v>4331</v>
      </c>
      <c r="U21" t="s">
        <v>1403</v>
      </c>
      <c r="V21" s="1">
        <f>COUNTIF(A2:A1997,"&lt;&gt;")</f>
        <v>24</v>
      </c>
    </row>
    <row r="22" spans="1:23">
      <c r="A22" s="39" t="s">
        <v>4274</v>
      </c>
      <c r="B22" s="11" t="str">
        <f>HYPERLINK('citations-it1-studies'!$D206,'citations-it1-studies'!$B206)</f>
        <v>A flexible OT testbed for evaluating on-device implementations of IEC-61850 GOOSE</v>
      </c>
      <c r="C22">
        <v>2023</v>
      </c>
      <c r="D22">
        <v>1</v>
      </c>
      <c r="E22" t="s">
        <v>1398</v>
      </c>
      <c r="F22" t="s">
        <v>1397</v>
      </c>
      <c r="G22" t="s">
        <v>1397</v>
      </c>
      <c r="H22" t="s">
        <v>1397</v>
      </c>
      <c r="I22" t="s">
        <v>1397</v>
      </c>
      <c r="J22" t="s">
        <v>1397</v>
      </c>
      <c r="Q22" t="s">
        <v>1397</v>
      </c>
      <c r="R22" t="str">
        <f t="shared" si="1"/>
        <v>Exclude</v>
      </c>
      <c r="S22" t="s">
        <v>5711</v>
      </c>
      <c r="U22" t="s">
        <v>1404</v>
      </c>
      <c r="V22">
        <f>COUNTIF(R2:R1997,"Exclude")</f>
        <v>18</v>
      </c>
      <c r="W22" s="15">
        <f>((V22/V21))</f>
        <v>0.75</v>
      </c>
    </row>
    <row r="23" spans="1:23">
      <c r="A23" s="39" t="s">
        <v>4275</v>
      </c>
      <c r="B23" s="11" t="str">
        <f>HYPERLINK('references-it1-studies'!$D78,'references-it1-studies'!$B78)</f>
        <v>End-to-End Framework for Identifying Vulnerabilities of Operational Technology Protocols and Their Implementations in Industrial IoT</v>
      </c>
      <c r="C23">
        <v>2025</v>
      </c>
      <c r="D23">
        <v>1</v>
      </c>
      <c r="E23" t="s">
        <v>1398</v>
      </c>
      <c r="F23" t="s">
        <v>1397</v>
      </c>
      <c r="G23" t="s">
        <v>1397</v>
      </c>
      <c r="H23" t="s">
        <v>1397</v>
      </c>
      <c r="I23" t="s">
        <v>1397</v>
      </c>
      <c r="J23" t="s">
        <v>1397</v>
      </c>
      <c r="R23" t="str">
        <f t="shared" si="1"/>
        <v>Include</v>
      </c>
      <c r="S23" s="50" t="s">
        <v>5677</v>
      </c>
      <c r="U23" t="s">
        <v>1405</v>
      </c>
      <c r="V23">
        <f>COUNTIF(R2:R1997,"Include")</f>
        <v>6</v>
      </c>
      <c r="W23" s="15">
        <f>((V23/V21))</f>
        <v>0.25</v>
      </c>
    </row>
    <row r="24" spans="1:23">
      <c r="A24" s="39" t="s">
        <v>4275</v>
      </c>
      <c r="B24" s="11" t="str">
        <f>HYPERLINK('references-it1-studies'!$D134,'references-it1-studies'!$B134)</f>
        <v>Network Architecture for IEC61850-90-5 Communication: Case Study of Evaluating R-GOOSE over 5G for Communication-Based Protection</v>
      </c>
      <c r="C24">
        <v>2022</v>
      </c>
      <c r="D24">
        <v>1</v>
      </c>
      <c r="E24" t="s">
        <v>1398</v>
      </c>
      <c r="F24" t="s">
        <v>1397</v>
      </c>
      <c r="G24" t="s">
        <v>1397</v>
      </c>
      <c r="H24" t="s">
        <v>1397</v>
      </c>
      <c r="I24" t="s">
        <v>1397</v>
      </c>
      <c r="J24" t="s">
        <v>1397</v>
      </c>
      <c r="Q24" t="s">
        <v>1397</v>
      </c>
      <c r="R24" t="str">
        <f t="shared" si="1"/>
        <v>Exclude</v>
      </c>
      <c r="S24" t="s">
        <v>5676</v>
      </c>
      <c r="U24" s="2" t="s">
        <v>1408</v>
      </c>
    </row>
    <row r="25" spans="1:23">
      <c r="A25" s="39" t="s">
        <v>4275</v>
      </c>
      <c r="B25" s="11" t="str">
        <f>HYPERLINK('references-it1-studies'!$D175,'references-it1-studies'!$B175)</f>
        <v>Development of an Open-Source Testbed Based on the Modbus Protocol for Cybersecurity Analysis of Nuclear Power Plants</v>
      </c>
      <c r="C25">
        <v>2022</v>
      </c>
      <c r="D25">
        <v>1</v>
      </c>
      <c r="E25" t="s">
        <v>1398</v>
      </c>
      <c r="F25" t="s">
        <v>1397</v>
      </c>
      <c r="G25" t="s">
        <v>1397</v>
      </c>
      <c r="H25" t="s">
        <v>1397</v>
      </c>
      <c r="I25" t="s">
        <v>1397</v>
      </c>
      <c r="J25" t="s">
        <v>1397</v>
      </c>
      <c r="Q25" t="s">
        <v>1397</v>
      </c>
      <c r="R25" t="str">
        <f t="shared" si="1"/>
        <v>Exclude</v>
      </c>
      <c r="S25" t="s">
        <v>5675</v>
      </c>
      <c r="U25" t="s">
        <v>3</v>
      </c>
      <c r="V25">
        <f>COUNTIF(K$2:K$1997,"X")</f>
        <v>0</v>
      </c>
      <c r="W25" s="15">
        <f t="shared" ref="W25:W36" si="2">((V25/V$21))</f>
        <v>0</v>
      </c>
    </row>
    <row r="26" spans="1:23">
      <c r="U26" t="s">
        <v>4</v>
      </c>
      <c r="V26">
        <f>COUNTIF(L$2:L$1997,"X")</f>
        <v>0</v>
      </c>
      <c r="W26" s="15">
        <f t="shared" si="2"/>
        <v>0</v>
      </c>
    </row>
    <row r="27" spans="1:23">
      <c r="U27" t="s">
        <v>328</v>
      </c>
      <c r="V27">
        <f>COUNTIF(M$2:M$1997,"X")</f>
        <v>1</v>
      </c>
      <c r="W27" s="15">
        <f t="shared" si="2"/>
        <v>4.1666666666666664E-2</v>
      </c>
    </row>
    <row r="28" spans="1:23">
      <c r="U28" t="s">
        <v>329</v>
      </c>
      <c r="V28">
        <f>COUNTIF(N$2:N$1997,"X")</f>
        <v>0</v>
      </c>
      <c r="W28" s="15">
        <f t="shared" si="2"/>
        <v>0</v>
      </c>
    </row>
    <row r="29" spans="1:23">
      <c r="U29" t="s">
        <v>330</v>
      </c>
      <c r="V29">
        <f>COUNTIF(O$2:O$1997,"X")</f>
        <v>0</v>
      </c>
      <c r="W29" s="15">
        <f t="shared" si="2"/>
        <v>0</v>
      </c>
    </row>
    <row r="30" spans="1:23">
      <c r="U30" t="s">
        <v>331</v>
      </c>
      <c r="V30">
        <f>COUNTIF(P$2:P$1997,"X")</f>
        <v>0</v>
      </c>
      <c r="W30" s="15">
        <f t="shared" si="2"/>
        <v>0</v>
      </c>
    </row>
    <row r="31" spans="1:23">
      <c r="U31" t="s">
        <v>332</v>
      </c>
      <c r="V31">
        <f>COUNTIF(Q$2:Q$1997,"X")</f>
        <v>11</v>
      </c>
      <c r="W31" s="15">
        <f t="shared" si="2"/>
        <v>0.45833333333333331</v>
      </c>
    </row>
    <row r="32" spans="1:23">
      <c r="A32" s="39"/>
      <c r="U32" t="s">
        <v>2244</v>
      </c>
      <c r="V32">
        <f>COUNTIFS(E2:E1997,"O",F$2:F$1997,"&lt;&gt;X")</f>
        <v>0</v>
      </c>
      <c r="W32" s="15">
        <f t="shared" si="2"/>
        <v>0</v>
      </c>
    </row>
    <row r="33" spans="1:23">
      <c r="A33" s="39"/>
      <c r="U33" t="s">
        <v>2245</v>
      </c>
      <c r="V33">
        <f>COUNTIFS(E2:E1997,"O",G$2:G$1997,"&lt;&gt;X")</f>
        <v>1</v>
      </c>
      <c r="W33" s="15">
        <f t="shared" si="2"/>
        <v>4.1666666666666664E-2</v>
      </c>
    </row>
    <row r="34" spans="1:23">
      <c r="A34" s="39"/>
      <c r="U34" t="s">
        <v>2246</v>
      </c>
      <c r="V34">
        <f>COUNTIFS(E2:E1997,"O",H$2:H$1997,"&lt;&gt;X")</f>
        <v>4</v>
      </c>
      <c r="W34" s="15">
        <f t="shared" si="2"/>
        <v>0.16666666666666666</v>
      </c>
    </row>
    <row r="35" spans="1:23">
      <c r="A35" s="39"/>
      <c r="U35" t="s">
        <v>2247</v>
      </c>
      <c r="V35">
        <f>COUNTIFS(E2:E1997,"O",I$2:I$1997,"&lt;&gt;X")</f>
        <v>0</v>
      </c>
      <c r="W35" s="15">
        <f t="shared" si="2"/>
        <v>0</v>
      </c>
    </row>
    <row r="36" spans="1:23">
      <c r="A36" s="39"/>
      <c r="U36" t="s">
        <v>5575</v>
      </c>
      <c r="V36">
        <f>COUNTIFS(E2:E1997,"O",J$2:J$1997,"&lt;&gt;X")</f>
        <v>1</v>
      </c>
      <c r="W36" s="15">
        <f t="shared" si="2"/>
        <v>4.1666666666666664E-2</v>
      </c>
    </row>
    <row r="37" spans="1:23">
      <c r="A37" s="39"/>
    </row>
    <row r="38" spans="1:23">
      <c r="A38" s="39"/>
    </row>
    <row r="39" spans="1:23">
      <c r="A39" s="39"/>
    </row>
    <row r="40" spans="1:23">
      <c r="A40" s="39"/>
    </row>
    <row r="41" spans="1:23">
      <c r="A41" s="39"/>
    </row>
    <row r="42" spans="1:23">
      <c r="A42" s="39"/>
    </row>
    <row r="43" spans="1:23">
      <c r="A43" s="39"/>
    </row>
    <row r="44" spans="1:23">
      <c r="A44" s="39"/>
    </row>
    <row r="45" spans="1:23">
      <c r="A45" s="39"/>
    </row>
    <row r="46" spans="1:23">
      <c r="A46" s="39"/>
    </row>
    <row r="47" spans="1:23">
      <c r="A47" s="39"/>
    </row>
    <row r="48" spans="1:23">
      <c r="A48" s="39"/>
    </row>
    <row r="49" spans="1:1">
      <c r="A49" s="39"/>
    </row>
    <row r="50" spans="1:1">
      <c r="A50" s="39"/>
    </row>
    <row r="51" spans="1:1">
      <c r="A51" s="39"/>
    </row>
    <row r="52" spans="1:1">
      <c r="A52" s="39"/>
    </row>
    <row r="53" spans="1:1">
      <c r="A53" s="39"/>
    </row>
    <row r="54" spans="1:1">
      <c r="A54" s="39"/>
    </row>
    <row r="55" spans="1:1">
      <c r="A55" s="39"/>
    </row>
    <row r="56" spans="1:1">
      <c r="A56" s="39"/>
    </row>
    <row r="57" spans="1:1">
      <c r="A57" s="39"/>
    </row>
    <row r="58" spans="1:1">
      <c r="A58" s="39"/>
    </row>
    <row r="59" spans="1:1">
      <c r="A59" s="39"/>
    </row>
    <row r="60" spans="1:1">
      <c r="A60" s="39"/>
    </row>
    <row r="61" spans="1:1">
      <c r="A61" s="39"/>
    </row>
    <row r="62" spans="1:1">
      <c r="A62" s="39"/>
    </row>
    <row r="63" spans="1:1">
      <c r="A63" s="39"/>
    </row>
    <row r="64" spans="1:1">
      <c r="A64" s="39"/>
    </row>
    <row r="65" spans="1:1">
      <c r="A65" s="39"/>
    </row>
    <row r="66" spans="1:1">
      <c r="A66" s="39"/>
    </row>
    <row r="67" spans="1:1">
      <c r="A67" s="39"/>
    </row>
    <row r="68" spans="1:1">
      <c r="A68" s="39"/>
    </row>
    <row r="69" spans="1:1">
      <c r="A69" s="39"/>
    </row>
    <row r="70" spans="1:1">
      <c r="A70" s="39"/>
    </row>
    <row r="71" spans="1:1">
      <c r="A71" s="39"/>
    </row>
    <row r="72" spans="1:1">
      <c r="A72" s="39"/>
    </row>
    <row r="73" spans="1:1">
      <c r="A73" s="39"/>
    </row>
    <row r="74" spans="1:1">
      <c r="A74" s="39"/>
    </row>
    <row r="75" spans="1:1">
      <c r="A75" s="39"/>
    </row>
    <row r="76" spans="1:1">
      <c r="A76" s="39"/>
    </row>
    <row r="77" spans="1:1">
      <c r="A77" s="39"/>
    </row>
    <row r="78" spans="1:1">
      <c r="A78" s="39"/>
    </row>
    <row r="79" spans="1:1">
      <c r="A79" s="39"/>
    </row>
    <row r="80" spans="1:1">
      <c r="A80" s="39"/>
    </row>
    <row r="81" spans="1:1">
      <c r="A81" s="39"/>
    </row>
    <row r="82" spans="1:1">
      <c r="A82" s="39"/>
    </row>
    <row r="83" spans="1:1">
      <c r="A83" s="39"/>
    </row>
    <row r="84" spans="1:1">
      <c r="A84" s="39"/>
    </row>
    <row r="85" spans="1:1">
      <c r="A85" s="39"/>
    </row>
    <row r="86" spans="1:1">
      <c r="A86" s="39"/>
    </row>
    <row r="87" spans="1:1">
      <c r="A87" s="39"/>
    </row>
    <row r="88" spans="1:1">
      <c r="A88" s="39"/>
    </row>
    <row r="89" spans="1:1">
      <c r="A89" s="39"/>
    </row>
    <row r="90" spans="1:1">
      <c r="A90" s="39"/>
    </row>
    <row r="91" spans="1:1">
      <c r="A91" s="39"/>
    </row>
    <row r="92" spans="1:1">
      <c r="A92" s="39"/>
    </row>
    <row r="93" spans="1:1">
      <c r="A93" s="39"/>
    </row>
    <row r="94" spans="1:1">
      <c r="A94" s="39"/>
    </row>
    <row r="95" spans="1:1">
      <c r="A95" s="39"/>
    </row>
  </sheetData>
  <conditionalFormatting sqref="E2:E24">
    <cfRule type="cellIs" dxfId="55" priority="2141" operator="equal">
      <formula>$E$151</formula>
    </cfRule>
  </conditionalFormatting>
  <conditionalFormatting sqref="R2:R25 S9 S13 S19 S22 S24:S25">
    <cfRule type="cellIs" dxfId="54" priority="4" operator="equal">
      <formula>"Exclude"</formula>
    </cfRule>
    <cfRule type="cellIs" dxfId="53" priority="5" operator="equal">
      <formula>"Include"</formula>
    </cfRule>
  </conditionalFormatting>
  <dataValidations count="1">
    <dataValidation type="whole" operator="greaterThan" allowBlank="1" showInputMessage="1" showErrorMessage="1" sqref="D28:D1048576 D1:D25" xr:uid="{76983B25-CA16-45B0-8345-FA998ADC9A0B}">
      <formula1>4</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1C659-8B53-47F1-ADAA-D2C1A5719B2C}">
  <dimension ref="A1:D219"/>
  <sheetViews>
    <sheetView workbookViewId="0">
      <selection activeCell="H23" sqref="H23"/>
    </sheetView>
  </sheetViews>
  <sheetFormatPr defaultRowHeight="12.75"/>
  <sheetData>
    <row r="1" spans="1:4">
      <c r="A1" t="s">
        <v>47</v>
      </c>
      <c r="B1" t="s">
        <v>2</v>
      </c>
      <c r="C1" t="s">
        <v>32</v>
      </c>
      <c r="D1" t="s">
        <v>327</v>
      </c>
    </row>
    <row r="2" spans="1:4">
      <c r="A2" t="s">
        <v>4274</v>
      </c>
      <c r="B2" s="39" t="str">
        <f>HYPERLINK('citations-it2-studies'!$D2,'citations-it2-studies'!$B2)</f>
        <v>Programming of Skill-Based Robots</v>
      </c>
      <c r="C2">
        <f>'citations-it2-studies'!$C2</f>
        <v>2024</v>
      </c>
      <c r="D2">
        <f>'citations-it2-studies'!$H2</f>
        <v>7</v>
      </c>
    </row>
    <row r="3" spans="1:4">
      <c r="A3" t="s">
        <v>4274</v>
      </c>
      <c r="B3" s="39" t="str">
        <f>HYPERLINK('citations-it2-studies'!$D3,'citations-it2-studies'!$B3)</f>
        <v>A CAD feature-based manufacturing approach with OPC UA skills</v>
      </c>
      <c r="C3">
        <f>'citations-it2-studies'!$C3</f>
        <v>2020</v>
      </c>
      <c r="D3">
        <f>'citations-it2-studies'!$H3</f>
        <v>8</v>
      </c>
    </row>
    <row r="4" spans="1:4">
      <c r="A4" t="s">
        <v>4274</v>
      </c>
      <c r="B4" s="39" t="str">
        <f>HYPERLINK('citations-it2-studies'!$D4,'citations-it2-studies'!$B4)</f>
        <v>Optimising data visualisation in the process control and IIoT environments</v>
      </c>
      <c r="C4">
        <f>'citations-it2-studies'!$C4</f>
        <v>2022</v>
      </c>
      <c r="D4">
        <f>'citations-it2-studies'!$H4</f>
        <v>14</v>
      </c>
    </row>
    <row r="5" spans="1:4">
      <c r="A5" t="s">
        <v>4274</v>
      </c>
      <c r="B5" s="39" t="str">
        <f>HYPERLINK('citations-it2-studies'!$D5,'citations-it2-studies'!$B5)</f>
        <v>SOHOMA - About the Applicability of IoT Concept for Classical Manufacturing Systems</v>
      </c>
      <c r="C5">
        <f>'citations-it2-studies'!$C5</f>
        <v>2021</v>
      </c>
      <c r="D5">
        <f>'citations-it2-studies'!$H5</f>
        <v>12</v>
      </c>
    </row>
    <row r="6" spans="1:4">
      <c r="A6" t="s">
        <v>4274</v>
      </c>
      <c r="B6" s="39" t="str">
        <f>HYPERLINK('citations-it2-studies'!$D6,'citations-it2-studies'!$B6)</f>
        <v>Evaluation of OPC-UA communication in an autonomous advanced manufacturing cell implementation</v>
      </c>
      <c r="C6">
        <f>'citations-it2-studies'!$C6</f>
        <v>2020</v>
      </c>
      <c r="D6">
        <f>'citations-it2-studies'!$H6</f>
        <v>17</v>
      </c>
    </row>
    <row r="7" spans="1:4">
      <c r="A7" t="s">
        <v>4274</v>
      </c>
      <c r="B7" s="39" t="str">
        <f>HYPERLINK('citations-it2-studies'!$D7,'citations-it2-studies'!$B7)</f>
        <v>IC2E - A Comprehensive Performance Evaluation of Different Kubernetes CNI Plugins for Edge-based and Containerized Publish/Subscribe Applications.</v>
      </c>
      <c r="C7">
        <f>'citations-it2-studies'!$C7</f>
        <v>2021</v>
      </c>
      <c r="D7">
        <f>'citations-it2-studies'!$H7</f>
        <v>12</v>
      </c>
    </row>
    <row r="8" spans="1:4">
      <c r="A8" t="s">
        <v>4274</v>
      </c>
      <c r="B8" s="39" t="str">
        <f>HYPERLINK('citations-it2-studies'!$D8,'citations-it2-studies'!$B8)</f>
        <v>Smartspectrometer—embedded optical spectroscopy for applications in agriculture and industry</v>
      </c>
      <c r="C8">
        <f>'citations-it2-studies'!$C8</f>
        <v>2021</v>
      </c>
      <c r="D8">
        <f>'citations-it2-studies'!$H8</f>
        <v>0</v>
      </c>
    </row>
    <row r="9" spans="1:4">
      <c r="A9" t="s">
        <v>4274</v>
      </c>
      <c r="B9" s="39" t="str">
        <f>HYPERLINK('citations-it2-studies'!$D9,'citations-it2-studies'!$B9)</f>
        <v>Internet of Things (IoT) Protocols, Communication Technologies, and Services in Industry</v>
      </c>
      <c r="C9">
        <f>'citations-it2-studies'!$C9</f>
        <v>2021</v>
      </c>
      <c r="D9">
        <f>'citations-it2-studies'!$H9</f>
        <v>7</v>
      </c>
    </row>
    <row r="10" spans="1:4">
      <c r="A10" t="s">
        <v>4274</v>
      </c>
      <c r="B10" s="39" t="str">
        <f>HYPERLINK('citations-it2-studies'!$D10,'citations-it2-studies'!$B10)</f>
        <v>Towards Digital Twin for Biopharmaceutical Processes: Concept and Progress</v>
      </c>
      <c r="C10">
        <f>'citations-it2-studies'!$C10</f>
        <v>2023</v>
      </c>
      <c r="D10">
        <f>'citations-it2-studies'!$H10</f>
        <v>33</v>
      </c>
    </row>
    <row r="11" spans="1:4">
      <c r="A11" t="s">
        <v>4274</v>
      </c>
      <c r="B11" s="39" t="str">
        <f>HYPERLINK('citations-it2-studies'!$D11,'citations-it2-studies'!$B11)</f>
        <v>Autoware_Perf: A tracing and performance analysis framework for ROS 2 applications</v>
      </c>
      <c r="C11">
        <f>'citations-it2-studies'!$C11</f>
        <v>2022</v>
      </c>
      <c r="D11">
        <f>'citations-it2-studies'!$H11</f>
        <v>1</v>
      </c>
    </row>
    <row r="12" spans="1:4">
      <c r="A12" t="s">
        <v>4274</v>
      </c>
      <c r="B12" s="39" t="str">
        <f>HYPERLINK('citations-it2-studies'!$D12,'citations-it2-studies'!$B12)</f>
        <v>Investigating Messaging Protocols for the Internet of Things (IoT)</v>
      </c>
      <c r="C12">
        <f>'citations-it2-studies'!$C12</f>
        <v>2020</v>
      </c>
      <c r="D12">
        <f>'citations-it2-studies'!$H12</f>
        <v>32</v>
      </c>
    </row>
    <row r="13" spans="1:4">
      <c r="A13" t="s">
        <v>4274</v>
      </c>
      <c r="B13" s="39" t="str">
        <f>HYPERLINK('citations-it2-studies'!$D13,'citations-it2-studies'!$B13)</f>
        <v>Design of a micro-service based Data Pool for device integration to speed up digitalization</v>
      </c>
      <c r="C13">
        <f>'citations-it2-studies'!$C13</f>
        <v>2019</v>
      </c>
      <c r="D13">
        <f>'citations-it2-studies'!$H13</f>
        <v>4</v>
      </c>
    </row>
    <row r="14" spans="1:4">
      <c r="A14" t="s">
        <v>4274</v>
      </c>
      <c r="B14" s="39" t="str">
        <f>HYPERLINK('citations-it2-studies'!$D14,'citations-it2-studies'!$B14)</f>
        <v>ESORICS (2) - Towards Post-Quantum Security for Cyber-Physical Systems: Integrating PQC into Industrial M2M Communication.</v>
      </c>
      <c r="C14">
        <f>'citations-it2-studies'!$C14</f>
        <v>2020</v>
      </c>
      <c r="D14">
        <f>'citations-it2-studies'!$H14</f>
        <v>22</v>
      </c>
    </row>
    <row r="15" spans="1:4">
      <c r="A15" t="s">
        <v>4274</v>
      </c>
      <c r="B15" s="39" t="str">
        <f>HYPERLINK('citations-it2-studies'!$D15,'citations-it2-studies'!$B15)</f>
        <v>An Autonomous Edge Box System Architecture for Industrial IoT Applications</v>
      </c>
      <c r="C15">
        <f>'citations-it2-studies'!$C15</f>
        <v>2024</v>
      </c>
      <c r="D15">
        <f>'citations-it2-studies'!$H15</f>
        <v>6</v>
      </c>
    </row>
    <row r="16" spans="1:4">
      <c r="A16" t="s">
        <v>4274</v>
      </c>
      <c r="B16" s="39" t="str">
        <f>HYPERLINK('citations-it2-studies'!$D16,'citations-it2-studies'!$B16)</f>
        <v>Methodology for Plant Specific Cultivation through a Plant Identification pipeline</v>
      </c>
      <c r="C16">
        <f>'citations-it2-studies'!$C16</f>
        <v>2020</v>
      </c>
      <c r="D16">
        <f>'citations-it2-studies'!$H16</f>
        <v>5</v>
      </c>
    </row>
    <row r="17" spans="1:4">
      <c r="A17" t="s">
        <v>4274</v>
      </c>
      <c r="B17" s="39" t="str">
        <f>HYPERLINK('citations-it2-studies'!$D17,'citations-it2-studies'!$B17)</f>
        <v>Data Science on Industrial Data—Today’s Challenges in Brown Field Applications</v>
      </c>
      <c r="C17">
        <f>'citations-it2-studies'!$C17</f>
        <v>2021</v>
      </c>
      <c r="D17">
        <f>'citations-it2-studies'!$H17</f>
        <v>0</v>
      </c>
    </row>
    <row r="18" spans="1:4">
      <c r="A18" t="s">
        <v>4274</v>
      </c>
      <c r="B18" s="39" t="str">
        <f>HYPERLINK('citations-it2-studies'!$D18,'citations-it2-studies'!$B18)</f>
        <v>Towards post-quantum security for cyber-physical systems: Integrating PQC into industrial M2M communication</v>
      </c>
      <c r="C18">
        <f>'citations-it2-studies'!$C18</f>
        <v>2021</v>
      </c>
      <c r="D18">
        <f>'citations-it2-studies'!$H18</f>
        <v>31</v>
      </c>
    </row>
    <row r="19" spans="1:4">
      <c r="A19" t="s">
        <v>4274</v>
      </c>
      <c r="B19" s="39" t="str">
        <f>HYPERLINK('citations-it2-studies'!$D19,'citations-it2-studies'!$B19)</f>
        <v>MES-integrated digital twin frameworks</v>
      </c>
      <c r="C19">
        <f>'citations-it2-studies'!$C19</f>
        <v>2020</v>
      </c>
      <c r="D19">
        <f>'citations-it2-studies'!$H19</f>
        <v>14</v>
      </c>
    </row>
    <row r="20" spans="1:4">
      <c r="A20" t="s">
        <v>4274</v>
      </c>
      <c r="B20" s="39" t="str">
        <f>HYPERLINK('citations-it2-studies'!$D20,'citations-it2-studies'!$B20)</f>
        <v>IIoT-Supported Manufacturing-Material-Flow Tracking in a DES-Based Digital-Twin Environment</v>
      </c>
      <c r="C20">
        <f>'citations-it2-studies'!$C20</f>
        <v>2023</v>
      </c>
      <c r="D20">
        <f>'citations-it2-studies'!$H20</f>
        <v>1</v>
      </c>
    </row>
    <row r="21" spans="1:4">
      <c r="A21" t="s">
        <v>4274</v>
      </c>
      <c r="B21" s="39" t="str">
        <f>HYPERLINK('citations-it2-studies'!$D21,'citations-it2-studies'!$B21)</f>
        <v>&lt;i&gt;SCOPE&lt;/i&gt; : Performance Testing for Serverless Computing</v>
      </c>
      <c r="C21">
        <f>'citations-it2-studies'!$C21</f>
        <v>2025</v>
      </c>
      <c r="D21">
        <f>'citations-it2-studies'!$H21</f>
        <v>30</v>
      </c>
    </row>
    <row r="22" spans="1:4">
      <c r="A22" t="s">
        <v>4274</v>
      </c>
      <c r="B22" s="39" t="str">
        <f>HYPERLINK('citations-it2-studies'!$D22,'citations-it2-studies'!$B22)</f>
        <v>A digital twin approach for online reconfiguration of robotic manufacturing systems toward plug-and-produce</v>
      </c>
      <c r="C22">
        <f>'citations-it2-studies'!$C22</f>
        <v>2025</v>
      </c>
      <c r="D22">
        <f>'citations-it2-studies'!$H22</f>
        <v>27</v>
      </c>
    </row>
    <row r="23" spans="1:4">
      <c r="A23" t="s">
        <v>4274</v>
      </c>
      <c r="B23" s="39" t="str">
        <f>HYPERLINK('citations-it2-studies'!$D23,'citations-it2-studies'!$B23)</f>
        <v>IIoT Protocols for Edge/Fog and Cloud Computing in Industrial AI</v>
      </c>
      <c r="C23">
        <f>'citations-it2-studies'!$C23</f>
        <v>2024</v>
      </c>
      <c r="D23">
        <f>'citations-it2-studies'!$H23</f>
        <v>30</v>
      </c>
    </row>
    <row r="24" spans="1:4">
      <c r="A24" t="s">
        <v>4274</v>
      </c>
      <c r="B24" s="39" t="str">
        <f>HYPERLINK('citations-it2-studies'!$D24,'citations-it2-studies'!$B24)</f>
        <v>Unified Multi-Modal Data Aggregation for Complementary Sensor Networks Applied for Localization</v>
      </c>
      <c r="C24">
        <f>'citations-it2-studies'!$C24</f>
        <v>2022</v>
      </c>
      <c r="D24">
        <f>'citations-it2-studies'!$H24</f>
        <v>7</v>
      </c>
    </row>
    <row r="25" spans="1:4">
      <c r="A25" t="s">
        <v>4274</v>
      </c>
      <c r="B25" s="39" t="str">
        <f>HYPERLINK('citations-it2-studies'!$D25,'citations-it2-studies'!$B25)</f>
        <v>Leveraging Hybrid Information Centric Networking for Broker-Free Publish/Subscribe in IoT</v>
      </c>
      <c r="C25">
        <f>'citations-it2-studies'!$C25</f>
        <v>2023</v>
      </c>
      <c r="D25">
        <f>'citations-it2-studies'!$H25</f>
        <v>7</v>
      </c>
    </row>
    <row r="26" spans="1:4">
      <c r="A26" t="s">
        <v>4274</v>
      </c>
      <c r="B26" s="39" t="str">
        <f>HYPERLINK('citations-it2-studies'!$D26,'citations-it2-studies'!$B26)</f>
        <v>General Evaluation of EtherCAT-Based Techniques in Various Industrial Systems: Review and Applications</v>
      </c>
      <c r="C26">
        <f>'citations-it2-studies'!$C26</f>
        <v>2024</v>
      </c>
      <c r="D26">
        <f>'citations-it2-studies'!$H26</f>
        <v>13</v>
      </c>
    </row>
    <row r="27" spans="1:4">
      <c r="A27" t="s">
        <v>4274</v>
      </c>
      <c r="B27" s="39" t="str">
        <f>HYPERLINK('citations-it2-studies'!$D27,'citations-it2-studies'!$B27)</f>
        <v>ACHORD: Communication-Aware Multi-Robot Coordination With Intermittent Connectivity</v>
      </c>
      <c r="C27">
        <f>'citations-it2-studies'!$C27</f>
        <v>2022</v>
      </c>
      <c r="D27">
        <f>'citations-it2-studies'!$H27</f>
        <v>8</v>
      </c>
    </row>
    <row r="28" spans="1:4">
      <c r="A28" t="s">
        <v>4274</v>
      </c>
      <c r="B28" s="39" t="str">
        <f>HYPERLINK('citations-it2-studies'!$D28,'citations-it2-studies'!$B28)</f>
        <v>A Solution to the Generalized ROS Hardware IO Problem - A Generic Modbus/TCP Device Driver for PLCs, Sensors and Actuators</v>
      </c>
      <c r="C28">
        <f>'citations-it2-studies'!$C28</f>
        <v>2021</v>
      </c>
      <c r="D28">
        <f>'citations-it2-studies'!$H28</f>
        <v>8</v>
      </c>
    </row>
    <row r="29" spans="1:4">
      <c r="A29" t="s">
        <v>4274</v>
      </c>
      <c r="B29" s="39" t="str">
        <f>HYPERLINK('citations-it2-studies'!$D29,'citations-it2-studies'!$B29)</f>
        <v>ATLAS - A Generic Framework for Generation of Skill-Based Control Logic and Simulation Models for Intralogistics Applications</v>
      </c>
      <c r="C29">
        <f>'citations-it2-studies'!$C29</f>
        <v>2021</v>
      </c>
      <c r="D29">
        <f>'citations-it2-studies'!$H29</f>
        <v>8</v>
      </c>
    </row>
    <row r="30" spans="1:4">
      <c r="A30" t="s">
        <v>4274</v>
      </c>
      <c r="B30" s="39" t="str">
        <f>HYPERLINK('citations-it2-studies'!$D30,'citations-it2-studies'!$B30)</f>
        <v>DDS and OPC UA Protocol Coexistence Solution in Real-Time and Industry 4.0 Context Using Non-Ideal Infrastructure.</v>
      </c>
      <c r="C30">
        <f>'citations-it2-studies'!$C30</f>
        <v>2021</v>
      </c>
      <c r="D30">
        <f>'citations-it2-studies'!$H30</f>
        <v>0</v>
      </c>
    </row>
    <row r="31" spans="1:4">
      <c r="A31" t="s">
        <v>4274</v>
      </c>
      <c r="B31" s="39" t="str">
        <f>HYPERLINK('citations-it2-studies'!$D31,'citations-it2-studies'!$B31)</f>
        <v>An Intelligent Product-Driven Manufacturing System Using Data Distribution Service</v>
      </c>
      <c r="C31">
        <f>'citations-it2-studies'!$C31</f>
        <v>2024</v>
      </c>
      <c r="D31">
        <f>'citations-it2-studies'!$H31</f>
        <v>15</v>
      </c>
    </row>
    <row r="32" spans="1:4">
      <c r="A32" t="s">
        <v>4274</v>
      </c>
      <c r="B32" s="39" t="str">
        <f>HYPERLINK('citations-it2-studies'!$D32,'citations-it2-studies'!$B32)</f>
        <v>An Explainable Markov Chain-Machine Learning Sequential-Aware Anomaly Detection Framework for Industrial IoT Systems Based on OPC UA.</v>
      </c>
      <c r="C32">
        <f>'citations-it2-studies'!$C32</f>
        <v>2025</v>
      </c>
      <c r="D32">
        <f>'citations-it2-studies'!$H32</f>
        <v>1</v>
      </c>
    </row>
    <row r="33" spans="1:4">
      <c r="A33" t="s">
        <v>4274</v>
      </c>
      <c r="B33" s="39" t="str">
        <f>HYPERLINK('citations-it2-studies'!$D33,'citations-it2-studies'!$B33)</f>
        <v>A Review on SECS/GEM: A Machine-to-Machine (M2M) Communication Protocol for Industry 4.0</v>
      </c>
      <c r="C33">
        <f>'citations-it2-studies'!$C33</f>
        <v>2021</v>
      </c>
      <c r="D33">
        <f>'citations-it2-studies'!$H33</f>
        <v>10</v>
      </c>
    </row>
    <row r="34" spans="1:4">
      <c r="A34" t="s">
        <v>4274</v>
      </c>
      <c r="B34" s="39" t="str">
        <f>HYPERLINK('citations-it2-studies'!$D34,'citations-it2-studies'!$B34)</f>
        <v>A Digital Twin-Based Distributed Manufacturing Execution System for Industry 4.0 with AI-Powered On-The-Fly Replanning Capabilities</v>
      </c>
      <c r="C34">
        <f>'citations-it2-studies'!$C34</f>
        <v>2023</v>
      </c>
      <c r="D34">
        <f>'citations-it2-studies'!$H34</f>
        <v>1</v>
      </c>
    </row>
    <row r="35" spans="1:4">
      <c r="A35" t="s">
        <v>4274</v>
      </c>
      <c r="B35" s="39" t="str">
        <f>HYPERLINK('citations-it2-studies'!$D35,'citations-it2-studies'!$B35)</f>
        <v>Fostering End-of-Life Utilization by Information-driven Robotic Disassembly</v>
      </c>
      <c r="C35">
        <f>'citations-it2-studies'!$C35</f>
        <v>2021</v>
      </c>
      <c r="D35">
        <f>'citations-it2-studies'!$H35</f>
        <v>6</v>
      </c>
    </row>
    <row r="36" spans="1:4">
      <c r="A36" t="s">
        <v>4274</v>
      </c>
      <c r="B36" s="39" t="str">
        <f>HYPERLINK('citations-it2-studies'!$D36,'citations-it2-studies'!$B36)</f>
        <v>ComBench: A Benchmarking Framework for Publish/Subscribe Communication Protocols Under Network Limitations</v>
      </c>
      <c r="C36">
        <f>'citations-it2-studies'!$C36</f>
        <v>2021</v>
      </c>
      <c r="D36">
        <f>'citations-it2-studies'!$H36</f>
        <v>21</v>
      </c>
    </row>
    <row r="37" spans="1:4">
      <c r="A37" t="s">
        <v>4274</v>
      </c>
      <c r="B37" s="39" t="str">
        <f>HYPERLINK('citations-it2-studies'!$D37,'citations-it2-studies'!$B37)</f>
        <v>Utilising unsupervised machine learning and IoT for cost-effective anomaly detection in multi-layer wire arc additive manufacturing</v>
      </c>
      <c r="C37">
        <f>'citations-it2-studies'!$C37</f>
        <v>2024</v>
      </c>
      <c r="D37">
        <f>'citations-it2-studies'!$H37</f>
        <v>18</v>
      </c>
    </row>
    <row r="38" spans="1:4">
      <c r="A38" t="s">
        <v>4274</v>
      </c>
      <c r="B38" s="39" t="str">
        <f>HYPERLINK('citations-it2-studies'!$D38,'citations-it2-studies'!$B38)</f>
        <v>ICPS - Evaluation and Extension of OPC UA Publish/Subscribe MQTT Binding</v>
      </c>
      <c r="C38">
        <f>'citations-it2-studies'!$C38</f>
        <v>2020</v>
      </c>
      <c r="D38">
        <f>'citations-it2-studies'!$H38</f>
        <v>6</v>
      </c>
    </row>
    <row r="39" spans="1:4">
      <c r="A39" t="s">
        <v>4274</v>
      </c>
      <c r="B39" s="39" t="str">
        <f>HYPERLINK('citations-it2-studies'!$D39,'citations-it2-studies'!$B39)</f>
        <v>Innovation Meets Accessibility in Melt Electrowriting 3D Printer Design: Continuous Process Monitoring and Automation via Modular Software and Hardware</v>
      </c>
      <c r="C39">
        <f>'citations-it2-studies'!$C39</f>
        <v>2026</v>
      </c>
      <c r="D39">
        <f>'citations-it2-studies'!$H39</f>
        <v>0</v>
      </c>
    </row>
    <row r="40" spans="1:4">
      <c r="A40" t="s">
        <v>4274</v>
      </c>
      <c r="B40" s="39" t="str">
        <f>HYPERLINK('citations-it2-studies'!$D40,'citations-it2-studies'!$B40)</f>
        <v>ANT/EDI40 - An Investigation on Database Connections in OPC UA Applications</v>
      </c>
      <c r="C40">
        <f>'citations-it2-studies'!$C40</f>
        <v>2020</v>
      </c>
      <c r="D40">
        <f>'citations-it2-studies'!$H40</f>
        <v>8</v>
      </c>
    </row>
    <row r="41" spans="1:4">
      <c r="A41" t="s">
        <v>4274</v>
      </c>
      <c r="B41" s="39" t="str">
        <f>HYPERLINK('citations-it2-studies'!$D41,'citations-it2-studies'!$B41)</f>
        <v>A Generic Plug &amp; Produce System Composed of Semantic OPC UA Skills</v>
      </c>
      <c r="C41">
        <f>'citations-it2-studies'!$C41</f>
        <v>2021</v>
      </c>
      <c r="D41">
        <f>'citations-it2-studies'!$H41</f>
        <v>14</v>
      </c>
    </row>
    <row r="42" spans="1:4">
      <c r="A42" t="s">
        <v>4274</v>
      </c>
      <c r="B42" s="39" t="str">
        <f>HYPERLINK('citations-it2-studies'!$D42,'citations-it2-studies'!$B42)</f>
        <v>CASE - A Novel Architecture for Cyber-Physical Production Systems in Industry 4.0</v>
      </c>
      <c r="C42">
        <f>'citations-it2-studies'!$C42</f>
        <v>2021</v>
      </c>
      <c r="D42">
        <f>'citations-it2-studies'!$H42</f>
        <v>6</v>
      </c>
    </row>
    <row r="43" spans="1:4">
      <c r="A43" t="s">
        <v>4274</v>
      </c>
      <c r="B43" s="39" t="str">
        <f>HYPERLINK('citations-it2-studies'!$D43,'citations-it2-studies'!$B43)</f>
        <v>A Service-Oriented Real-Time Communication Scheme for AUTOSAR Adaptive Using OPC UA and Time-Sensitive Networking.</v>
      </c>
      <c r="C43">
        <f>'citations-it2-studies'!$C43</f>
        <v>2021</v>
      </c>
      <c r="D43">
        <f>'citations-it2-studies'!$H43</f>
        <v>0</v>
      </c>
    </row>
    <row r="44" spans="1:4">
      <c r="A44" t="s">
        <v>4274</v>
      </c>
      <c r="B44" s="39" t="str">
        <f>HYPERLINK('citations-it2-studies'!$D44,'citations-it2-studies'!$B44)</f>
        <v>DDS-XRCE Standard Performance Evaluation of Different Communication Scenarios in IoT Technologies</v>
      </c>
      <c r="C44">
        <f>'citations-it2-studies'!$C44</f>
        <v>2022</v>
      </c>
      <c r="D44">
        <f>'citations-it2-studies'!$H44</f>
        <v>1</v>
      </c>
    </row>
    <row r="45" spans="1:4">
      <c r="A45" t="s">
        <v>4274</v>
      </c>
      <c r="B45" s="39" t="str">
        <f>HYPERLINK('citations-it2-studies'!$D45,'citations-it2-studies'!$B45)</f>
        <v>REAM: A Framework for Resource Efficient Adaptive Monitoring of Community Spaces</v>
      </c>
      <c r="C45">
        <f>'citations-it2-studies'!$C45</f>
        <v>2021</v>
      </c>
      <c r="D45">
        <f>'citations-it2-studies'!$H45</f>
        <v>0</v>
      </c>
    </row>
    <row r="46" spans="1:4">
      <c r="A46" t="s">
        <v>4274</v>
      </c>
      <c r="B46" s="39" t="str">
        <f>HYPERLINK('citations-it2-studies'!$D46,'citations-it2-studies'!$B46)</f>
        <v>ETFA - A generic Approach for the Industrial Application of Skill-based Engineering using OPC UA</v>
      </c>
      <c r="C46">
        <f>'citations-it2-studies'!$C46</f>
        <v>2020</v>
      </c>
      <c r="D46">
        <f>'citations-it2-studies'!$H46</f>
        <v>8</v>
      </c>
    </row>
    <row r="47" spans="1:4">
      <c r="A47" t="s">
        <v>4274</v>
      </c>
      <c r="B47" s="39" t="str">
        <f>HYPERLINK('citations-it2-studies'!$D47,'citations-it2-studies'!$B47)</f>
        <v>An OPC UA PubSub Implementation Approach for Memory-Constrained Sensor Devices</v>
      </c>
      <c r="C47">
        <f>'citations-it2-studies'!$C47</f>
        <v>2022</v>
      </c>
      <c r="D47">
        <f>'citations-it2-studies'!$H47</f>
        <v>7</v>
      </c>
    </row>
    <row r="48" spans="1:4">
      <c r="A48" t="s">
        <v>4274</v>
      </c>
      <c r="B48" s="39" t="str">
        <f>HYPERLINK('citations-it2-studies'!$D48,'citations-it2-studies'!$B48)</f>
        <v>Achieving Accountability and Data Integrity in Message Queuing Telemetry Transport Using Blockchain and Interplanetary File System</v>
      </c>
      <c r="C48">
        <f>'citations-it2-studies'!$C48</f>
        <v>2024</v>
      </c>
      <c r="D48">
        <f>'citations-it2-studies'!$H48</f>
        <v>1</v>
      </c>
    </row>
    <row r="49" spans="1:4">
      <c r="A49" t="s">
        <v>4274</v>
      </c>
      <c r="B49" s="39" t="str">
        <f>HYPERLINK('citations-it2-studies'!$D49,'citations-it2-studies'!$B49)</f>
        <v>Fiber-Optic Sensing Technologies for Underground Pipeline Monitoring</v>
      </c>
      <c r="C49">
        <f>'citations-it2-studies'!$C49</f>
        <v>2025</v>
      </c>
      <c r="D49">
        <f>'citations-it2-studies'!$H49</f>
        <v>17</v>
      </c>
    </row>
    <row r="50" spans="1:4">
      <c r="A50" t="s">
        <v>4274</v>
      </c>
      <c r="B50" s="39" t="str">
        <f>HYPERLINK('citations-it2-studies'!$D50,'citations-it2-studies'!$B50)</f>
        <v>ICSA - Towards Resilient IoT Messaging: An Experience Report Analyzing MQTT Brokers</v>
      </c>
      <c r="C50">
        <f>'citations-it2-studies'!$C50</f>
        <v>2021</v>
      </c>
      <c r="D50">
        <f>'citations-it2-studies'!$H50</f>
        <v>11</v>
      </c>
    </row>
    <row r="51" spans="1:4">
      <c r="A51" t="s">
        <v>4274</v>
      </c>
      <c r="B51" s="39" t="str">
        <f>HYPERLINK('citations-it2-studies'!$D51,'citations-it2-studies'!$B51)</f>
        <v>Plant-wide interoperability and decoupled, data-driven process control with message bus communication</v>
      </c>
      <c r="C51">
        <f>'citations-it2-studies'!$C51</f>
        <v>2022</v>
      </c>
      <c r="D51">
        <f>'citations-it2-studies'!$H51</f>
        <v>0</v>
      </c>
    </row>
    <row r="52" spans="1:4">
      <c r="A52" t="s">
        <v>4274</v>
      </c>
      <c r="B52" s="39" t="str">
        <f>HYPERLINK('citations-it2-studies'!$D52,'citations-it2-studies'!$B52)</f>
        <v>Hyperconnected Architecture for High Cognitive Production Plants</v>
      </c>
      <c r="C52">
        <f>'citations-it2-studies'!$C52</f>
        <v>2021</v>
      </c>
      <c r="D52">
        <f>'citations-it2-studies'!$H52</f>
        <v>6</v>
      </c>
    </row>
    <row r="53" spans="1:4">
      <c r="A53" t="s">
        <v>4274</v>
      </c>
      <c r="B53" s="39" t="str">
        <f>HYPERLINK('citations-it2-studies'!$D53,'citations-it2-studies'!$B53)</f>
        <v>Review Literature Performance: Quality of Service from Internet of Things for Transportation System</v>
      </c>
      <c r="C53">
        <f>'citations-it2-studies'!$C53</f>
        <v>2021</v>
      </c>
      <c r="D53">
        <f>'citations-it2-studies'!$H53</f>
        <v>7</v>
      </c>
    </row>
    <row r="54" spans="1:4">
      <c r="A54" t="s">
        <v>4274</v>
      </c>
      <c r="B54" s="39" t="str">
        <f>HYPERLINK('citations-it2-studies'!$D54,'citations-it2-studies'!$B54)</f>
        <v>ETFA - Assessing Long Distance Communication Alternatives for the Remote Control of AGVs</v>
      </c>
      <c r="C54">
        <f>'citations-it2-studies'!$C54</f>
        <v>2020</v>
      </c>
      <c r="D54">
        <f>'citations-it2-studies'!$H54</f>
        <v>8</v>
      </c>
    </row>
    <row r="55" spans="1:4">
      <c r="A55" t="s">
        <v>4274</v>
      </c>
      <c r="B55" s="39" t="str">
        <f>HYPERLINK('citations-it2-studies'!$D55,'citations-it2-studies'!$B55)</f>
        <v>AdaEdge: A Dynamic Compression Selection Framework for Resource Constrained Devices</v>
      </c>
      <c r="C55">
        <f>'citations-it2-studies'!$C55</f>
        <v>2024</v>
      </c>
      <c r="D55">
        <f>'citations-it2-studies'!$H55</f>
        <v>14</v>
      </c>
    </row>
    <row r="56" spans="1:4">
      <c r="A56" t="s">
        <v>4274</v>
      </c>
      <c r="B56" s="39" t="str">
        <f>HYPERLINK('citations-it2-studies'!$D56,'citations-it2-studies'!$B56)</f>
        <v>IOT Companion - AI Approaches to Optimize Human-Machine Collaboration in Manufacturing Facilities with IoT-Ready Machinery</v>
      </c>
      <c r="C56">
        <f>'citations-it2-studies'!$C56</f>
        <v>2020</v>
      </c>
      <c r="D56">
        <f>'citations-it2-studies'!$H56</f>
        <v>5</v>
      </c>
    </row>
    <row r="57" spans="1:4">
      <c r="A57" t="s">
        <v>4274</v>
      </c>
      <c r="B57" s="39" t="str">
        <f>HYPERLINK('citations-it2-studies'!$D57,'citations-it2-studies'!$B57)</f>
        <v>Recent Development Techniques on Digital Twins for Manufacturing: State of the Art</v>
      </c>
      <c r="C57">
        <f>'citations-it2-studies'!$C57</f>
        <v>2022</v>
      </c>
      <c r="D57">
        <f>'citations-it2-studies'!$H57</f>
        <v>6</v>
      </c>
    </row>
    <row r="58" spans="1:4">
      <c r="A58" t="s">
        <v>4274</v>
      </c>
      <c r="B58" s="39" t="str">
        <f>HYPERLINK('citations-it2-studies'!$D58,'citations-it2-studies'!$B58)</f>
        <v>Level of automation (LOA) in aerospace composite manufacturing: Present status and future directions towards industry 4.0</v>
      </c>
      <c r="C58">
        <f>'citations-it2-studies'!$C58</f>
        <v>2022</v>
      </c>
      <c r="D58">
        <f>'citations-it2-studies'!$H58</f>
        <v>18</v>
      </c>
    </row>
    <row r="59" spans="1:4">
      <c r="A59" t="s">
        <v>4274</v>
      </c>
      <c r="B59" s="39" t="str">
        <f>HYPERLINK('citations-it2-studies'!$D59,'citations-it2-studies'!$B59)</f>
        <v>Towards Wireless ADAS - Retrofitting IoT for Increased Safety</v>
      </c>
      <c r="C59">
        <f>'citations-it2-studies'!$C59</f>
        <v>2019</v>
      </c>
      <c r="D59">
        <f>'citations-it2-studies'!$H59</f>
        <v>0</v>
      </c>
    </row>
    <row r="60" spans="1:4">
      <c r="A60" t="s">
        <v>4274</v>
      </c>
      <c r="B60" s="39" t="str">
        <f>HYPERLINK('citations-it2-studies'!$D60,'citations-it2-studies'!$B60)</f>
        <v>ECSA - Dynamic Updates of Virtual PLCs Deployed as Kubernetes Microservices</v>
      </c>
      <c r="C60">
        <f>'citations-it2-studies'!$C60</f>
        <v>2021</v>
      </c>
      <c r="D60">
        <f>'citations-it2-studies'!$H60</f>
        <v>17</v>
      </c>
    </row>
    <row r="61" spans="1:4">
      <c r="A61" t="s">
        <v>4274</v>
      </c>
      <c r="B61" s="39" t="str">
        <f>HYPERLINK('citations-it2-studies'!$D61,'citations-it2-studies'!$B61)</f>
        <v>Industrial Messaging Middleware: Standards and Performance Evaluation</v>
      </c>
      <c r="C61">
        <f>'citations-it2-studies'!$C61</f>
        <v>2020</v>
      </c>
      <c r="D61">
        <f>'citations-it2-studies'!$H61</f>
        <v>6</v>
      </c>
    </row>
    <row r="62" spans="1:4">
      <c r="A62" t="s">
        <v>4274</v>
      </c>
      <c r="B62" s="39" t="str">
        <f>HYPERLINK('citations-it2-studies'!$D62,'citations-it2-studies'!$B62)</f>
        <v>Hardware Implementation of an OPC UA Server for Industrial Field Devices</v>
      </c>
      <c r="C62">
        <f>'citations-it2-studies'!$C62</f>
        <v>2021</v>
      </c>
      <c r="D62">
        <f>'citations-it2-studies'!$H62</f>
        <v>5</v>
      </c>
    </row>
    <row r="63" spans="1:4">
      <c r="A63" t="s">
        <v>4274</v>
      </c>
      <c r="B63" s="39" t="str">
        <f>HYPERLINK('citations-it2-studies'!$D63,'citations-it2-studies'!$B63)</f>
        <v>Implementation of DDS Cloud Platform for Real-Time Data Acquisition of Sensors for a Legacy Machine</v>
      </c>
      <c r="C63">
        <f>'citations-it2-studies'!$C63</f>
        <v>2022</v>
      </c>
      <c r="D63">
        <f>'citations-it2-studies'!$H63</f>
        <v>1</v>
      </c>
    </row>
    <row r="64" spans="1:4">
      <c r="A64" t="s">
        <v>4274</v>
      </c>
      <c r="B64" s="39" t="str">
        <f>HYPERLINK('citations-it2-studies'!$D64,'citations-it2-studies'!$B64)</f>
        <v>ECSA - A Comparison of MQTT Brokers for Distributed IoT Edge Computing</v>
      </c>
      <c r="C64">
        <f>'citations-it2-studies'!$C64</f>
        <v>2020</v>
      </c>
      <c r="D64">
        <f>'citations-it2-studies'!$H64</f>
        <v>17</v>
      </c>
    </row>
    <row r="65" spans="1:4">
      <c r="A65" t="s">
        <v>4274</v>
      </c>
      <c r="B65" s="39" t="str">
        <f>HYPERLINK('citations-it2-studies'!$D65,'citations-it2-studies'!$B65)</f>
        <v>Exoskeletons Towards Industrie 4.0: Benefits and Challenges of the IoT Communication Architecture</v>
      </c>
      <c r="C65">
        <f>'citations-it2-studies'!$C65</f>
        <v>2020</v>
      </c>
      <c r="D65">
        <f>'citations-it2-studies'!$H65</f>
        <v>8</v>
      </c>
    </row>
    <row r="66" spans="1:4">
      <c r="A66" t="s">
        <v>4274</v>
      </c>
      <c r="B66" s="39" t="str">
        <f>HYPERLINK('citations-it2-studies'!$D66,'citations-it2-studies'!$B66)</f>
        <v>ETFA - Hard Real-Time Capable OPC UA Server as Hardware Peripheral for Single Chip IoT Systems</v>
      </c>
      <c r="C66">
        <f>'citations-it2-studies'!$C66</f>
        <v>2019</v>
      </c>
      <c r="D66">
        <f>'citations-it2-studies'!$H66</f>
        <v>4</v>
      </c>
    </row>
    <row r="67" spans="1:4">
      <c r="A67" t="s">
        <v>4274</v>
      </c>
      <c r="B67" s="39" t="str">
        <f>HYPERLINK('citations-it2-studies'!$D67,'citations-it2-studies'!$B67)</f>
        <v>ICCCI (2) - Some Solutions for Improving OPC UA Performance</v>
      </c>
      <c r="C67">
        <f>'citations-it2-studies'!$C67</f>
        <v>2019</v>
      </c>
      <c r="D67">
        <f>'citations-it2-studies'!$H67</f>
        <v>10</v>
      </c>
    </row>
    <row r="68" spans="1:4">
      <c r="A68" t="s">
        <v>4274</v>
      </c>
      <c r="B68" s="39" t="str">
        <f>HYPERLINK('citations-it2-studies'!$D68,'citations-it2-studies'!$B68)</f>
        <v>Challenges of modeling and analysis in cybermanufacturing: a review from a machine learning and computation perspective.</v>
      </c>
      <c r="C68">
        <f>'citations-it2-studies'!$C68</f>
        <v>2021</v>
      </c>
      <c r="D68">
        <f>'citations-it2-studies'!$H68</f>
        <v>14</v>
      </c>
    </row>
    <row r="69" spans="1:4">
      <c r="A69" t="s">
        <v>4274</v>
      </c>
      <c r="B69" s="39" t="str">
        <f>HYPERLINK('citations-it2-studies'!$D69,'citations-it2-studies'!$B69)</f>
        <v>»Relationships are Key« A Semantic Relationship Awareness Framework for Operational Technology Monitoring</v>
      </c>
      <c r="C69">
        <f>'citations-it2-studies'!$C69</f>
        <v>2024</v>
      </c>
      <c r="D69">
        <f>'citations-it2-studies'!$H69</f>
        <v>0</v>
      </c>
    </row>
    <row r="70" spans="1:4">
      <c r="A70" t="s">
        <v>4274</v>
      </c>
      <c r="B70" s="39" t="str">
        <f>HYPERLINK('citations-it2-studies'!$D70,'citations-it2-studies'!$B70)</f>
        <v>Advances in Metal Casting Technology: A Review of State of the Art, Challenges and Trends—Part II: Technologies New and Revived</v>
      </c>
      <c r="C70">
        <f>'citations-it2-studies'!$C70</f>
        <v>2024</v>
      </c>
      <c r="D70">
        <f>'citations-it2-studies'!$H70</f>
        <v>1</v>
      </c>
    </row>
    <row r="71" spans="1:4">
      <c r="A71" t="s">
        <v>4274</v>
      </c>
      <c r="B71" s="39" t="str">
        <f>HYPERLINK('citations-it2-studies'!$D71,'citations-it2-studies'!$B71)</f>
        <v>Towards a scalable implementation of digital twins - A generic method to acquire shopfloor data</v>
      </c>
      <c r="C71">
        <f>'citations-it2-studies'!$C71</f>
        <v>2021</v>
      </c>
      <c r="D71">
        <f>'citations-it2-studies'!$H71</f>
        <v>6</v>
      </c>
    </row>
    <row r="72" spans="1:4">
      <c r="A72" t="s">
        <v>4274</v>
      </c>
      <c r="B72" s="39" t="str">
        <f>HYPERLINK('citations-it2-studies'!$D72,'citations-it2-studies'!$B72)</f>
        <v>Automated industrial IoT‐device integration using the OpenPnP reference architecture</v>
      </c>
      <c r="C72">
        <f>'citations-it2-studies'!$C72</f>
        <v>2019</v>
      </c>
      <c r="D72">
        <f>'citations-it2-studies'!$H72</f>
        <v>29</v>
      </c>
    </row>
    <row r="73" spans="1:4">
      <c r="A73" t="s">
        <v>4274</v>
      </c>
      <c r="B73" s="39" t="str">
        <f>HYPERLINK('citations-it2-studies'!$D73,'citations-it2-studies'!$B73)</f>
        <v>Towards Automating Semantic Relationship Awareness in Operational Technology Monitoring</v>
      </c>
      <c r="C73">
        <f>'citations-it2-studies'!$C73</f>
        <v>2023</v>
      </c>
      <c r="D73">
        <f>'citations-it2-studies'!$H73</f>
        <v>11</v>
      </c>
    </row>
    <row r="74" spans="1:4">
      <c r="A74" t="s">
        <v>4274</v>
      </c>
      <c r="B74" s="39" t="str">
        <f>HYPERLINK('citations-it2-studies'!$D74,'citations-it2-studies'!$B74)</f>
        <v>Universal energy information model for industrial communication</v>
      </c>
      <c r="C74">
        <f>'citations-it2-studies'!$C74</f>
        <v>2022</v>
      </c>
      <c r="D74">
        <f>'citations-it2-studies'!$H74</f>
        <v>8</v>
      </c>
    </row>
    <row r="75" spans="1:4">
      <c r="A75" t="s">
        <v>4274</v>
      </c>
      <c r="B75" s="39" t="str">
        <f>HYPERLINK('citations-it2-studies'!$D75,'citations-it2-studies'!$B75)</f>
        <v>Novel Deep Packet Compression For Industrial Internet of Things</v>
      </c>
      <c r="C75">
        <f>'citations-it2-studies'!$C75</f>
        <v>2022</v>
      </c>
      <c r="D75">
        <f>'citations-it2-studies'!$H75</f>
        <v>6</v>
      </c>
    </row>
    <row r="76" spans="1:4">
      <c r="A76" t="s">
        <v>4274</v>
      </c>
      <c r="B76" s="39" t="str">
        <f>HYPERLINK('citations-it2-studies'!$D76,'citations-it2-studies'!$B76)</f>
        <v>Machine OEE Monitoring and Analysis for a Complex Manufacturing Environment</v>
      </c>
      <c r="C76">
        <f>'citations-it2-studies'!$C76</f>
        <v>2020</v>
      </c>
      <c r="D76">
        <f>'citations-it2-studies'!$H76</f>
        <v>6</v>
      </c>
    </row>
    <row r="77" spans="1:4">
      <c r="A77" t="s">
        <v>4274</v>
      </c>
      <c r="B77" s="39" t="str">
        <f>HYPERLINK('citations-it2-studies'!$D77,'citations-it2-studies'!$B77)</f>
        <v>Research the Traffic Characteristics of MQTT and DDS Protocols in Low-bandwidth Radio Networks</v>
      </c>
      <c r="C77">
        <f>'citations-it2-studies'!$C77</f>
        <v>2021</v>
      </c>
      <c r="D77">
        <f>'citations-it2-studies'!$H77</f>
        <v>5</v>
      </c>
    </row>
    <row r="78" spans="1:4">
      <c r="A78" t="s">
        <v>4274</v>
      </c>
      <c r="B78" s="39" t="str">
        <f>HYPERLINK('citations-it2-studies'!$D78,'citations-it2-studies'!$B78)</f>
        <v>Andon System using Industrial IoT for Controlled Production Line by conventional PLC</v>
      </c>
      <c r="C78">
        <f>'citations-it2-studies'!$C78</f>
        <v>2020</v>
      </c>
      <c r="D78">
        <f>'citations-it2-studies'!$H78</f>
        <v>0</v>
      </c>
    </row>
    <row r="79" spans="1:4">
      <c r="A79" t="s">
        <v>4274</v>
      </c>
      <c r="B79" s="39" t="str">
        <f>HYPERLINK('citations-it2-studies'!$D79,'citations-it2-studies'!$B79)</f>
        <v>Cloud Continuum Digital Twins: Architectures of Solution, Open Technical Challenges, and Lessons Learned</v>
      </c>
      <c r="C79">
        <f>'citations-it2-studies'!$C79</f>
        <v>2024</v>
      </c>
      <c r="D79">
        <f>'citations-it2-studies'!$H79</f>
        <v>16</v>
      </c>
    </row>
    <row r="80" spans="1:4">
      <c r="A80" t="s">
        <v>4274</v>
      </c>
      <c r="B80" s="39" t="str">
        <f>HYPERLINK('citations-it2-studies'!$D80,'citations-it2-studies'!$B80)</f>
        <v>An Approach to Develop Digital Twins in Industry.</v>
      </c>
      <c r="C80">
        <f>'citations-it2-studies'!$C80</f>
        <v>2024</v>
      </c>
      <c r="D80">
        <f>'citations-it2-studies'!$H80</f>
        <v>1</v>
      </c>
    </row>
    <row r="81" spans="1:4">
      <c r="A81" t="s">
        <v>4274</v>
      </c>
      <c r="B81" s="39" t="str">
        <f>HYPERLINK('citations-it2-studies'!$D81,'citations-it2-studies'!$B81)</f>
        <v>Industry 4.0: examples of the use of the robotic arm for digital manufacturing processes</v>
      </c>
      <c r="C81">
        <f>'citations-it2-studies'!$C81</f>
        <v>2020</v>
      </c>
      <c r="D81">
        <f>'citations-it2-studies'!$H81</f>
        <v>7</v>
      </c>
    </row>
    <row r="82" spans="1:4">
      <c r="A82" t="s">
        <v>4274</v>
      </c>
      <c r="B82" s="39" t="str">
        <f>HYPERLINK('citations-it2-studies'!$D82,'citations-it2-studies'!$B82)</f>
        <v>ICSTCC - Rule-based extension through IoT for a robotized application</v>
      </c>
      <c r="C82">
        <f>'citations-it2-studies'!$C82</f>
        <v>2020</v>
      </c>
      <c r="D82">
        <f>'citations-it2-studies'!$H82</f>
        <v>5</v>
      </c>
    </row>
    <row r="83" spans="1:4">
      <c r="A83" t="s">
        <v>4274</v>
      </c>
      <c r="B83" s="39" t="str">
        <f>HYPERLINK('citations-it2-studies'!$D83,'citations-it2-studies'!$B83)</f>
        <v>Research of Automated Control Systems Development Based on "Publish-Subscribe" Technology Over Low-Bandwidth Radio Networks</v>
      </c>
      <c r="C83">
        <f>'citations-it2-studies'!$C83</f>
        <v>2022</v>
      </c>
      <c r="D83">
        <f>'citations-it2-studies'!$H83</f>
        <v>19</v>
      </c>
    </row>
    <row r="84" spans="1:4">
      <c r="A84" t="s">
        <v>4274</v>
      </c>
      <c r="B84" s="39" t="str">
        <f>HYPERLINK('citations-it2-studies'!$D84,'citations-it2-studies'!$B84)</f>
        <v>Assessing the Value of Multimodal Interfaces: A Study on Human-Machine Interaction in Weld Inspection Workstations.</v>
      </c>
      <c r="C84">
        <f>'citations-it2-studies'!$C84</f>
        <v>2023</v>
      </c>
      <c r="D84">
        <f>'citations-it2-studies'!$H84</f>
        <v>1</v>
      </c>
    </row>
    <row r="85" spans="1:4">
      <c r="A85" t="s">
        <v>4274</v>
      </c>
      <c r="B85" s="39" t="str">
        <f>HYPERLINK('citations-it2-studies'!$D85,'citations-it2-studies'!$B85)</f>
        <v>Standards für das Internet der Dinge: Heterogenität, Interoperabilität und Herausforderungen</v>
      </c>
      <c r="C85">
        <f>'citations-it2-studies'!$C85</f>
        <v>2020</v>
      </c>
      <c r="D85">
        <f>'citations-it2-studies'!$H85</f>
        <v>4</v>
      </c>
    </row>
    <row r="86" spans="1:4">
      <c r="A86" t="s">
        <v>4274</v>
      </c>
      <c r="B86" s="39" t="str">
        <f>HYPERLINK('citations-it2-studies'!$D86,'citations-it2-studies'!$B86)</f>
        <v>Supporting the Requirements-Based Selection of Suitable Communication Protocols in Smart Grids</v>
      </c>
      <c r="C86">
        <f>'citations-it2-studies'!$C86</f>
        <v>2022</v>
      </c>
      <c r="D86">
        <f>'citations-it2-studies'!$H86</f>
        <v>5</v>
      </c>
    </row>
    <row r="87" spans="1:4">
      <c r="A87" t="s">
        <v>4274</v>
      </c>
      <c r="B87" s="39" t="str">
        <f>HYPERLINK('citations-it2-studies'!$D87,'citations-it2-studies'!$B87)</f>
        <v>Integrating Digital Twin Software Solutions with Collaborative Industrial Systems: A Comprehensive Review for Operational Efficiency</v>
      </c>
      <c r="C87">
        <f>'citations-it2-studies'!$C87</f>
        <v>2025</v>
      </c>
      <c r="D87">
        <f>'citations-it2-studies'!$H87</f>
        <v>1</v>
      </c>
    </row>
    <row r="88" spans="1:4">
      <c r="A88" t="s">
        <v>4274</v>
      </c>
      <c r="B88" s="39" t="str">
        <f>HYPERLINK('citations-it2-studies'!$D88,'citations-it2-studies'!$B88)</f>
        <v>Ontology-Based Service Composition for Interoperable and Modular Medical Devices</v>
      </c>
      <c r="C88">
        <f>'citations-it2-studies'!$C88</f>
        <v>2023</v>
      </c>
      <c r="D88">
        <f>'citations-it2-studies'!$H88</f>
        <v>7</v>
      </c>
    </row>
    <row r="89" spans="1:4">
      <c r="A89" t="s">
        <v>4274</v>
      </c>
      <c r="B89" s="39" t="str">
        <f>HYPERLINK('citations-it2-studies'!$D89,'citations-it2-studies'!$B89)</f>
        <v>Broker-Less OPC UA PubSub Communication Model Performance Analysis</v>
      </c>
      <c r="C89">
        <f>'citations-it2-studies'!$C89</f>
        <v>2024</v>
      </c>
      <c r="D89">
        <f>'citations-it2-studies'!$H89</f>
        <v>5</v>
      </c>
    </row>
    <row r="90" spans="1:4">
      <c r="A90" t="s">
        <v>4274</v>
      </c>
      <c r="B90" s="39" t="str">
        <f>HYPERLINK('citations-it2-studies'!$D90,'citations-it2-studies'!$B90)</f>
        <v>Hardware Acceleration of Data Distribution Service (DDS) for Automotive Communication and Computing</v>
      </c>
      <c r="C90">
        <f>'citations-it2-studies'!$C90</f>
        <v>2022</v>
      </c>
      <c r="D90">
        <f>'citations-it2-studies'!$H90</f>
        <v>26</v>
      </c>
    </row>
    <row r="91" spans="1:4">
      <c r="A91" t="s">
        <v>4274</v>
      </c>
      <c r="B91" s="39" t="str">
        <f>HYPERLINK('citations-it2-studies'!$D91,'citations-it2-studies'!$B91)</f>
        <v>Sustainable Utilization of Industrial Robotic Systems by Facilitating Programming Through a Human and Process Centred Declarative Approach</v>
      </c>
      <c r="C91">
        <f>'citations-it2-studies'!$C91</f>
        <v>2023</v>
      </c>
      <c r="D91">
        <f>'citations-it2-studies'!$H91</f>
        <v>12</v>
      </c>
    </row>
    <row r="92" spans="1:4">
      <c r="A92" t="s">
        <v>4274</v>
      </c>
      <c r="B92" s="39" t="str">
        <f>HYPERLINK('citations-it2-studies'!$D92,'citations-it2-studies'!$B92)</f>
        <v>SECS/GEMsec: A Mechanism for Detection and Prevention of Cyber-Attacks on SECS/GEM Communications in Industry 4.0 Landscape</v>
      </c>
      <c r="C92">
        <f>'citations-it2-studies'!$C92</f>
        <v>2021</v>
      </c>
      <c r="D92">
        <f>'citations-it2-studies'!$H92</f>
        <v>15</v>
      </c>
    </row>
    <row r="93" spans="1:4">
      <c r="A93" t="s">
        <v>4274</v>
      </c>
      <c r="B93" s="39" t="str">
        <f>HYPERLINK('citations-it2-studies'!$D93,'citations-it2-studies'!$B93)</f>
        <v>IoT Architecture for Interoperability and Monitoring of Industrial Nodes</v>
      </c>
      <c r="C93">
        <f>'citations-it2-studies'!$C93</f>
        <v>2020</v>
      </c>
      <c r="D93">
        <f>'citations-it2-studies'!$H93</f>
        <v>6</v>
      </c>
    </row>
    <row r="94" spans="1:4">
      <c r="A94" t="s">
        <v>4274</v>
      </c>
      <c r="B94" s="39" t="str">
        <f>HYPERLINK('citations-it2-studies'!$D94,'citations-it2-studies'!$B94)</f>
        <v>Konfigurierbare Arbeitsräume und Robotik als Basis der Automatisierung in der Vorfertigung des Bauwesens</v>
      </c>
      <c r="C94">
        <f>'citations-it2-studies'!$C94</f>
        <v>2024</v>
      </c>
      <c r="D94">
        <f>'citations-it2-studies'!$H94</f>
        <v>32</v>
      </c>
    </row>
    <row r="95" spans="1:4">
      <c r="A95" t="s">
        <v>4274</v>
      </c>
      <c r="B95" s="39" t="str">
        <f>HYPERLINK('citations-it2-studies'!$D95,'citations-it2-studies'!$B95)</f>
        <v>Development of Industry 4.0 predictive maintenance architecture for broadcasting chain</v>
      </c>
      <c r="C95">
        <f>'citations-it2-studies'!$C95</f>
        <v>2021</v>
      </c>
      <c r="D95">
        <f>'citations-it2-studies'!$H95</f>
        <v>0</v>
      </c>
    </row>
    <row r="96" spans="1:4">
      <c r="A96" t="s">
        <v>4274</v>
      </c>
      <c r="B96" s="39" t="str">
        <f>HYPERLINK('citations-it2-studies'!$D96,'citations-it2-studies'!$B96)</f>
        <v>Manufacturing big data ecosystem: A systematic literature review</v>
      </c>
      <c r="C96">
        <f>'citations-it2-studies'!$C96</f>
        <v>2020</v>
      </c>
      <c r="D96">
        <f>'citations-it2-studies'!$H96</f>
        <v>0</v>
      </c>
    </row>
    <row r="97" spans="1:4">
      <c r="A97" t="s">
        <v>4274</v>
      </c>
      <c r="B97" s="39" t="str">
        <f>HYPERLINK('citations-it2-studies'!$D97,'citations-it2-studies'!$B97)</f>
        <v>A Comprehensive Review on IoT Protocols’ Features in Smart Grid Communication</v>
      </c>
      <c r="C97">
        <f>'citations-it2-studies'!$C97</f>
        <v>2020</v>
      </c>
      <c r="D97">
        <f>'citations-it2-studies'!$H97</f>
        <v>0</v>
      </c>
    </row>
    <row r="98" spans="1:4">
      <c r="A98" t="s">
        <v>4274</v>
      </c>
      <c r="B98" s="39" t="str">
        <f>HYPERLINK('citations-it2-studies'!$D98,'citations-it2-studies'!$B98)</f>
        <v>VAIDS: A Hybrid Deep Learning Model to Detect Intrusions in MQTT Protocol Enabled Networks</v>
      </c>
      <c r="C98">
        <f>'citations-it2-studies'!$C98</f>
        <v>2024</v>
      </c>
      <c r="D98">
        <f>'citations-it2-studies'!$H98</f>
        <v>14</v>
      </c>
    </row>
    <row r="99" spans="1:4">
      <c r="A99" t="s">
        <v>4274</v>
      </c>
      <c r="B99" s="39" t="str">
        <f>HYPERLINK('citations-it2-studies'!$D99,'citations-it2-studies'!$B99)</f>
        <v>ETFA - Hybrid OPC UA: Enabling Post-Quantum Security for the Industrial Internet of Things</v>
      </c>
      <c r="C99">
        <f>'citations-it2-studies'!$C99</f>
        <v>2020</v>
      </c>
      <c r="D99">
        <f>'citations-it2-studies'!$H99</f>
        <v>8</v>
      </c>
    </row>
    <row r="100" spans="1:4">
      <c r="A100" t="s">
        <v>4274</v>
      </c>
      <c r="B100" s="39" t="str">
        <f>HYPERLINK('citations-it2-studies'!$D100,'citations-it2-studies'!$B100)</f>
        <v>Voraussagende Instandhaltung an einer Kaltumformpresse auf Basis eines nachgerüsteten Zustandsüberwachungskonzepts</v>
      </c>
      <c r="C100">
        <f>'citations-it2-studies'!$C100</f>
        <v>2025</v>
      </c>
      <c r="D100">
        <f>'citations-it2-studies'!$H100</f>
        <v>18</v>
      </c>
    </row>
    <row r="101" spans="1:4">
      <c r="A101" t="s">
        <v>4274</v>
      </c>
      <c r="B101" s="39" t="str">
        <f>HYPERLINK('citations-it2-studies'!$D101,'citations-it2-studies'!$B101)</f>
        <v>SOLA: A Decentralized Communication Middleware Developed with ns-3</v>
      </c>
      <c r="C101">
        <f>'citations-it2-studies'!$C101</f>
        <v>2023</v>
      </c>
      <c r="D101">
        <f>'citations-it2-studies'!$H101</f>
        <v>8</v>
      </c>
    </row>
    <row r="102" spans="1:4">
      <c r="A102" t="s">
        <v>4274</v>
      </c>
      <c r="B102" s="39" t="str">
        <f>HYPERLINK('citations-it2-studies'!$D102,'citations-it2-studies'!$B102)</f>
        <v>Real-Time Performance Evaluation of Containerized Virtual PLCs: A Comparative Study of Docker and Podman for Industrial Automation</v>
      </c>
      <c r="C102">
        <f>'citations-it2-studies'!$C102</f>
        <v>2025</v>
      </c>
      <c r="D102">
        <f>'citations-it2-studies'!$H102</f>
        <v>6</v>
      </c>
    </row>
    <row r="103" spans="1:4">
      <c r="A103" t="s">
        <v>4274</v>
      </c>
      <c r="B103" s="39" t="str">
        <f>HYPERLINK('citations-it2-studies'!$D103,'citations-it2-studies'!$B103)</f>
        <v>Toward a Practical Digital Twin Platform Tailored to the Requirements of Industrial Energy Systems</v>
      </c>
      <c r="C103">
        <f>'citations-it2-studies'!$C103</f>
        <v>2022</v>
      </c>
      <c r="D103">
        <f>'citations-it2-studies'!$H103</f>
        <v>1</v>
      </c>
    </row>
    <row r="104" spans="1:4">
      <c r="A104" t="s">
        <v>4274</v>
      </c>
      <c r="B104" s="39" t="str">
        <f>HYPERLINK('citations-it2-studies'!$D104,'citations-it2-studies'!$B104)</f>
        <v>Predictive Maintenance Model for IIoT-Based Manufacturing: A Transferable Deep Reinforcement Learning Approach</v>
      </c>
      <c r="C104">
        <f>'citations-it2-studies'!$C104</f>
        <v>2022</v>
      </c>
      <c r="D104">
        <f>'citations-it2-studies'!$H104</f>
        <v>17</v>
      </c>
    </row>
    <row r="105" spans="1:4">
      <c r="A105" t="s">
        <v>4274</v>
      </c>
      <c r="B105" s="39" t="str">
        <f>HYPERLINK('citations-it2-studies'!$D105,'citations-it2-studies'!$B105)</f>
        <v>Research on Teleoperated Virtual Reality Human-Robot Five-Dimensional Collaboration System.</v>
      </c>
      <c r="C105">
        <f>'citations-it2-studies'!$C105</f>
        <v>2023</v>
      </c>
      <c r="D105">
        <f>'citations-it2-studies'!$H105</f>
        <v>1</v>
      </c>
    </row>
    <row r="106" spans="1:4">
      <c r="A106" t="s">
        <v>4274</v>
      </c>
      <c r="B106" s="39" t="str">
        <f>HYPERLINK('citations-it2-studies'!$D106,'citations-it2-studies'!$B106)</f>
        <v>Requirements for an energy data information model for a communication-independent device description</v>
      </c>
      <c r="C106">
        <f>'citations-it2-studies'!$C106</f>
        <v>2021</v>
      </c>
      <c r="D106">
        <f>'citations-it2-studies'!$H106</f>
        <v>4</v>
      </c>
    </row>
    <row r="107" spans="1:4">
      <c r="A107" t="s">
        <v>4274</v>
      </c>
      <c r="B107" s="39" t="str">
        <f>HYPERLINK('citations-it2-studies'!$D107,'citations-it2-studies'!$B107)</f>
        <v>Cyber-physical twins - definition, conception and benefit</v>
      </c>
      <c r="C107">
        <f>'citations-it2-studies'!$C107</f>
        <v>2020</v>
      </c>
      <c r="D107">
        <f>'citations-it2-studies'!$H107</f>
        <v>5</v>
      </c>
    </row>
    <row r="108" spans="1:4">
      <c r="A108" t="s">
        <v>4274</v>
      </c>
      <c r="B108" s="39" t="str">
        <f>HYPERLINK('citations-it2-studies'!$D108,'citations-it2-studies'!$B108)</f>
        <v>ETFA - A Hardware-Agnostic OPC UA Skill Model for Robot Manipulators and Tools</v>
      </c>
      <c r="C108">
        <f>'citations-it2-studies'!$C108</f>
        <v>2019</v>
      </c>
      <c r="D108">
        <f>'citations-it2-studies'!$H108</f>
        <v>8</v>
      </c>
    </row>
    <row r="109" spans="1:4">
      <c r="A109" t="s">
        <v>4274</v>
      </c>
      <c r="B109" s="39" t="str">
        <f>HYPERLINK('citations-it2-studies'!$D109,'citations-it2-studies'!$B109)</f>
        <v>End-to-End Encryption for Securing Communications in Industry 4.0</v>
      </c>
      <c r="C109">
        <f>'citations-it2-studies'!$C109</f>
        <v>2022</v>
      </c>
      <c r="D109">
        <f>'citations-it2-studies'!$H109</f>
        <v>6</v>
      </c>
    </row>
    <row r="110" spans="1:4">
      <c r="A110" t="s">
        <v>4274</v>
      </c>
      <c r="B110" s="39" t="str">
        <f>HYPERLINK('citations-it2-studies'!$D110,'citations-it2-studies'!$B110)</f>
        <v>ICCCI (2) - Quality of Service in Real-Time OPC UA Applications</v>
      </c>
      <c r="C110">
        <f>'citations-it2-studies'!$C110</f>
        <v>2019</v>
      </c>
      <c r="D110">
        <f>'citations-it2-studies'!$H110</f>
        <v>10</v>
      </c>
    </row>
    <row r="111" spans="1:4">
      <c r="A111" t="s">
        <v>4274</v>
      </c>
      <c r="B111" s="39" t="str">
        <f>HYPERLINK('citations-it2-studies'!$D111,'citations-it2-studies'!$B111)</f>
        <v>Performance Evaluation of OPC UA and MQTT for ETAT Smart Lab (ESL)</v>
      </c>
      <c r="C111">
        <f>'citations-it2-studies'!$C111</f>
        <v>2023</v>
      </c>
      <c r="D111">
        <f>'citations-it2-studies'!$H111</f>
        <v>5</v>
      </c>
    </row>
    <row r="112" spans="1:4">
      <c r="A112" t="s">
        <v>4274</v>
      </c>
      <c r="B112" s="39" t="str">
        <f>HYPERLINK('citations-it2-studies'!$D112,'citations-it2-studies'!$B112)</f>
        <v>A Human-Centered Assembly Workplace For Industry: Challenges and Lessons Learned</v>
      </c>
      <c r="C112">
        <f>'citations-it2-studies'!$C112</f>
        <v>2021</v>
      </c>
      <c r="D112">
        <f>'citations-it2-studies'!$H112</f>
        <v>11</v>
      </c>
    </row>
    <row r="113" spans="1:4">
      <c r="A113" t="s">
        <v>4274</v>
      </c>
      <c r="B113" s="39" t="str">
        <f>HYPERLINK('citations-it2-studies'!$D113,'citations-it2-studies'!$B113)</f>
        <v>ETFA - Control components for Collaborative and Intelligent Automation Systems</v>
      </c>
      <c r="C113">
        <f>'citations-it2-studies'!$C113</f>
        <v>2019</v>
      </c>
      <c r="D113">
        <f>'citations-it2-studies'!$H113</f>
        <v>7</v>
      </c>
    </row>
    <row r="114" spans="1:4">
      <c r="A114" t="s">
        <v>4274</v>
      </c>
      <c r="B114" s="39" t="str">
        <f>HYPERLINK('citations-it2-studies'!$D114,'citations-it2-studies'!$B114)</f>
        <v>A semi-decentralized control architecture for high-mix-low-volume factories in Industry 4.0</v>
      </c>
      <c r="C114">
        <f>'citations-it2-studies'!$C114</f>
        <v>2021</v>
      </c>
      <c r="D114">
        <f>'citations-it2-studies'!$H114</f>
        <v>4</v>
      </c>
    </row>
    <row r="115" spans="1:4">
      <c r="A115" t="s">
        <v>4274</v>
      </c>
      <c r="B115" s="39" t="str">
        <f>HYPERLINK('citations-it2-studies'!$D115,'citations-it2-studies'!$B115)</f>
        <v>Frame analysis based real time related indicators measurement of industrial ethernet Powerlink</v>
      </c>
      <c r="C115">
        <f>'citations-it2-studies'!$C115</f>
        <v>2022</v>
      </c>
      <c r="D115">
        <f>'citations-it2-studies'!$H115</f>
        <v>5</v>
      </c>
    </row>
    <row r="116" spans="1:4">
      <c r="A116" t="s">
        <v>4274</v>
      </c>
      <c r="B116" s="39" t="str">
        <f>HYPERLINK('citations-it2-studies'!$D116,'citations-it2-studies'!$B116)</f>
        <v>OPC-UA in Digital Twins—A Performance Comparative Analysis</v>
      </c>
      <c r="C116">
        <f>'citations-it2-studies'!$C116</f>
        <v>2024</v>
      </c>
      <c r="D116">
        <f>'citations-it2-studies'!$H116</f>
        <v>11</v>
      </c>
    </row>
    <row r="117" spans="1:4">
      <c r="A117" t="s">
        <v>4274</v>
      </c>
      <c r="B117" s="39" t="str">
        <f>HYPERLINK('citations-it2-studies'!$D117,'citations-it2-studies'!$B117)</f>
        <v>Systems of Digital Twins and Physical Systems: Interoperability, Decentralization, and Mobility in Robotic Applications</v>
      </c>
      <c r="C117">
        <f>'citations-it2-studies'!$C117</f>
        <v>2024</v>
      </c>
      <c r="D117">
        <f>'citations-it2-studies'!$H117</f>
        <v>6</v>
      </c>
    </row>
    <row r="118" spans="1:4">
      <c r="A118" t="s">
        <v>4274</v>
      </c>
      <c r="B118" s="39" t="str">
        <f>HYPERLINK('citations-it2-studies'!$D118,'citations-it2-studies'!$B118)</f>
        <v>Image and Command Transmission Over the 5G Network for Teleoperation of Mobile Robots</v>
      </c>
      <c r="C118">
        <f>'citations-it2-studies'!$C118</f>
        <v>2024</v>
      </c>
      <c r="D118">
        <f>'citations-it2-studies'!$H118</f>
        <v>8</v>
      </c>
    </row>
    <row r="119" spans="1:4">
      <c r="A119" t="s">
        <v>4274</v>
      </c>
      <c r="B119" s="39" t="str">
        <f>HYPERLINK('citations-it2-studies'!$D119,'citations-it2-studies'!$B119)</f>
        <v>A Study of Java Microbenchmark Tail Latencies</v>
      </c>
      <c r="C119">
        <f>'citations-it2-studies'!$C119</f>
        <v>2023</v>
      </c>
      <c r="D119">
        <f>'citations-it2-studies'!$H119</f>
        <v>5</v>
      </c>
    </row>
    <row r="120" spans="1:4">
      <c r="A120" t="s">
        <v>4274</v>
      </c>
      <c r="B120" s="39" t="str">
        <f>HYPERLINK('citations-it2-studies'!$D120,'citations-it2-studies'!$B120)</f>
        <v>Adopting User-Space Networking for DDS Message-Oriented Middleware</v>
      </c>
      <c r="C120">
        <f>'citations-it2-studies'!$C120</f>
        <v>2024</v>
      </c>
      <c r="D120">
        <f>'citations-it2-studies'!$H120</f>
        <v>11</v>
      </c>
    </row>
    <row r="121" spans="1:4">
      <c r="A121" t="s">
        <v>4274</v>
      </c>
      <c r="B121" s="39" t="str">
        <f>HYPERLINK('citations-it2-studies'!$D121,'citations-it2-studies'!$B121)</f>
        <v>WEA - Maintenance Management of an Additive Manufacturing System Based on the I4.0 Model.</v>
      </c>
      <c r="C121">
        <f>'citations-it2-studies'!$C121</f>
        <v>2021</v>
      </c>
      <c r="D121">
        <f>'citations-it2-studies'!$H121</f>
        <v>13</v>
      </c>
    </row>
    <row r="122" spans="1:4">
      <c r="A122" t="s">
        <v>4274</v>
      </c>
      <c r="B122" s="39" t="str">
        <f>HYPERLINK('citations-it2-studies'!$D122,'citations-it2-studies'!$B122)</f>
        <v>Evaluation of an OPC UA-Based Access Control Enforcement Architecture</v>
      </c>
      <c r="C122">
        <f>'citations-it2-studies'!$C122</f>
        <v>2024</v>
      </c>
      <c r="D122">
        <f>'citations-it2-studies'!$H122</f>
        <v>21</v>
      </c>
    </row>
    <row r="123" spans="1:4">
      <c r="A123" t="s">
        <v>4274</v>
      </c>
      <c r="B123" s="39" t="str">
        <f>HYPERLINK('citations-it2-studies'!$D123,'citations-it2-studies'!$B123)</f>
        <v>A novel testbed for evaluating ROS 2 robot swarm wireless communications</v>
      </c>
      <c r="C123">
        <f>'citations-it2-studies'!$C123</f>
        <v>2024</v>
      </c>
      <c r="D123">
        <f>'citations-it2-studies'!$H123</f>
        <v>6</v>
      </c>
    </row>
    <row r="124" spans="1:4">
      <c r="A124" t="s">
        <v>4274</v>
      </c>
      <c r="B124" s="39" t="str">
        <f>HYPERLINK('citations-it2-studies'!$D124,'citations-it2-studies'!$B124)</f>
        <v>Generation of Critical Information and Sharing Mechanism for Multi-Robot Mission Success</v>
      </c>
      <c r="C124">
        <f>'citations-it2-studies'!$C124</f>
        <v>2025</v>
      </c>
      <c r="D124">
        <f>'citations-it2-studies'!$H124</f>
        <v>19</v>
      </c>
    </row>
    <row r="125" spans="1:4">
      <c r="A125" t="s">
        <v>4274</v>
      </c>
      <c r="B125" s="39" t="str">
        <f>HYPERLINK('citations-it2-studies'!$D125,'citations-it2-studies'!$B125)</f>
        <v>Performance Testing for Cloud Computing with Dependent Data Bootstrapping</v>
      </c>
      <c r="C125">
        <f>'citations-it2-studies'!$C125</f>
        <v>2021</v>
      </c>
      <c r="D125">
        <f>'citations-it2-studies'!$H125</f>
        <v>13</v>
      </c>
    </row>
    <row r="126" spans="1:4">
      <c r="A126" t="s">
        <v>4274</v>
      </c>
      <c r="B126" s="39" t="str">
        <f>HYPERLINK('citations-it2-studies'!$D126,'citations-it2-studies'!$B126)</f>
        <v>HPCA - Eudoxus: Characterizing and Accelerating Localization in Autonomous Machines Industry Track Paper</v>
      </c>
      <c r="C126">
        <f>'citations-it2-studies'!$C126</f>
        <v>2021</v>
      </c>
      <c r="D126">
        <f>'citations-it2-studies'!$H126</f>
        <v>14</v>
      </c>
    </row>
    <row r="127" spans="1:4">
      <c r="A127" t="s">
        <v>4274</v>
      </c>
      <c r="B127" s="39" t="str">
        <f>HYPERLINK('citations-it2-studies'!$D127,'citations-it2-studies'!$B127)</f>
        <v>Industrial Communication Based on MQTT and Modbus Communication Applied in a Meteorological Network</v>
      </c>
      <c r="C127">
        <f>'citations-it2-studies'!$C127</f>
        <v>2020</v>
      </c>
      <c r="D127">
        <f>'citations-it2-studies'!$H127</f>
        <v>13</v>
      </c>
    </row>
    <row r="128" spans="1:4">
      <c r="A128" t="s">
        <v>4274</v>
      </c>
      <c r="B128" s="39" t="str">
        <f>HYPERLINK('citations-it2-studies'!$D128,'citations-it2-studies'!$B128)</f>
        <v>A Reliability Assessment of an Industrial Communication Protocol on a Windows OS Embedded PC for an Oil Rig Control Application</v>
      </c>
      <c r="C128">
        <f>'citations-it2-studies'!$C128</f>
        <v>2021</v>
      </c>
      <c r="D128">
        <f>'citations-it2-studies'!$H128</f>
        <v>0</v>
      </c>
    </row>
    <row r="129" spans="1:4">
      <c r="A129" t="s">
        <v>4274</v>
      </c>
      <c r="B129" s="39" t="str">
        <f>HYPERLINK('citations-it2-studies'!$D129,'citations-it2-studies'!$B129)</f>
        <v>ROS2-based Small-Scale Development Platform for CCAM Research Demonstrators</v>
      </c>
      <c r="C129">
        <f>'citations-it2-studies'!$C129</f>
        <v>2022</v>
      </c>
      <c r="D129">
        <f>'citations-it2-studies'!$H129</f>
        <v>6</v>
      </c>
    </row>
    <row r="130" spans="1:4">
      <c r="A130" t="s">
        <v>4274</v>
      </c>
      <c r="B130" s="39" t="str">
        <f>HYPERLINK('citations-it2-studies'!$D130,'citations-it2-studies'!$B130)</f>
        <v>Advanced Analytics as a Service in Smart Factories</v>
      </c>
      <c r="C130">
        <f>'citations-it2-studies'!$C130</f>
        <v>2022</v>
      </c>
      <c r="D130">
        <f>'citations-it2-studies'!$H130</f>
        <v>6</v>
      </c>
    </row>
    <row r="131" spans="1:4">
      <c r="A131" t="s">
        <v>4274</v>
      </c>
      <c r="B131" s="39" t="str">
        <f>HYPERLINK('citations-it2-studies'!$D131,'citations-it2-studies'!$B131)</f>
        <v>Developing a Real-time OPC UA based Aggregated Monitoring System for Small-scale Distributed Energy Resources among Microgrids</v>
      </c>
      <c r="C131">
        <f>'citations-it2-studies'!$C131</f>
        <v>2021</v>
      </c>
      <c r="D131">
        <f>'citations-it2-studies'!$H131</f>
        <v>4</v>
      </c>
    </row>
    <row r="132" spans="1:4">
      <c r="A132" t="s">
        <v>4274</v>
      </c>
      <c r="B132" s="39" t="str">
        <f>HYPERLINK('citations-it2-studies'!$D132,'citations-it2-studies'!$B132)</f>
        <v>Towards post-quantum security for cyber-physical systems: Integrating PQC into industrial M2M communication1</v>
      </c>
      <c r="C132">
        <f>'citations-it2-studies'!$C132</f>
        <v>2021</v>
      </c>
      <c r="D132">
        <f>'citations-it2-studies'!$H132</f>
        <v>31</v>
      </c>
    </row>
    <row r="133" spans="1:4">
      <c r="A133" t="s">
        <v>4274</v>
      </c>
      <c r="B133" s="39" t="str">
        <f>HYPERLINK('citations-it2-studies'!$D133,'citations-it2-studies'!$B133)</f>
        <v>A Study of Publish/Subscribe Middleware Under Different IoT Traffic Conditions</v>
      </c>
      <c r="C133">
        <f>'citations-it2-studies'!$C133</f>
        <v>2020</v>
      </c>
      <c r="D133">
        <f>'citations-it2-studies'!$H133</f>
        <v>6</v>
      </c>
    </row>
    <row r="134" spans="1:4">
      <c r="A134" t="s">
        <v>4274</v>
      </c>
      <c r="B134" s="39" t="str">
        <f>HYPERLINK('citations-it2-studies'!$D134,'citations-it2-studies'!$B134)</f>
        <v>Automotive IoT Ethernet-Based Communication Technologies Applied in a V2X Context via a Multi-Protocol Gateway.</v>
      </c>
      <c r="C134">
        <f>'citations-it2-studies'!$C134</f>
        <v>2022</v>
      </c>
      <c r="D134">
        <f>'citations-it2-studies'!$H134</f>
        <v>1</v>
      </c>
    </row>
    <row r="135" spans="1:4">
      <c r="A135" t="s">
        <v>4274</v>
      </c>
      <c r="B135" s="39" t="str">
        <f>HYPERLINK('citations-it2-studies'!$D135,'citations-it2-studies'!$B135)</f>
        <v>An Operational 5G Edge Cloud-Controlled Robotic Cell Environment Based on MQTT and OPC UA</v>
      </c>
      <c r="C135">
        <f>'citations-it2-studies'!$C135</f>
        <v>2023</v>
      </c>
      <c r="D135">
        <f>'citations-it2-studies'!$H135</f>
        <v>8</v>
      </c>
    </row>
    <row r="136" spans="1:4">
      <c r="A136" t="s">
        <v>4274</v>
      </c>
      <c r="B136" s="39" t="str">
        <f>HYPERLINK('citations-it2-studies'!$D136,'citations-it2-studies'!$B136)</f>
        <v>Unified Namespace and Asset Administration Shell: A Winning Combination for Digital Production</v>
      </c>
      <c r="C136">
        <f>'citations-it2-studies'!$C136</f>
        <v>2024</v>
      </c>
      <c r="D136">
        <f>'citations-it2-studies'!$H136</f>
        <v>7</v>
      </c>
    </row>
    <row r="137" spans="1:4">
      <c r="A137" t="s">
        <v>4274</v>
      </c>
      <c r="B137" s="39" t="str">
        <f>HYPERLINK('citations-it2-studies'!$D137,'citations-it2-studies'!$B137)</f>
        <v>Computation offloading for ground robotic systems communicating over WiFi – an empirical exploration on performance and energy trade-offs</v>
      </c>
      <c r="C137">
        <f>'citations-it2-studies'!$C137</f>
        <v>2023</v>
      </c>
      <c r="D137">
        <f>'citations-it2-studies'!$H137</f>
        <v>0</v>
      </c>
    </row>
    <row r="138" spans="1:4">
      <c r="A138" t="s">
        <v>4274</v>
      </c>
      <c r="B138" s="39" t="str">
        <f>HYPERLINK('citations-it2-studies'!$D138,'citations-it2-studies'!$B138)</f>
        <v>A Grassroots Network and Community Roadmap for Interconnected Autonomous Science Laboratories for Accelerated Discovery</v>
      </c>
      <c r="C138">
        <f>'citations-it2-studies'!$C138</f>
        <v>2025</v>
      </c>
      <c r="D138">
        <f>'citations-it2-studies'!$H138</f>
        <v>9</v>
      </c>
    </row>
    <row r="139" spans="1:4">
      <c r="A139" t="s">
        <v>4274</v>
      </c>
      <c r="B139" s="39" t="str">
        <f>HYPERLINK('citations-it2-studies'!$D139,'citations-it2-studies'!$B139)</f>
        <v>Guidelines to develop demonstration models on industry 4.0 for engineering training</v>
      </c>
      <c r="C139">
        <f>'citations-it2-studies'!$C139</f>
        <v>2023</v>
      </c>
      <c r="D139">
        <f>'citations-it2-studies'!$H139</f>
        <v>17</v>
      </c>
    </row>
    <row r="140" spans="1:4">
      <c r="A140" t="s">
        <v>4274</v>
      </c>
      <c r="B140" s="39" t="str">
        <f>HYPERLINK('citations-it2-studies'!$D140,'citations-it2-studies'!$B140)</f>
        <v>A next generation upgraded observing platform for the automated Birmingham Solar Oscillations Network (BiSON)</v>
      </c>
      <c r="C140">
        <f>'citations-it2-studies'!$C140</f>
        <v>2020</v>
      </c>
      <c r="D140">
        <f>'citations-it2-studies'!$H140</f>
        <v>0</v>
      </c>
    </row>
    <row r="141" spans="1:4">
      <c r="A141" t="s">
        <v>4274</v>
      </c>
      <c r="B141" s="39" t="str">
        <f>HYPERLINK('citations-it2-studies'!$D141,'citations-it2-studies'!$B141)</f>
        <v>MQTT-I: Achieving End-to-End Data Flow Integrity in MQTT</v>
      </c>
      <c r="C141">
        <f>'citations-it2-studies'!$C141</f>
        <v>2024</v>
      </c>
      <c r="D141">
        <f>'citations-it2-studies'!$H141</f>
        <v>18</v>
      </c>
    </row>
    <row r="142" spans="1:4">
      <c r="A142" t="s">
        <v>4274</v>
      </c>
      <c r="B142" s="39" t="str">
        <f>HYPERLINK('citations-it2-studies'!$D142,'citations-it2-studies'!$B142)</f>
        <v>ICPS - A REST and HTTP-based Service Architecture for Industrial Facilities</v>
      </c>
      <c r="C142">
        <f>'citations-it2-studies'!$C142</f>
        <v>2020</v>
      </c>
      <c r="D142">
        <f>'citations-it2-studies'!$H142</f>
        <v>4</v>
      </c>
    </row>
    <row r="143" spans="1:4">
      <c r="A143" t="s">
        <v>4274</v>
      </c>
      <c r="B143" s="39" t="str">
        <f>HYPERLINK('citations-it2-studies'!$D143,'citations-it2-studies'!$B143)</f>
        <v>Introduction to Sustainable Enterprise Resource Planning (S-ERP) in Industry 4.0</v>
      </c>
      <c r="C143">
        <f>'citations-it2-studies'!$C143</f>
        <v>2025</v>
      </c>
      <c r="D143">
        <f>'citations-it2-studies'!$H143</f>
        <v>27</v>
      </c>
    </row>
    <row r="144" spans="1:4">
      <c r="A144" t="s">
        <v>4274</v>
      </c>
      <c r="B144" s="39" t="str">
        <f>HYPERLINK('citations-it2-studies'!$D144,'citations-it2-studies'!$B144)</f>
        <v>ICPS - An OPC UA-based Crane Model Using Time-Sensitive Networking Technology</v>
      </c>
      <c r="C144">
        <f>'citations-it2-studies'!$C144</f>
        <v>2020</v>
      </c>
      <c r="D144">
        <f>'citations-it2-studies'!$H144</f>
        <v>6</v>
      </c>
    </row>
    <row r="145" spans="1:4">
      <c r="A145" t="s">
        <v>4274</v>
      </c>
      <c r="B145" s="39" t="str">
        <f>HYPERLINK('citations-it2-studies'!$D145,'citations-it2-studies'!$B145)</f>
        <v>MQTT-A: A Broker-Bridging P2P Architecture to Achieve Anonymity in MQTT</v>
      </c>
      <c r="C145">
        <f>'citations-it2-studies'!$C145</f>
        <v>2023</v>
      </c>
      <c r="D145">
        <f>'citations-it2-studies'!$H145</f>
        <v>21</v>
      </c>
    </row>
    <row r="146" spans="1:4">
      <c r="A146" t="s">
        <v>4274</v>
      </c>
      <c r="B146" s="39" t="str">
        <f>HYPERLINK('citations-it2-studies'!$D146,'citations-it2-studies'!$B146)</f>
        <v>Digital Twin: A Comprehensive Survey of Security Threats</v>
      </c>
      <c r="C146">
        <f>'citations-it2-studies'!$C146</f>
        <v>2022</v>
      </c>
      <c r="D146">
        <f>'citations-it2-studies'!$H146</f>
        <v>29</v>
      </c>
    </row>
    <row r="147" spans="1:4">
      <c r="A147" t="s">
        <v>4274</v>
      </c>
      <c r="B147" s="39" t="str">
        <f>HYPERLINK('citations-it2-studies'!$D147,'citations-it2-studies'!$B147)</f>
        <v>MQTT Implementations, Open Issues, and Challenges: A Detailed Comparison and Survey</v>
      </c>
      <c r="C147">
        <f>'citations-it2-studies'!$C147</f>
        <v>2022</v>
      </c>
      <c r="D147">
        <f>'citations-it2-studies'!$H147</f>
        <v>24</v>
      </c>
    </row>
    <row r="148" spans="1:4">
      <c r="A148" t="s">
        <v>4274</v>
      </c>
      <c r="B148" s="39" t="str">
        <f>HYPERLINK('citations-it2-studies'!$D148,'citations-it2-studies'!$B148)</f>
        <v>Distributed Approach for Integration in Industrial Systems</v>
      </c>
      <c r="C148">
        <f>'citations-it2-studies'!$C148</f>
        <v>2023</v>
      </c>
      <c r="D148">
        <f>'citations-it2-studies'!$H148</f>
        <v>10</v>
      </c>
    </row>
    <row r="149" spans="1:4">
      <c r="A149" t="s">
        <v>4274</v>
      </c>
      <c r="B149" s="39" t="str">
        <f>HYPERLINK('citations-it2-studies'!$D149,'citations-it2-studies'!$B149)</f>
        <v>DDS Implementations as Real-Time Middleware – A Systematic Evaluation</v>
      </c>
      <c r="C149">
        <f>'citations-it2-studies'!$C149</f>
        <v>2023</v>
      </c>
      <c r="D149">
        <f>'citations-it2-studies'!$H149</f>
        <v>10</v>
      </c>
    </row>
    <row r="150" spans="1:4">
      <c r="A150" t="s">
        <v>4274</v>
      </c>
      <c r="B150" s="39" t="str">
        <f>HYPERLINK('citations-it2-studies'!$D150,'citations-it2-studies'!$B150)</f>
        <v>Analyzing Impact and Systemwide Effects of the SlowROS Attack in an Industrial Automation Scenario</v>
      </c>
      <c r="C150">
        <f>'citations-it2-studies'!$C150</f>
        <v>2025</v>
      </c>
      <c r="D150">
        <f>'citations-it2-studies'!$H150</f>
        <v>1</v>
      </c>
    </row>
    <row r="151" spans="1:4">
      <c r="A151" t="s">
        <v>4274</v>
      </c>
      <c r="B151" s="39" t="str">
        <f>HYPERLINK('citations-it2-studies'!$D151,'citations-it2-studies'!$B151)</f>
        <v>An adaptive human sensor framework for human–robot collaboration</v>
      </c>
      <c r="C151">
        <f>'citations-it2-studies'!$C151</f>
        <v>2021</v>
      </c>
      <c r="D151">
        <f>'citations-it2-studies'!$H151</f>
        <v>16</v>
      </c>
    </row>
    <row r="152" spans="1:4">
      <c r="A152" t="s">
        <v>4274</v>
      </c>
      <c r="B152" s="39" t="str">
        <f>HYPERLINK('citations-it2-studies'!$D152,'citations-it2-studies'!$B152)</f>
        <v>Artificial Intelligence on the Shop Floor: A Comprehensive Review of Literature</v>
      </c>
      <c r="C152">
        <f>'citations-it2-studies'!$C152</f>
        <v>2026</v>
      </c>
      <c r="D152">
        <f>'citations-it2-studies'!$H152</f>
        <v>0</v>
      </c>
    </row>
    <row r="153" spans="1:4">
      <c r="A153" t="s">
        <v>4274</v>
      </c>
      <c r="B153" s="39" t="str">
        <f>HYPERLINK('citations-it2-studies'!$D153,'citations-it2-studies'!$B153)</f>
        <v>A Systematic Literature Review of DDS Middleware in Robotic Systems</v>
      </c>
      <c r="C153">
        <f>'citations-it2-studies'!$C153</f>
        <v>2025</v>
      </c>
      <c r="D153">
        <f>'citations-it2-studies'!$H153</f>
        <v>1</v>
      </c>
    </row>
    <row r="154" spans="1:4">
      <c r="A154" t="s">
        <v>4274</v>
      </c>
      <c r="B154" s="39" t="str">
        <f>HYPERLINK('citations-it2-studies'!$D154,'citations-it2-studies'!$B154)</f>
        <v>Replay-Attack Detection and Prevention Mechanism in Industry 4.0 Landscape for Secure SECS/GEM Communications</v>
      </c>
      <c r="C154">
        <f>'citations-it2-studies'!$C154</f>
        <v>2022</v>
      </c>
      <c r="D154">
        <f>'citations-it2-studies'!$H154</f>
        <v>1</v>
      </c>
    </row>
    <row r="155" spans="1:4">
      <c r="A155" t="s">
        <v>4274</v>
      </c>
      <c r="B155" s="39" t="str">
        <f>HYPERLINK('citations-it2-studies'!$D155,'citations-it2-studies'!$B155)</f>
        <v>Toward Industrial IoT: Integrated Architecture of an OPC UA Synergy Platform</v>
      </c>
      <c r="C155">
        <f>'citations-it2-studies'!$C155</f>
        <v>2021</v>
      </c>
      <c r="D155">
        <f>'citations-it2-studies'!$H155</f>
        <v>12</v>
      </c>
    </row>
    <row r="156" spans="1:4">
      <c r="A156" t="s">
        <v>4274</v>
      </c>
      <c r="B156" s="39" t="str">
        <f>HYPERLINK('citations-it2-studies'!$D156,'citations-it2-studies'!$B156)</f>
        <v>Evaluation of Middleware Technologies for the PLC-Service Bus in IEC 61499</v>
      </c>
      <c r="C156">
        <f>'citations-it2-studies'!$C156</f>
        <v>2022</v>
      </c>
      <c r="D156">
        <f>'citations-it2-studies'!$H156</f>
        <v>4</v>
      </c>
    </row>
    <row r="157" spans="1:4">
      <c r="A157" t="s">
        <v>4274</v>
      </c>
      <c r="B157" s="39" t="str">
        <f>HYPERLINK('citations-it2-studies'!$D157,'citations-it2-studies'!$B157)</f>
        <v>Eudoxus: Characterizing and Accelerating Localization in Autonomous Machines.</v>
      </c>
      <c r="C157">
        <f>'citations-it2-studies'!$C157</f>
        <v>2020</v>
      </c>
      <c r="D157">
        <f>'citations-it2-studies'!$H157</f>
        <v>0</v>
      </c>
    </row>
    <row r="158" spans="1:4">
      <c r="A158" t="s">
        <v>4274</v>
      </c>
      <c r="B158" s="39" t="str">
        <f>HYPERLINK('citations-it2-studies'!$D158,'citations-it2-studies'!$B158)</f>
        <v>Quantifying DDS-cerberus network control overhead</v>
      </c>
      <c r="C158">
        <f>'citations-it2-studies'!$C158</f>
        <v>2022</v>
      </c>
      <c r="D158">
        <f>'citations-it2-studies'!$H158</f>
        <v>27</v>
      </c>
    </row>
    <row r="159" spans="1:4">
      <c r="A159" t="s">
        <v>4274</v>
      </c>
      <c r="B159" s="39" t="str">
        <f>HYPERLINK('citations-it2-studies'!$D159,'citations-it2-studies'!$B159)</f>
        <v>Bare-Metal vs. Hypervisors and Containers: Performance Evaluation of Virtualization Technologies for Software-Defined Vehicles</v>
      </c>
      <c r="C159">
        <f>'citations-it2-studies'!$C159</f>
        <v>2023</v>
      </c>
      <c r="D159">
        <f>'citations-it2-studies'!$H159</f>
        <v>8</v>
      </c>
    </row>
    <row r="160" spans="1:4">
      <c r="A160" t="s">
        <v>4274</v>
      </c>
      <c r="B160" s="39" t="str">
        <f>HYPERLINK('citations-it2-studies'!$D160,'citations-it2-studies'!$B160)</f>
        <v>Evaluating robot operating system's capabilities across distributed containerized systems</v>
      </c>
      <c r="C160">
        <f>'citations-it2-studies'!$C160</f>
        <v>2024</v>
      </c>
      <c r="D160">
        <f>'citations-it2-studies'!$H160</f>
        <v>0</v>
      </c>
    </row>
    <row r="161" spans="1:4">
      <c r="A161" t="s">
        <v>4274</v>
      </c>
      <c r="B161" s="39" t="str">
        <f>HYPERLINK('citations-it2-studies'!$D161,'citations-it2-studies'!$B161)</f>
        <v>Applicability of OPC UA and REST in Edge Computing</v>
      </c>
      <c r="C161">
        <f>'citations-it2-studies'!$C161</f>
        <v>2022</v>
      </c>
      <c r="D161">
        <f>'citations-it2-studies'!$H161</f>
        <v>6</v>
      </c>
    </row>
    <row r="162" spans="1:4">
      <c r="A162" t="s">
        <v>4274</v>
      </c>
      <c r="B162" s="39" t="str">
        <f>HYPERLINK('citations-it2-studies'!$D162,'citations-it2-studies'!$B162)</f>
        <v>Implementation of DDS Cloud Platform for Real-time Data Acquisition of Sensors</v>
      </c>
      <c r="C162">
        <f>'citations-it2-studies'!$C162</f>
        <v>2021</v>
      </c>
      <c r="D162">
        <f>'citations-it2-studies'!$H162</f>
        <v>2</v>
      </c>
    </row>
    <row r="163" spans="1:4">
      <c r="A163" t="s">
        <v>4274</v>
      </c>
      <c r="B163" s="39" t="str">
        <f>HYPERLINK('citations-it2-studies'!$D163,'citations-it2-studies'!$B163)</f>
        <v>Digital Twin for Monitoring an Industrial Process Using Augmented Reality</v>
      </c>
      <c r="C163">
        <f>'citations-it2-studies'!$C163</f>
        <v>2022</v>
      </c>
      <c r="D163">
        <f>'citations-it2-studies'!$H163</f>
        <v>5</v>
      </c>
    </row>
    <row r="164" spans="1:4">
      <c r="A164" t="s">
        <v>4274</v>
      </c>
      <c r="B164" s="39" t="str">
        <f>HYPERLINK('citations-it2-studies'!$D164,'citations-it2-studies'!$B164)</f>
        <v>Distributed Robotic Systems in the Edge-Cloud Continuum with ROS 2: a Review on Novel Architectures and Technology Readiness</v>
      </c>
      <c r="C164">
        <f>'citations-it2-studies'!$C164</f>
        <v>2022</v>
      </c>
      <c r="D164">
        <f>'citations-it2-studies'!$H164</f>
        <v>8</v>
      </c>
    </row>
    <row r="165" spans="1:4">
      <c r="A165" t="s">
        <v>4274</v>
      </c>
      <c r="B165" s="39" t="str">
        <f>HYPERLINK('citations-it2-studies'!$D165,'citations-it2-studies'!$B165)</f>
        <v>Cloud-Native Fog Robotics: Model-Based Deployment and Evaluation of Real-Time Applications</v>
      </c>
      <c r="C165">
        <f>'citations-it2-studies'!$C165</f>
        <v>2025</v>
      </c>
      <c r="D165">
        <f>'citations-it2-studies'!$H165</f>
        <v>8</v>
      </c>
    </row>
    <row r="166" spans="1:4">
      <c r="A166" t="s">
        <v>4274</v>
      </c>
      <c r="B166" s="39" t="str">
        <f>HYPERLINK('citations-it2-studies'!$D166,'citations-it2-studies'!$B166)</f>
        <v>Semantic Information Extraction from Multi-modal Technical Document</v>
      </c>
      <c r="C166">
        <f>'citations-it2-studies'!$C166</f>
        <v>2023</v>
      </c>
      <c r="D166">
        <f>'citations-it2-studies'!$H166</f>
        <v>4</v>
      </c>
    </row>
    <row r="167" spans="1:4">
      <c r="A167" t="s">
        <v>4274</v>
      </c>
      <c r="B167" s="39" t="str">
        <f>HYPERLINK('citations-it2-studies'!$D167,'citations-it2-studies'!$B167)</f>
        <v>A Survey and Comparison of Publish/Subscribe Protocols for the Industrial Internet of Things (IIoT)</v>
      </c>
      <c r="C167">
        <f>'citations-it2-studies'!$C167</f>
        <v>2022</v>
      </c>
      <c r="D167">
        <f>'citations-it2-studies'!$H167</f>
        <v>8</v>
      </c>
    </row>
    <row r="168" spans="1:4">
      <c r="A168" t="s">
        <v>4274</v>
      </c>
      <c r="B168" s="39" t="str">
        <f>HYPERLINK('citations-it2-studies'!$D168,'citations-it2-studies'!$B168)</f>
        <v>Approaching Interoperability and Data-Related Processing Issues in a Human-Centric Industrial Scenario</v>
      </c>
      <c r="C168">
        <f>'citations-it2-studies'!$C168</f>
        <v>2025</v>
      </c>
      <c r="D168">
        <f>'citations-it2-studies'!$H168</f>
        <v>14</v>
      </c>
    </row>
    <row r="169" spans="1:4">
      <c r="A169" t="s">
        <v>4274</v>
      </c>
      <c r="B169" s="39" t="str">
        <f>HYPERLINK('citations-it2-studies'!$D169,'citations-it2-studies'!$B169)</f>
        <v>Semantic Interconnection Scheme for Industrial Wireless Sensor Networks and Industrial Internet with OPC UA Pub/Sub.</v>
      </c>
      <c r="C169">
        <f>'citations-it2-studies'!$C169</f>
        <v>2022</v>
      </c>
      <c r="D169">
        <f>'citations-it2-studies'!$H169</f>
        <v>1</v>
      </c>
    </row>
    <row r="170" spans="1:4">
      <c r="A170" t="s">
        <v>4274</v>
      </c>
      <c r="B170" s="39" t="str">
        <f>HYPERLINK('citations-it2-studies'!$D170,'citations-it2-studies'!$B170)</f>
        <v>New Can Bus Communication Modules for Digitizing Forest Machines Functionalities in the Context of Forestry 4.0</v>
      </c>
      <c r="C170">
        <f>'citations-it2-studies'!$C170</f>
        <v>2023</v>
      </c>
      <c r="D170">
        <f>'citations-it2-studies'!$H170</f>
        <v>9</v>
      </c>
    </row>
    <row r="171" spans="1:4">
      <c r="A171" t="s">
        <v>4274</v>
      </c>
      <c r="B171" s="39" t="str">
        <f>HYPERLINK('citations-it2-studies'!$D171,'citations-it2-studies'!$B171)</f>
        <v>Design of an Operator Interface for Controlling the Installation of Ion-Plasma Deposition</v>
      </c>
      <c r="C171">
        <f>'citations-it2-studies'!$C171</f>
        <v>2023</v>
      </c>
      <c r="D171">
        <f>'citations-it2-studies'!$H171</f>
        <v>10</v>
      </c>
    </row>
    <row r="172" spans="1:4">
      <c r="A172" t="s">
        <v>4274</v>
      </c>
      <c r="B172" s="39" t="str">
        <f>HYPERLINK('citations-it2-studies'!$D172,'citations-it2-studies'!$B172)</f>
        <v>Displaying Dispatching Systems on Android Devices with Assessment of Data Transfer Protocols</v>
      </c>
      <c r="C172">
        <f>'citations-it2-studies'!$C172</f>
        <v>2025</v>
      </c>
      <c r="D172">
        <f>'citations-it2-studies'!$H172</f>
        <v>5</v>
      </c>
    </row>
    <row r="173" spans="1:4">
      <c r="A173" t="s">
        <v>4274</v>
      </c>
      <c r="B173" s="39" t="str">
        <f>HYPERLINK('citations-it2-studies'!$D173,'citations-it2-studies'!$B173)</f>
        <v>Event-based Framework for Digitalization of Value Stream Mapping</v>
      </c>
      <c r="C173">
        <f>'citations-it2-studies'!$C173</f>
        <v>2022</v>
      </c>
      <c r="D173">
        <f>'citations-it2-studies'!$H173</f>
        <v>6</v>
      </c>
    </row>
    <row r="174" spans="1:4">
      <c r="A174" t="s">
        <v>4274</v>
      </c>
      <c r="B174" s="39" t="str">
        <f>HYPERLINK('citations-it2-studies'!$D174,'citations-it2-studies'!$B174)</f>
        <v>Open source container orchestration for Industry 4.0 – requirements and systematic feature analysis</v>
      </c>
      <c r="C174">
        <f>'citations-it2-studies'!$C174</f>
        <v>2024</v>
      </c>
      <c r="D174">
        <f>'citations-it2-studies'!$H174</f>
        <v>24</v>
      </c>
    </row>
    <row r="175" spans="1:4">
      <c r="A175" t="s">
        <v>4274</v>
      </c>
      <c r="B175" s="39" t="str">
        <f>HYPERLINK('citations-it2-studies'!$D175,'citations-it2-studies'!$B175)</f>
        <v>Optimizing Renewable Energy Using Scalable Solutions: IoT Integration in Renewable Energy Laboratories</v>
      </c>
      <c r="C175">
        <f>'citations-it2-studies'!$C175</f>
        <v>2024</v>
      </c>
      <c r="D175">
        <f>'citations-it2-studies'!$H175</f>
        <v>6</v>
      </c>
    </row>
    <row r="176" spans="1:4">
      <c r="A176" t="s">
        <v>4274</v>
      </c>
      <c r="B176" s="39" t="str">
        <f>HYPERLINK('citations-it2-studies'!$D176,'citations-it2-studies'!$B176)</f>
        <v>A new era for digital twins: progress and industry adoption</v>
      </c>
      <c r="C176">
        <f>'citations-it2-studies'!$C176</f>
        <v>2025</v>
      </c>
      <c r="D176">
        <f>'citations-it2-studies'!$H176</f>
        <v>0</v>
      </c>
    </row>
    <row r="177" spans="1:4">
      <c r="A177" t="s">
        <v>4275</v>
      </c>
      <c r="B177" s="39" t="str">
        <f>HYPERLINK('references-it2-studies'!$D2,'references-it2-studies'!$B2)</f>
        <v>URAI - On the in-controller performance of an open source EtherCAT master using open platforms</v>
      </c>
      <c r="C177">
        <f>'references-it2-studies'!$C2</f>
        <v>2017</v>
      </c>
      <c r="D177">
        <f>'references-it2-studies'!$H2</f>
        <v>5</v>
      </c>
    </row>
    <row r="178" spans="1:4">
      <c r="A178" t="s">
        <v>4275</v>
      </c>
      <c r="B178" s="39" t="str">
        <f>HYPERLINK('references-it2-studies'!$D3,'references-it2-studies'!$B3)</f>
        <v>ICSA - Self-Commissioning Industrial IoT-Systems in Process Automation: A Reference Architecture</v>
      </c>
      <c r="C178">
        <f>'references-it2-studies'!$C3</f>
        <v>2018</v>
      </c>
      <c r="D178">
        <f>'references-it2-studies'!$H3</f>
        <v>19414</v>
      </c>
    </row>
    <row r="179" spans="1:4">
      <c r="A179" t="s">
        <v>4275</v>
      </c>
      <c r="B179" s="39" t="str">
        <f>HYPERLINK('references-it2-studies'!$D4,'references-it2-studies'!$B4)</f>
        <v>Case of study of a Profinet network using ring topology</v>
      </c>
      <c r="C179">
        <f>'references-it2-studies'!$C4</f>
        <v>2016</v>
      </c>
      <c r="D179">
        <f>'references-it2-studies'!$H4</f>
        <v>6</v>
      </c>
    </row>
    <row r="180" spans="1:4">
      <c r="A180" t="s">
        <v>4275</v>
      </c>
      <c r="B180" s="39" t="str">
        <f>HYPERLINK('references-it2-studies'!$D5,'references-it2-studies'!$B5)</f>
        <v>A Survey on Middleware Approaches for Distributed Real-Time Systems</v>
      </c>
      <c r="C180">
        <f>'references-it2-studies'!$C5</f>
        <v>2014</v>
      </c>
      <c r="D180">
        <f>'references-it2-studies'!$H5</f>
        <v>12</v>
      </c>
    </row>
    <row r="181" spans="1:4">
      <c r="A181" t="s">
        <v>4275</v>
      </c>
      <c r="B181" s="39" t="str">
        <f>HYPERLINK('references-it2-studies'!$D6,'references-it2-studies'!$B6)</f>
        <v>Internet Group Management Protocol, Version 3</v>
      </c>
      <c r="C181">
        <f>'references-it2-studies'!$C6</f>
        <v>2002</v>
      </c>
      <c r="D181">
        <f>'references-it2-studies'!$H6</f>
        <v>0</v>
      </c>
    </row>
    <row r="182" spans="1:4">
      <c r="A182" t="s">
        <v>4275</v>
      </c>
      <c r="B182" s="39" t="str">
        <f>HYPERLINK('references-it2-studies'!$D7,'references-it2-studies'!$B7)</f>
        <v>Performance Evaluation of QoS metrics in Software Defined Networking using Ryu Controller</v>
      </c>
      <c r="C182">
        <f>'references-it2-studies'!$C7</f>
        <v>2021</v>
      </c>
      <c r="D182">
        <f>'references-it2-studies'!$H7</f>
        <v>0</v>
      </c>
    </row>
    <row r="183" spans="1:4">
      <c r="A183" t="s">
        <v>4275</v>
      </c>
      <c r="B183" s="39" t="str">
        <f>HYPERLINK('references-it2-studies'!$D8,'references-it2-studies'!$B8)</f>
        <v>EMSOFT - Exploring the performance of ROS2</v>
      </c>
      <c r="C183">
        <f>'references-it2-studies'!$C8</f>
        <v>2016</v>
      </c>
      <c r="D183">
        <f>'references-it2-studies'!$H8</f>
        <v>6</v>
      </c>
    </row>
    <row r="184" spans="1:4">
      <c r="A184" t="s">
        <v>4275</v>
      </c>
      <c r="B184" s="39" t="str">
        <f>HYPERLINK('references-it2-studies'!$D9,'references-it2-studies'!$B9)</f>
        <v>A Middleware Based Architecture for the Industrial Internet of Things</v>
      </c>
      <c r="C184">
        <f>'references-it2-studies'!$C9</f>
        <v>2016</v>
      </c>
      <c r="D184">
        <f>'references-it2-studies'!$H9</f>
        <v>18</v>
      </c>
    </row>
    <row r="185" spans="1:4">
      <c r="A185" t="s">
        <v>4275</v>
      </c>
      <c r="B185" s="39" t="str">
        <f>HYPERLINK('references-it2-studies'!$D10,'references-it2-studies'!$B10)</f>
        <v>Edge Computing in Industrial Internet of Things: Architecture, Advances and Challenges</v>
      </c>
      <c r="C185">
        <f>'references-it2-studies'!$C10</f>
        <v>2020</v>
      </c>
      <c r="D185">
        <f>'references-it2-studies'!$H10</f>
        <v>27</v>
      </c>
    </row>
    <row r="186" spans="1:4">
      <c r="A186" t="s">
        <v>4275</v>
      </c>
      <c r="B186" s="39" t="str">
        <f>HYPERLINK('references-it2-studies'!$D11,'references-it2-studies'!$B11)</f>
        <v>Message Encryption in Robot Operating System: Collateral Effects of Hardening Mobile Robots</v>
      </c>
      <c r="C186">
        <f>'references-it2-studies'!$C11</f>
        <v>2018</v>
      </c>
      <c r="D186">
        <f>'references-it2-studies'!$H11</f>
        <v>0</v>
      </c>
    </row>
    <row r="187" spans="1:4">
      <c r="A187" t="s">
        <v>4275</v>
      </c>
      <c r="B187" s="39" t="str">
        <f>HYPERLINK('references-it2-studies'!$D12,'references-it2-studies'!$B12)</f>
        <v>ICSE (SEIP) - OpenPnP: a plug-and-produce architecture for the industrial internet of things</v>
      </c>
      <c r="C187">
        <f>'references-it2-studies'!$C12</f>
        <v>2019</v>
      </c>
      <c r="D187">
        <f>'references-it2-studies'!$H12</f>
        <v>10</v>
      </c>
    </row>
    <row r="188" spans="1:4">
      <c r="A188" t="s">
        <v>4275</v>
      </c>
      <c r="B188" s="39" t="str">
        <f>HYPERLINK('references-it2-studies'!$D13,'references-it2-studies'!$B13)</f>
        <v>Network Intrusion Detection using Machine Learning Techniques</v>
      </c>
      <c r="C188">
        <f>'references-it2-studies'!$C13</f>
        <v>2020</v>
      </c>
      <c r="D188">
        <f>'references-it2-studies'!$H13</f>
        <v>7</v>
      </c>
    </row>
    <row r="189" spans="1:4">
      <c r="A189" t="s">
        <v>4275</v>
      </c>
      <c r="B189" s="39" t="str">
        <f>HYPERLINK('references-it2-studies'!$D14,'references-it2-studies'!$B14)</f>
        <v>A Distributed Instrument for Performance Analysis of Real-Time Ethernet Networks</v>
      </c>
      <c r="C189">
        <f>'references-it2-studies'!$C14</f>
        <v>2008</v>
      </c>
      <c r="D189">
        <f>'references-it2-studies'!$H14</f>
        <v>10</v>
      </c>
    </row>
    <row r="190" spans="1:4">
      <c r="A190" t="s">
        <v>4275</v>
      </c>
      <c r="B190" s="39" t="str">
        <f>HYPERLINK('references-it2-studies'!$D15,'references-it2-studies'!$B15)</f>
        <v>ETFA - New approach for improvements and comparison of high performance real-time ethernet networks</v>
      </c>
      <c r="C190">
        <f>'references-it2-studies'!$C15</f>
        <v>2014</v>
      </c>
      <c r="D190">
        <f>'references-it2-studies'!$H15</f>
        <v>4</v>
      </c>
    </row>
    <row r="191" spans="1:4">
      <c r="A191" t="s">
        <v>4275</v>
      </c>
      <c r="B191" s="39" t="str">
        <f>HYPERLINK('references-it2-studies'!$D16,'references-it2-studies'!$B16)</f>
        <v>Performance Analysis of Profibus DP and Profinet in a Motion Control Application</v>
      </c>
      <c r="C191">
        <f>'references-it2-studies'!$C16</f>
        <v>2016</v>
      </c>
      <c r="D191">
        <f>'references-it2-studies'!$H16</f>
        <v>8</v>
      </c>
    </row>
    <row r="192" spans="1:4">
      <c r="A192" t="s">
        <v>4275</v>
      </c>
      <c r="B192" s="39" t="str">
        <f>HYPERLINK('references-it2-studies'!$D17,'references-it2-studies'!$B17)</f>
        <v>The Industrial Communication Technology Handbook - The Industrial Communication Technology Handbook</v>
      </c>
      <c r="C192">
        <f>'references-it2-studies'!$C17</f>
        <v>2005</v>
      </c>
      <c r="D192">
        <f>'references-it2-studies'!$H17</f>
        <v>0</v>
      </c>
    </row>
    <row r="193" spans="1:4">
      <c r="A193" t="s">
        <v>4275</v>
      </c>
      <c r="B193" s="39" t="str">
        <f>HYPERLINK('references-it2-studies'!$D18,'references-it2-studies'!$B18)</f>
        <v>Ethernet-Based Real-Time and Industrial Communications</v>
      </c>
      <c r="C193">
        <f>'references-it2-studies'!$C18</f>
        <v>2005</v>
      </c>
      <c r="D193">
        <f>'references-it2-studies'!$H18</f>
        <v>16</v>
      </c>
    </row>
    <row r="194" spans="1:4">
      <c r="A194" t="s">
        <v>4275</v>
      </c>
      <c r="B194" s="39" t="str">
        <f>HYPERLINK('references-it2-studies'!$D19,'references-it2-studies'!$B19)</f>
        <v>OPC Unified Architecture</v>
      </c>
      <c r="C194">
        <f>'references-it2-studies'!$C19</f>
        <v>2009</v>
      </c>
      <c r="D194">
        <f>'references-it2-studies'!$H19</f>
        <v>0</v>
      </c>
    </row>
    <row r="195" spans="1:4">
      <c r="A195" t="s">
        <v>4275</v>
      </c>
      <c r="B195" s="39" t="str">
        <f>HYPERLINK('references-it2-studies'!$D20,'references-it2-studies'!$B20)</f>
        <v>Industrial Communication Systems</v>
      </c>
      <c r="C195">
        <f>'references-it2-studies'!$C20</f>
        <v>2018</v>
      </c>
      <c r="D195">
        <f>'references-it2-studies'!$H20</f>
        <v>0</v>
      </c>
    </row>
    <row r="196" spans="1:4">
      <c r="A196" t="s">
        <v>4275</v>
      </c>
      <c r="B196" s="39" t="str">
        <f>HYPERLINK('references-it2-studies'!$D21,'references-it2-studies'!$B21)</f>
        <v>Factory Communications at the Dawn of the Fourth Industrial Revolution</v>
      </c>
      <c r="C196">
        <f>'references-it2-studies'!$C21</f>
        <v>2020</v>
      </c>
      <c r="D196">
        <f>'references-it2-studies'!$H21</f>
        <v>0</v>
      </c>
    </row>
    <row r="197" spans="1:4">
      <c r="A197" t="s">
        <v>4275</v>
      </c>
      <c r="B197" s="39" t="str">
        <f>HYPERLINK('references-it2-studies'!$D22,'references-it2-studies'!$B22)</f>
        <v>IEEE 1588 for Clock Synchronization in Industrial IoT and Related Applications: A Review on Contributing Technologies, Protocols and Enhancement Methodologies</v>
      </c>
      <c r="C197">
        <f>'references-it2-studies'!$C22</f>
        <v>2020</v>
      </c>
      <c r="D197">
        <f>'references-it2-studies'!$H22</f>
        <v>19</v>
      </c>
    </row>
    <row r="198" spans="1:4">
      <c r="A198" t="s">
        <v>4275</v>
      </c>
      <c r="B198" s="39" t="str">
        <f>HYPERLINK('references-it2-studies'!$D23,'references-it2-studies'!$B23)</f>
        <v>PERFORMANCE ANALYSIS OF ETHERNET/IP NETWORKS</v>
      </c>
      <c r="C198">
        <f>'references-it2-studies'!$C23</f>
        <v>2007</v>
      </c>
      <c r="D198">
        <f>'references-it2-studies'!$H23</f>
        <v>8</v>
      </c>
    </row>
    <row r="199" spans="1:4">
      <c r="A199" t="s">
        <v>4275</v>
      </c>
      <c r="B199" s="39" t="str">
        <f>HYPERLINK('references-it2-studies'!$D24,'references-it2-studies'!$B24)</f>
        <v>ETFA - Survey on real-time communication via ethernet in industrial automation environments</v>
      </c>
      <c r="C199">
        <f>'references-it2-studies'!$C24</f>
        <v>2014</v>
      </c>
      <c r="D199">
        <f>'references-it2-studies'!$H24</f>
        <v>8</v>
      </c>
    </row>
    <row r="200" spans="1:4">
      <c r="A200" t="s">
        <v>4275</v>
      </c>
      <c r="B200" s="39" t="str">
        <f>HYPERLINK('references-it2-studies'!$D25,'references-it2-studies'!$B25)</f>
        <v>Real-time Ethernet networks for motion control</v>
      </c>
      <c r="C200">
        <f>'references-it2-studies'!$C25</f>
        <v>2011</v>
      </c>
      <c r="D200">
        <f>'references-it2-studies'!$H25</f>
        <v>12</v>
      </c>
    </row>
    <row r="201" spans="1:4">
      <c r="A201" t="s">
        <v>4275</v>
      </c>
      <c r="B201" s="39" t="str">
        <f>HYPERLINK('references-it2-studies'!$D26,'references-it2-studies'!$B26)</f>
        <v>MetroInd4.0&amp;amp;IoT - Introducing a cloud based architecture for the distributed analysis of Real-Time Ethernet traffic</v>
      </c>
      <c r="C201">
        <f>'references-it2-studies'!$C26</f>
        <v>2020</v>
      </c>
      <c r="D201">
        <f>'references-it2-studies'!$H26</f>
        <v>6</v>
      </c>
    </row>
    <row r="202" spans="1:4">
      <c r="A202" t="s">
        <v>4275</v>
      </c>
      <c r="B202" s="39" t="str">
        <f>HYPERLINK('references-it2-studies'!$D27,'references-it2-studies'!$B27)</f>
        <v>ETFA - Precision of ethernet measurements based on software tools</v>
      </c>
      <c r="C202">
        <f>'references-it2-studies'!$C27</f>
        <v>2007</v>
      </c>
      <c r="D202">
        <f>'references-it2-studies'!$H27</f>
        <v>6</v>
      </c>
    </row>
    <row r="203" spans="1:4">
      <c r="A203" t="s">
        <v>4275</v>
      </c>
      <c r="B203" s="39" t="str">
        <f>HYPERLINK('references-it2-studies'!$D28,'references-it2-studies'!$B28)</f>
        <v>Siemens and EdgeX IIoT Platforms: A Functional and Performance Evaluation</v>
      </c>
      <c r="C203">
        <f>'references-it2-studies'!$C28</f>
        <v>2023</v>
      </c>
      <c r="D203">
        <f>'references-it2-studies'!$H28</f>
        <v>6</v>
      </c>
    </row>
    <row r="204" spans="1:4">
      <c r="A204" t="s">
        <v>4275</v>
      </c>
      <c r="B204" s="39" t="str">
        <f>HYPERLINK('references-it2-studies'!$D29,'references-it2-studies'!$B29)</f>
        <v>Guidelines for conducting and reporting case study research in software engineering</v>
      </c>
      <c r="C204">
        <f>'references-it2-studies'!$C29</f>
        <v>2008</v>
      </c>
      <c r="D204">
        <f>'references-it2-studies'!$H29</f>
        <v>34</v>
      </c>
    </row>
    <row r="205" spans="1:4">
      <c r="A205" t="s">
        <v>4275</v>
      </c>
      <c r="B205" s="39" t="str">
        <f>HYPERLINK('references-it2-studies'!$D30,'references-it2-studies'!$B30)</f>
        <v>COMPSAC - An Assessment of Internet of Things Protocols for Resource-Constrained Applications</v>
      </c>
      <c r="C205">
        <f>'references-it2-studies'!$C30</f>
        <v>2016</v>
      </c>
      <c r="D205">
        <f>'references-it2-studies'!$H30</f>
        <v>6</v>
      </c>
    </row>
    <row r="206" spans="1:4">
      <c r="A206" t="s">
        <v>4275</v>
      </c>
      <c r="B206" s="39" t="str">
        <f>HYPERLINK('references-it2-studies'!$D31,'references-it2-studies'!$B31)</f>
        <v>A Servo-Clock Model for Chains of Transparent Clocks Affected by Synchronization Period Jitter</v>
      </c>
      <c r="C206">
        <f>'references-it2-studies'!$C31</f>
        <v>2014</v>
      </c>
      <c r="D206">
        <f>'references-it2-studies'!$H31</f>
        <v>11</v>
      </c>
    </row>
    <row r="207" spans="1:4">
      <c r="A207" t="s">
        <v>4275</v>
      </c>
      <c r="B207" s="39" t="str">
        <f>HYPERLINK('references-it2-studies'!$D32,'references-it2-studies'!$B32)</f>
        <v>Formal and simulation-based timing analysis of Industrial-Ethernet sercos III over TSN</v>
      </c>
      <c r="C207">
        <f>'references-it2-studies'!$C32</f>
        <v>2017</v>
      </c>
      <c r="D207">
        <f>'references-it2-studies'!$H32</f>
        <v>0</v>
      </c>
    </row>
    <row r="208" spans="1:4">
      <c r="A208" t="s">
        <v>4275</v>
      </c>
      <c r="B208" s="39" t="str">
        <f>HYPERLINK('references-it2-studies'!$D33,'references-it2-studies'!$B33)</f>
        <v>Comparative study of various traffic generator tools</v>
      </c>
      <c r="C208">
        <f>'references-it2-studies'!$C33</f>
        <v>2014</v>
      </c>
      <c r="D208">
        <f>'references-it2-studies'!$H33</f>
        <v>6</v>
      </c>
    </row>
    <row r="209" spans="1:4">
      <c r="A209" t="s">
        <v>4275</v>
      </c>
      <c r="B209" s="39" t="str">
        <f>HYPERLINK('references-it2-studies'!$D34,'references-it2-studies'!$B34)</f>
        <v>POWERLINK and Ethernet/IP Comparison as Robust Industrial Ethernet Protocols</v>
      </c>
      <c r="C209">
        <f>'references-it2-studies'!$C34</f>
        <v>2017</v>
      </c>
      <c r="D209">
        <f>'references-it2-studies'!$H34</f>
        <v>6</v>
      </c>
    </row>
    <row r="210" spans="1:4">
      <c r="A210" t="s">
        <v>4275</v>
      </c>
      <c r="B210" s="39" t="str">
        <f>HYPERLINK('references-it2-studies'!$D35,'references-it2-studies'!$B35)</f>
        <v>Performance analysis of PROFINET networks</v>
      </c>
      <c r="C210">
        <f>'references-it2-studies'!$C35</f>
        <v>2006</v>
      </c>
      <c r="D210">
        <f>'references-it2-studies'!$H35</f>
        <v>17</v>
      </c>
    </row>
    <row r="211" spans="1:4">
      <c r="A211" t="s">
        <v>4275</v>
      </c>
      <c r="B211" s="39" t="str">
        <f>HYPERLINK('references-it2-studies'!$D36,'references-it2-studies'!$B36)</f>
        <v>Overhead and ACK-induced jitter in Modbus TCP communication</v>
      </c>
      <c r="C211">
        <f>'references-it2-studies'!$C36</f>
        <v>2015</v>
      </c>
      <c r="D211">
        <f>'references-it2-studies'!$H36</f>
        <v>6</v>
      </c>
    </row>
    <row r="212" spans="1:4">
      <c r="A212" t="s">
        <v>4275</v>
      </c>
      <c r="B212" s="39" t="str">
        <f>HYPERLINK('references-it2-studies'!$D37,'references-it2-studies'!$B37)</f>
        <v>MoWNet - Performance evaluation of IoT protocols under a constrained wireless access network</v>
      </c>
      <c r="C212">
        <f>'references-it2-studies'!$C37</f>
        <v>2016</v>
      </c>
      <c r="D212">
        <f>'references-it2-studies'!$H37</f>
        <v>7</v>
      </c>
    </row>
    <row r="213" spans="1:4">
      <c r="A213" t="s">
        <v>4275</v>
      </c>
      <c r="B213" s="39" t="str">
        <f>HYPERLINK('references-it2-studies'!$D38,'references-it2-studies'!$B38)</f>
        <v>CN - Introduction to OPC UA Performance</v>
      </c>
      <c r="C213">
        <f>'references-it2-studies'!$C38</f>
        <v>2012</v>
      </c>
      <c r="D213">
        <f>'references-it2-studies'!$H38</f>
        <v>10</v>
      </c>
    </row>
    <row r="214" spans="1:4">
      <c r="A214" t="s">
        <v>4275</v>
      </c>
      <c r="B214" s="39" t="str">
        <f>HYPERLINK('references-it2-studies'!$D39,'references-it2-studies'!$B39)</f>
        <v>WFCS - Hybrid OPC UA and DDS: Combining architectural styles for the industrial internet</v>
      </c>
      <c r="C214">
        <f>'references-it2-studies'!$C39</f>
        <v>2016</v>
      </c>
      <c r="D214">
        <f>'references-it2-studies'!$H39</f>
        <v>7</v>
      </c>
    </row>
    <row r="215" spans="1:4">
      <c r="A215" t="s">
        <v>4275</v>
      </c>
      <c r="B215" s="39" t="str">
        <f>HYPERLINK('references-it2-studies'!$D40,'references-it2-studies'!$B40)</f>
        <v>ETFA - Real Time Ethernet networks evaluation using performance indicators</v>
      </c>
      <c r="C215">
        <f>'references-it2-studies'!$C40</f>
        <v>2009</v>
      </c>
      <c r="D215">
        <f>'references-it2-studies'!$H40</f>
        <v>8</v>
      </c>
    </row>
    <row r="216" spans="1:4">
      <c r="A216" t="s">
        <v>4275</v>
      </c>
      <c r="B216" s="39" t="str">
        <f>HYPERLINK('references-it2-studies'!$D41,'references-it2-studies'!$B41)</f>
        <v>DS-RT - Formal and simulation-based timing analysis of industrial-ethernet sercos III over TSN</v>
      </c>
      <c r="C216">
        <f>'references-it2-studies'!$C41</f>
        <v>2017</v>
      </c>
      <c r="D216">
        <f>'references-it2-studies'!$H41</f>
        <v>8</v>
      </c>
    </row>
    <row r="217" spans="1:4">
      <c r="A217" t="s">
        <v>4275</v>
      </c>
      <c r="B217" s="39" t="str">
        <f>HYPERLINK('references-it2-studies'!$D42,'references-it2-studies'!$B42)</f>
        <v>A case study of data acquisition from field devices using OPC UA and MQTT</v>
      </c>
      <c r="C217">
        <f>'references-it2-studies'!$C42</f>
        <v>2017</v>
      </c>
      <c r="D217">
        <f>'references-it2-studies'!$H42</f>
        <v>4</v>
      </c>
    </row>
    <row r="218" spans="1:4">
      <c r="B218" s="39"/>
    </row>
    <row r="219" spans="1:4">
      <c r="B219" s="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C8B0F-7CE6-493B-951B-82E0970AA44F}">
  <dimension ref="A1:D226"/>
  <sheetViews>
    <sheetView workbookViewId="0">
      <selection activeCell="A217" sqref="A2:A217"/>
    </sheetView>
  </sheetViews>
  <sheetFormatPr defaultRowHeight="12.75"/>
  <cols>
    <col min="2" max="2" width="33.28515625" customWidth="1"/>
  </cols>
  <sheetData>
    <row r="1" spans="1:4">
      <c r="A1" t="s">
        <v>47</v>
      </c>
      <c r="B1" t="s">
        <v>2</v>
      </c>
      <c r="C1" t="s">
        <v>32</v>
      </c>
      <c r="D1" t="s">
        <v>327</v>
      </c>
    </row>
    <row r="2" spans="1:4">
      <c r="A2" t="s">
        <v>4274</v>
      </c>
      <c r="B2" s="39" t="str">
        <f>HYPERLINK('citations-it2-studies'!$D2,'citations-it2-studies'!$B2)</f>
        <v>Programming of Skill-Based Robots</v>
      </c>
      <c r="C2">
        <f>'citations-it2-studies'!$C2</f>
        <v>2024</v>
      </c>
      <c r="D2">
        <f>'citations-it2-studies'!$H2</f>
        <v>7</v>
      </c>
    </row>
    <row r="3" spans="1:4">
      <c r="A3" t="s">
        <v>4274</v>
      </c>
      <c r="B3" s="39" t="str">
        <f>HYPERLINK('citations-it2-studies'!$D3,'citations-it2-studies'!$B3)</f>
        <v>A CAD feature-based manufacturing approach with OPC UA skills</v>
      </c>
      <c r="C3">
        <f>'citations-it2-studies'!$C3</f>
        <v>2020</v>
      </c>
      <c r="D3">
        <f>'citations-it2-studies'!$H3</f>
        <v>8</v>
      </c>
    </row>
    <row r="4" spans="1:4">
      <c r="A4" t="s">
        <v>4274</v>
      </c>
      <c r="B4" s="39" t="str">
        <f>HYPERLINK('citations-it2-studies'!$D4,'citations-it2-studies'!$B4)</f>
        <v>Optimising data visualisation in the process control and IIoT environments</v>
      </c>
      <c r="C4">
        <f>'citations-it2-studies'!$C4</f>
        <v>2022</v>
      </c>
      <c r="D4">
        <f>'citations-it2-studies'!$H4</f>
        <v>14</v>
      </c>
    </row>
    <row r="5" spans="1:4">
      <c r="A5" t="s">
        <v>4274</v>
      </c>
      <c r="B5" s="39" t="str">
        <f>HYPERLINK('citations-it2-studies'!$D5,'citations-it2-studies'!$B5)</f>
        <v>SOHOMA - About the Applicability of IoT Concept for Classical Manufacturing Systems</v>
      </c>
      <c r="C5">
        <f>'citations-it2-studies'!$C5</f>
        <v>2021</v>
      </c>
      <c r="D5">
        <f>'citations-it2-studies'!$H5</f>
        <v>12</v>
      </c>
    </row>
    <row r="6" spans="1:4">
      <c r="A6" t="s">
        <v>4274</v>
      </c>
      <c r="B6" s="39" t="str">
        <f>HYPERLINK('citations-it2-studies'!$D6,'citations-it2-studies'!$B6)</f>
        <v>Evaluation of OPC-UA communication in an autonomous advanced manufacturing cell implementation</v>
      </c>
      <c r="C6">
        <f>'citations-it2-studies'!$C6</f>
        <v>2020</v>
      </c>
      <c r="D6">
        <f>'citations-it2-studies'!$H6</f>
        <v>17</v>
      </c>
    </row>
    <row r="7" spans="1:4">
      <c r="A7" t="s">
        <v>4274</v>
      </c>
      <c r="B7" s="39" t="str">
        <f>HYPERLINK('citations-it2-studies'!$D7,'citations-it2-studies'!$B7)</f>
        <v>IC2E - A Comprehensive Performance Evaluation of Different Kubernetes CNI Plugins for Edge-based and Containerized Publish/Subscribe Applications.</v>
      </c>
      <c r="C7">
        <f>'citations-it2-studies'!$C7</f>
        <v>2021</v>
      </c>
      <c r="D7">
        <f>'citations-it2-studies'!$H7</f>
        <v>12</v>
      </c>
    </row>
    <row r="8" spans="1:4">
      <c r="A8" t="s">
        <v>4274</v>
      </c>
      <c r="B8" s="39" t="str">
        <f>HYPERLINK('citations-it2-studies'!$D8,'citations-it2-studies'!$B8)</f>
        <v>Smartspectrometer—embedded optical spectroscopy for applications in agriculture and industry</v>
      </c>
      <c r="C8">
        <f>'citations-it2-studies'!$C8</f>
        <v>2021</v>
      </c>
      <c r="D8">
        <f>'citations-it2-studies'!$H8</f>
        <v>0</v>
      </c>
    </row>
    <row r="9" spans="1:4">
      <c r="A9" t="s">
        <v>4274</v>
      </c>
      <c r="B9" s="39" t="str">
        <f>HYPERLINK('citations-it2-studies'!$D9,'citations-it2-studies'!$B9)</f>
        <v>Internet of Things (IoT) Protocols, Communication Technologies, and Services in Industry</v>
      </c>
      <c r="C9">
        <f>'citations-it2-studies'!$C9</f>
        <v>2021</v>
      </c>
      <c r="D9">
        <f>'citations-it2-studies'!$H9</f>
        <v>7</v>
      </c>
    </row>
    <row r="10" spans="1:4">
      <c r="A10" t="s">
        <v>4274</v>
      </c>
      <c r="B10" s="39" t="str">
        <f>HYPERLINK('citations-it2-studies'!$D10,'citations-it2-studies'!$B10)</f>
        <v>Towards Digital Twin for Biopharmaceutical Processes: Concept and Progress</v>
      </c>
      <c r="C10">
        <f>'citations-it2-studies'!$C10</f>
        <v>2023</v>
      </c>
      <c r="D10">
        <f>'citations-it2-studies'!$H10</f>
        <v>33</v>
      </c>
    </row>
    <row r="11" spans="1:4">
      <c r="A11" t="s">
        <v>4274</v>
      </c>
      <c r="B11" s="39" t="str">
        <f>HYPERLINK('citations-it2-studies'!$D11,'citations-it2-studies'!$B11)</f>
        <v>Autoware_Perf: A tracing and performance analysis framework for ROS 2 applications</v>
      </c>
      <c r="C11">
        <f>'citations-it2-studies'!$C11</f>
        <v>2022</v>
      </c>
      <c r="D11">
        <f>'citations-it2-studies'!$H11</f>
        <v>1</v>
      </c>
    </row>
    <row r="12" spans="1:4">
      <c r="A12" t="s">
        <v>4274</v>
      </c>
      <c r="B12" s="39" t="str">
        <f>HYPERLINK('citations-it2-studies'!$D12,'citations-it2-studies'!$B12)</f>
        <v>Investigating Messaging Protocols for the Internet of Things (IoT)</v>
      </c>
      <c r="C12">
        <f>'citations-it2-studies'!$C12</f>
        <v>2020</v>
      </c>
      <c r="D12">
        <f>'citations-it2-studies'!$H12</f>
        <v>32</v>
      </c>
    </row>
    <row r="13" spans="1:4">
      <c r="A13" t="s">
        <v>4274</v>
      </c>
      <c r="B13" s="39" t="str">
        <f>HYPERLINK('citations-it2-studies'!$D13,'citations-it2-studies'!$B13)</f>
        <v>Design of a micro-service based Data Pool for device integration to speed up digitalization</v>
      </c>
      <c r="C13">
        <f>'citations-it2-studies'!$C13</f>
        <v>2019</v>
      </c>
      <c r="D13">
        <f>'citations-it2-studies'!$H13</f>
        <v>4</v>
      </c>
    </row>
    <row r="14" spans="1:4">
      <c r="A14" t="s">
        <v>4274</v>
      </c>
      <c r="B14" s="39" t="str">
        <f>HYPERLINK('citations-it2-studies'!$D14,'citations-it2-studies'!$B14)</f>
        <v>ESORICS (2) - Towards Post-Quantum Security for Cyber-Physical Systems: Integrating PQC into Industrial M2M Communication.</v>
      </c>
      <c r="C14">
        <f>'citations-it2-studies'!$C14</f>
        <v>2020</v>
      </c>
      <c r="D14">
        <f>'citations-it2-studies'!$H14</f>
        <v>22</v>
      </c>
    </row>
    <row r="15" spans="1:4">
      <c r="A15" t="s">
        <v>4274</v>
      </c>
      <c r="B15" s="39" t="str">
        <f>HYPERLINK('citations-it2-studies'!$D15,'citations-it2-studies'!$B15)</f>
        <v>An Autonomous Edge Box System Architecture for Industrial IoT Applications</v>
      </c>
      <c r="C15">
        <f>'citations-it2-studies'!$C15</f>
        <v>2024</v>
      </c>
      <c r="D15">
        <f>'citations-it2-studies'!$H15</f>
        <v>6</v>
      </c>
    </row>
    <row r="16" spans="1:4">
      <c r="A16" t="s">
        <v>4274</v>
      </c>
      <c r="B16" s="39" t="str">
        <f>HYPERLINK('citations-it2-studies'!$D16,'citations-it2-studies'!$B16)</f>
        <v>Methodology for Plant Specific Cultivation through a Plant Identification pipeline</v>
      </c>
      <c r="C16">
        <f>'citations-it2-studies'!$C16</f>
        <v>2020</v>
      </c>
      <c r="D16">
        <f>'citations-it2-studies'!$H16</f>
        <v>5</v>
      </c>
    </row>
    <row r="17" spans="1:4">
      <c r="A17" t="s">
        <v>4274</v>
      </c>
      <c r="B17" s="39" t="str">
        <f>HYPERLINK('citations-it2-studies'!$D17,'citations-it2-studies'!$B17)</f>
        <v>Data Science on Industrial Data—Today’s Challenges in Brown Field Applications</v>
      </c>
      <c r="C17">
        <f>'citations-it2-studies'!$C17</f>
        <v>2021</v>
      </c>
      <c r="D17">
        <f>'citations-it2-studies'!$H17</f>
        <v>0</v>
      </c>
    </row>
    <row r="18" spans="1:4">
      <c r="A18" t="s">
        <v>4274</v>
      </c>
      <c r="B18" s="39" t="str">
        <f>HYPERLINK('citations-it2-studies'!$D18,'citations-it2-studies'!$B18)</f>
        <v>Towards post-quantum security for cyber-physical systems: Integrating PQC into industrial M2M communication</v>
      </c>
      <c r="C18">
        <f>'citations-it2-studies'!$C18</f>
        <v>2021</v>
      </c>
      <c r="D18">
        <f>'citations-it2-studies'!$H18</f>
        <v>31</v>
      </c>
    </row>
    <row r="19" spans="1:4">
      <c r="A19" t="s">
        <v>4274</v>
      </c>
      <c r="B19" s="39" t="str">
        <f>HYPERLINK('citations-it2-studies'!$D19,'citations-it2-studies'!$B19)</f>
        <v>MES-integrated digital twin frameworks</v>
      </c>
      <c r="C19">
        <f>'citations-it2-studies'!$C19</f>
        <v>2020</v>
      </c>
      <c r="D19">
        <f>'citations-it2-studies'!$H19</f>
        <v>14</v>
      </c>
    </row>
    <row r="20" spans="1:4">
      <c r="A20" t="s">
        <v>4274</v>
      </c>
      <c r="B20" s="39" t="str">
        <f>HYPERLINK('citations-it2-studies'!$D20,'citations-it2-studies'!$B20)</f>
        <v>IIoT-Supported Manufacturing-Material-Flow Tracking in a DES-Based Digital-Twin Environment</v>
      </c>
      <c r="C20">
        <f>'citations-it2-studies'!$C20</f>
        <v>2023</v>
      </c>
      <c r="D20">
        <f>'citations-it2-studies'!$H20</f>
        <v>1</v>
      </c>
    </row>
    <row r="21" spans="1:4">
      <c r="A21" t="s">
        <v>4274</v>
      </c>
      <c r="B21" s="39" t="str">
        <f>HYPERLINK('citations-it2-studies'!$D21,'citations-it2-studies'!$B21)</f>
        <v>&lt;i&gt;SCOPE&lt;/i&gt; : Performance Testing for Serverless Computing</v>
      </c>
      <c r="C21">
        <f>'citations-it2-studies'!$C21</f>
        <v>2025</v>
      </c>
      <c r="D21">
        <f>'citations-it2-studies'!$H21</f>
        <v>30</v>
      </c>
    </row>
    <row r="22" spans="1:4">
      <c r="A22" t="s">
        <v>4274</v>
      </c>
      <c r="B22" s="39" t="str">
        <f>HYPERLINK('citations-it2-studies'!$D22,'citations-it2-studies'!$B22)</f>
        <v>A digital twin approach for online reconfiguration of robotic manufacturing systems toward plug-and-produce</v>
      </c>
      <c r="C22">
        <f>'citations-it2-studies'!$C22</f>
        <v>2025</v>
      </c>
      <c r="D22">
        <f>'citations-it2-studies'!$H22</f>
        <v>27</v>
      </c>
    </row>
    <row r="23" spans="1:4">
      <c r="A23" t="s">
        <v>4274</v>
      </c>
      <c r="B23" s="39" t="str">
        <f>HYPERLINK('citations-it2-studies'!$D23,'citations-it2-studies'!$B23)</f>
        <v>IIoT Protocols for Edge/Fog and Cloud Computing in Industrial AI</v>
      </c>
      <c r="C23">
        <f>'citations-it2-studies'!$C23</f>
        <v>2024</v>
      </c>
      <c r="D23">
        <f>'citations-it2-studies'!$H23</f>
        <v>30</v>
      </c>
    </row>
    <row r="24" spans="1:4">
      <c r="A24" t="s">
        <v>4274</v>
      </c>
      <c r="B24" s="39" t="str">
        <f>HYPERLINK('citations-it2-studies'!$D24,'citations-it2-studies'!$B24)</f>
        <v>Unified Multi-Modal Data Aggregation for Complementary Sensor Networks Applied for Localization</v>
      </c>
      <c r="C24">
        <f>'citations-it2-studies'!$C24</f>
        <v>2022</v>
      </c>
      <c r="D24">
        <f>'citations-it2-studies'!$H24</f>
        <v>7</v>
      </c>
    </row>
    <row r="25" spans="1:4">
      <c r="A25" t="s">
        <v>4274</v>
      </c>
      <c r="B25" s="39" t="str">
        <f>HYPERLINK('citations-it2-studies'!$D25,'citations-it2-studies'!$B25)</f>
        <v>Leveraging Hybrid Information Centric Networking for Broker-Free Publish/Subscribe in IoT</v>
      </c>
      <c r="C25">
        <f>'citations-it2-studies'!$C25</f>
        <v>2023</v>
      </c>
      <c r="D25">
        <f>'citations-it2-studies'!$H25</f>
        <v>7</v>
      </c>
    </row>
    <row r="26" spans="1:4">
      <c r="A26" t="s">
        <v>4274</v>
      </c>
      <c r="B26" s="39" t="str">
        <f>HYPERLINK('citations-it2-studies'!$D26,'citations-it2-studies'!$B26)</f>
        <v>General Evaluation of EtherCAT-Based Techniques in Various Industrial Systems: Review and Applications</v>
      </c>
      <c r="C26">
        <f>'citations-it2-studies'!$C26</f>
        <v>2024</v>
      </c>
      <c r="D26">
        <f>'citations-it2-studies'!$H26</f>
        <v>13</v>
      </c>
    </row>
    <row r="27" spans="1:4">
      <c r="A27" t="s">
        <v>4274</v>
      </c>
      <c r="B27" s="39" t="str">
        <f>HYPERLINK('citations-it2-studies'!$D27,'citations-it2-studies'!$B27)</f>
        <v>ACHORD: Communication-Aware Multi-Robot Coordination With Intermittent Connectivity</v>
      </c>
      <c r="C27">
        <f>'citations-it2-studies'!$C27</f>
        <v>2022</v>
      </c>
      <c r="D27">
        <f>'citations-it2-studies'!$H27</f>
        <v>8</v>
      </c>
    </row>
    <row r="28" spans="1:4">
      <c r="A28" t="s">
        <v>4274</v>
      </c>
      <c r="B28" s="39" t="str">
        <f>HYPERLINK('citations-it2-studies'!$D28,'citations-it2-studies'!$B28)</f>
        <v>A Solution to the Generalized ROS Hardware IO Problem - A Generic Modbus/TCP Device Driver for PLCs, Sensors and Actuators</v>
      </c>
      <c r="C28">
        <f>'citations-it2-studies'!$C28</f>
        <v>2021</v>
      </c>
      <c r="D28">
        <f>'citations-it2-studies'!$H28</f>
        <v>8</v>
      </c>
    </row>
    <row r="29" spans="1:4">
      <c r="A29" t="s">
        <v>4274</v>
      </c>
      <c r="B29" s="39" t="str">
        <f>HYPERLINK('citations-it2-studies'!$D29,'citations-it2-studies'!$B29)</f>
        <v>ATLAS - A Generic Framework for Generation of Skill-Based Control Logic and Simulation Models for Intralogistics Applications</v>
      </c>
      <c r="C29">
        <f>'citations-it2-studies'!$C29</f>
        <v>2021</v>
      </c>
      <c r="D29">
        <f>'citations-it2-studies'!$H29</f>
        <v>8</v>
      </c>
    </row>
    <row r="30" spans="1:4">
      <c r="A30" t="s">
        <v>4274</v>
      </c>
      <c r="B30" s="39" t="str">
        <f>HYPERLINK('citations-it2-studies'!$D30,'citations-it2-studies'!$B30)</f>
        <v>DDS and OPC UA Protocol Coexistence Solution in Real-Time and Industry 4.0 Context Using Non-Ideal Infrastructure.</v>
      </c>
      <c r="C30">
        <f>'citations-it2-studies'!$C30</f>
        <v>2021</v>
      </c>
      <c r="D30">
        <f>'citations-it2-studies'!$H30</f>
        <v>0</v>
      </c>
    </row>
    <row r="31" spans="1:4">
      <c r="A31" t="s">
        <v>4274</v>
      </c>
      <c r="B31" s="39" t="str">
        <f>HYPERLINK('citations-it2-studies'!$D31,'citations-it2-studies'!$B31)</f>
        <v>An Intelligent Product-Driven Manufacturing System Using Data Distribution Service</v>
      </c>
      <c r="C31">
        <f>'citations-it2-studies'!$C31</f>
        <v>2024</v>
      </c>
      <c r="D31">
        <f>'citations-it2-studies'!$H31</f>
        <v>15</v>
      </c>
    </row>
    <row r="32" spans="1:4">
      <c r="A32" t="s">
        <v>4274</v>
      </c>
      <c r="B32" s="39" t="str">
        <f>HYPERLINK('citations-it2-studies'!$D32,'citations-it2-studies'!$B32)</f>
        <v>An Explainable Markov Chain-Machine Learning Sequential-Aware Anomaly Detection Framework for Industrial IoT Systems Based on OPC UA.</v>
      </c>
      <c r="C32">
        <f>'citations-it2-studies'!$C32</f>
        <v>2025</v>
      </c>
      <c r="D32">
        <f>'citations-it2-studies'!$H32</f>
        <v>1</v>
      </c>
    </row>
    <row r="33" spans="1:4">
      <c r="A33" t="s">
        <v>4274</v>
      </c>
      <c r="B33" s="39" t="str">
        <f>HYPERLINK('citations-it2-studies'!$D33,'citations-it2-studies'!$B33)</f>
        <v>A Review on SECS/GEM: A Machine-to-Machine (M2M) Communication Protocol for Industry 4.0</v>
      </c>
      <c r="C33">
        <f>'citations-it2-studies'!$C33</f>
        <v>2021</v>
      </c>
      <c r="D33">
        <f>'citations-it2-studies'!$H33</f>
        <v>10</v>
      </c>
    </row>
    <row r="34" spans="1:4">
      <c r="A34" t="s">
        <v>4274</v>
      </c>
      <c r="B34" s="39" t="str">
        <f>HYPERLINK('citations-it2-studies'!$D34,'citations-it2-studies'!$B34)</f>
        <v>A Digital Twin-Based Distributed Manufacturing Execution System for Industry 4.0 with AI-Powered On-The-Fly Replanning Capabilities</v>
      </c>
      <c r="C34">
        <f>'citations-it2-studies'!$C34</f>
        <v>2023</v>
      </c>
      <c r="D34">
        <f>'citations-it2-studies'!$H34</f>
        <v>1</v>
      </c>
    </row>
    <row r="35" spans="1:4">
      <c r="A35" t="s">
        <v>4274</v>
      </c>
      <c r="B35" s="39" t="str">
        <f>HYPERLINK('citations-it2-studies'!$D35,'citations-it2-studies'!$B35)</f>
        <v>Fostering End-of-Life Utilization by Information-driven Robotic Disassembly</v>
      </c>
      <c r="C35">
        <f>'citations-it2-studies'!$C35</f>
        <v>2021</v>
      </c>
      <c r="D35">
        <f>'citations-it2-studies'!$H35</f>
        <v>6</v>
      </c>
    </row>
    <row r="36" spans="1:4">
      <c r="A36" t="s">
        <v>4274</v>
      </c>
      <c r="B36" s="39" t="str">
        <f>HYPERLINK('citations-it2-studies'!$D36,'citations-it2-studies'!$B36)</f>
        <v>ComBench: A Benchmarking Framework for Publish/Subscribe Communication Protocols Under Network Limitations</v>
      </c>
      <c r="C36">
        <f>'citations-it2-studies'!$C36</f>
        <v>2021</v>
      </c>
      <c r="D36">
        <f>'citations-it2-studies'!$H36</f>
        <v>21</v>
      </c>
    </row>
    <row r="37" spans="1:4">
      <c r="A37" t="s">
        <v>4274</v>
      </c>
      <c r="B37" s="39" t="str">
        <f>HYPERLINK('citations-it2-studies'!$D37,'citations-it2-studies'!$B37)</f>
        <v>Utilising unsupervised machine learning and IoT for cost-effective anomaly detection in multi-layer wire arc additive manufacturing</v>
      </c>
      <c r="C37">
        <f>'citations-it2-studies'!$C37</f>
        <v>2024</v>
      </c>
      <c r="D37">
        <f>'citations-it2-studies'!$H37</f>
        <v>18</v>
      </c>
    </row>
    <row r="38" spans="1:4">
      <c r="A38" t="s">
        <v>4274</v>
      </c>
      <c r="B38" s="39" t="str">
        <f>HYPERLINK('citations-it2-studies'!$D38,'citations-it2-studies'!$B38)</f>
        <v>ICPS - Evaluation and Extension of OPC UA Publish/Subscribe MQTT Binding</v>
      </c>
      <c r="C38">
        <f>'citations-it2-studies'!$C38</f>
        <v>2020</v>
      </c>
      <c r="D38">
        <f>'citations-it2-studies'!$H38</f>
        <v>6</v>
      </c>
    </row>
    <row r="39" spans="1:4">
      <c r="A39" t="s">
        <v>4274</v>
      </c>
      <c r="B39" s="39" t="str">
        <f>HYPERLINK('citations-it2-studies'!$D39,'citations-it2-studies'!$B39)</f>
        <v>Innovation Meets Accessibility in Melt Electrowriting 3D Printer Design: Continuous Process Monitoring and Automation via Modular Software and Hardware</v>
      </c>
      <c r="C39">
        <f>'citations-it2-studies'!$C39</f>
        <v>2026</v>
      </c>
      <c r="D39">
        <f>'citations-it2-studies'!$H39</f>
        <v>0</v>
      </c>
    </row>
    <row r="40" spans="1:4">
      <c r="A40" t="s">
        <v>4274</v>
      </c>
      <c r="B40" s="39" t="str">
        <f>HYPERLINK('citations-it2-studies'!$D40,'citations-it2-studies'!$B40)</f>
        <v>ANT/EDI40 - An Investigation on Database Connections in OPC UA Applications</v>
      </c>
      <c r="C40">
        <f>'citations-it2-studies'!$C40</f>
        <v>2020</v>
      </c>
      <c r="D40">
        <f>'citations-it2-studies'!$H40</f>
        <v>8</v>
      </c>
    </row>
    <row r="41" spans="1:4">
      <c r="A41" t="s">
        <v>4274</v>
      </c>
      <c r="B41" s="39" t="str">
        <f>HYPERLINK('citations-it2-studies'!$D41,'citations-it2-studies'!$B41)</f>
        <v>A Generic Plug &amp; Produce System Composed of Semantic OPC UA Skills</v>
      </c>
      <c r="C41">
        <f>'citations-it2-studies'!$C41</f>
        <v>2021</v>
      </c>
      <c r="D41">
        <f>'citations-it2-studies'!$H41</f>
        <v>14</v>
      </c>
    </row>
    <row r="42" spans="1:4">
      <c r="A42" t="s">
        <v>4274</v>
      </c>
      <c r="B42" s="39" t="str">
        <f>HYPERLINK('citations-it2-studies'!$D42,'citations-it2-studies'!$B42)</f>
        <v>CASE - A Novel Architecture for Cyber-Physical Production Systems in Industry 4.0</v>
      </c>
      <c r="C42">
        <f>'citations-it2-studies'!$C42</f>
        <v>2021</v>
      </c>
      <c r="D42">
        <f>'citations-it2-studies'!$H42</f>
        <v>6</v>
      </c>
    </row>
    <row r="43" spans="1:4">
      <c r="A43" t="s">
        <v>4274</v>
      </c>
      <c r="B43" s="39" t="str">
        <f>HYPERLINK('citations-it2-studies'!$D43,'citations-it2-studies'!$B43)</f>
        <v>A Service-Oriented Real-Time Communication Scheme for AUTOSAR Adaptive Using OPC UA and Time-Sensitive Networking.</v>
      </c>
      <c r="C43">
        <f>'citations-it2-studies'!$C43</f>
        <v>2021</v>
      </c>
      <c r="D43">
        <f>'citations-it2-studies'!$H43</f>
        <v>0</v>
      </c>
    </row>
    <row r="44" spans="1:4">
      <c r="A44" t="s">
        <v>4274</v>
      </c>
      <c r="B44" s="39" t="str">
        <f>HYPERLINK('citations-it2-studies'!$D44,'citations-it2-studies'!$B44)</f>
        <v>DDS-XRCE Standard Performance Evaluation of Different Communication Scenarios in IoT Technologies</v>
      </c>
      <c r="C44">
        <f>'citations-it2-studies'!$C44</f>
        <v>2022</v>
      </c>
      <c r="D44">
        <f>'citations-it2-studies'!$H44</f>
        <v>1</v>
      </c>
    </row>
    <row r="45" spans="1:4">
      <c r="A45" t="s">
        <v>4274</v>
      </c>
      <c r="B45" s="39" t="str">
        <f>HYPERLINK('citations-it2-studies'!$D45,'citations-it2-studies'!$B45)</f>
        <v>REAM: A Framework for Resource Efficient Adaptive Monitoring of Community Spaces</v>
      </c>
      <c r="C45">
        <f>'citations-it2-studies'!$C45</f>
        <v>2021</v>
      </c>
      <c r="D45">
        <f>'citations-it2-studies'!$H45</f>
        <v>0</v>
      </c>
    </row>
    <row r="46" spans="1:4">
      <c r="A46" t="s">
        <v>4274</v>
      </c>
      <c r="B46" s="39" t="str">
        <f>HYPERLINK('citations-it2-studies'!$D46,'citations-it2-studies'!$B46)</f>
        <v>ETFA - A generic Approach for the Industrial Application of Skill-based Engineering using OPC UA</v>
      </c>
      <c r="C46">
        <f>'citations-it2-studies'!$C46</f>
        <v>2020</v>
      </c>
      <c r="D46">
        <f>'citations-it2-studies'!$H46</f>
        <v>8</v>
      </c>
    </row>
    <row r="47" spans="1:4">
      <c r="A47" t="s">
        <v>4274</v>
      </c>
      <c r="B47" s="39" t="str">
        <f>HYPERLINK('citations-it2-studies'!$D47,'citations-it2-studies'!$B47)</f>
        <v>An OPC UA PubSub Implementation Approach for Memory-Constrained Sensor Devices</v>
      </c>
      <c r="C47">
        <f>'citations-it2-studies'!$C47</f>
        <v>2022</v>
      </c>
      <c r="D47">
        <f>'citations-it2-studies'!$H47</f>
        <v>7</v>
      </c>
    </row>
    <row r="48" spans="1:4">
      <c r="A48" t="s">
        <v>4274</v>
      </c>
      <c r="B48" s="39" t="str">
        <f>HYPERLINK('citations-it2-studies'!$D48,'citations-it2-studies'!$B48)</f>
        <v>Achieving Accountability and Data Integrity in Message Queuing Telemetry Transport Using Blockchain and Interplanetary File System</v>
      </c>
      <c r="C48">
        <f>'citations-it2-studies'!$C48</f>
        <v>2024</v>
      </c>
      <c r="D48">
        <f>'citations-it2-studies'!$H48</f>
        <v>1</v>
      </c>
    </row>
    <row r="49" spans="1:4">
      <c r="A49" t="s">
        <v>4274</v>
      </c>
      <c r="B49" s="39" t="str">
        <f>HYPERLINK('citations-it2-studies'!$D49,'citations-it2-studies'!$B49)</f>
        <v>Fiber-Optic Sensing Technologies for Underground Pipeline Monitoring</v>
      </c>
      <c r="C49">
        <f>'citations-it2-studies'!$C49</f>
        <v>2025</v>
      </c>
      <c r="D49">
        <f>'citations-it2-studies'!$H49</f>
        <v>17</v>
      </c>
    </row>
    <row r="50" spans="1:4">
      <c r="A50" t="s">
        <v>4274</v>
      </c>
      <c r="B50" s="39" t="str">
        <f>HYPERLINK('citations-it2-studies'!$D50,'citations-it2-studies'!$B50)</f>
        <v>ICSA - Towards Resilient IoT Messaging: An Experience Report Analyzing MQTT Brokers</v>
      </c>
      <c r="C50">
        <f>'citations-it2-studies'!$C50</f>
        <v>2021</v>
      </c>
      <c r="D50">
        <f>'citations-it2-studies'!$H50</f>
        <v>11</v>
      </c>
    </row>
    <row r="51" spans="1:4">
      <c r="A51" t="s">
        <v>4274</v>
      </c>
      <c r="B51" s="39" t="str">
        <f>HYPERLINK('citations-it2-studies'!$D51,'citations-it2-studies'!$B51)</f>
        <v>Plant-wide interoperability and decoupled, data-driven process control with message bus communication</v>
      </c>
      <c r="C51">
        <f>'citations-it2-studies'!$C51</f>
        <v>2022</v>
      </c>
      <c r="D51">
        <f>'citations-it2-studies'!$H51</f>
        <v>0</v>
      </c>
    </row>
    <row r="52" spans="1:4">
      <c r="A52" t="s">
        <v>4274</v>
      </c>
      <c r="B52" s="39" t="str">
        <f>HYPERLINK('citations-it2-studies'!$D52,'citations-it2-studies'!$B52)</f>
        <v>Hyperconnected Architecture for High Cognitive Production Plants</v>
      </c>
      <c r="C52">
        <f>'citations-it2-studies'!$C52</f>
        <v>2021</v>
      </c>
      <c r="D52">
        <f>'citations-it2-studies'!$H52</f>
        <v>6</v>
      </c>
    </row>
    <row r="53" spans="1:4">
      <c r="A53" t="s">
        <v>4274</v>
      </c>
      <c r="B53" s="39" t="str">
        <f>HYPERLINK('citations-it2-studies'!$D53,'citations-it2-studies'!$B53)</f>
        <v>Review Literature Performance: Quality of Service from Internet of Things for Transportation System</v>
      </c>
      <c r="C53">
        <f>'citations-it2-studies'!$C53</f>
        <v>2021</v>
      </c>
      <c r="D53">
        <f>'citations-it2-studies'!$H53</f>
        <v>7</v>
      </c>
    </row>
    <row r="54" spans="1:4">
      <c r="A54" t="s">
        <v>4274</v>
      </c>
      <c r="B54" s="39" t="str">
        <f>HYPERLINK('citations-it2-studies'!$D54,'citations-it2-studies'!$B54)</f>
        <v>ETFA - Assessing Long Distance Communication Alternatives for the Remote Control of AGVs</v>
      </c>
      <c r="C54">
        <f>'citations-it2-studies'!$C54</f>
        <v>2020</v>
      </c>
      <c r="D54">
        <f>'citations-it2-studies'!$H54</f>
        <v>8</v>
      </c>
    </row>
    <row r="55" spans="1:4">
      <c r="A55" t="s">
        <v>4274</v>
      </c>
      <c r="B55" s="39" t="str">
        <f>HYPERLINK('citations-it2-studies'!$D55,'citations-it2-studies'!$B55)</f>
        <v>AdaEdge: A Dynamic Compression Selection Framework for Resource Constrained Devices</v>
      </c>
      <c r="C55">
        <f>'citations-it2-studies'!$C55</f>
        <v>2024</v>
      </c>
      <c r="D55">
        <f>'citations-it2-studies'!$H55</f>
        <v>14</v>
      </c>
    </row>
    <row r="56" spans="1:4">
      <c r="A56" t="s">
        <v>4274</v>
      </c>
      <c r="B56" s="39" t="str">
        <f>HYPERLINK('citations-it2-studies'!$D56,'citations-it2-studies'!$B56)</f>
        <v>IOT Companion - AI Approaches to Optimize Human-Machine Collaboration in Manufacturing Facilities with IoT-Ready Machinery</v>
      </c>
      <c r="C56">
        <f>'citations-it2-studies'!$C56</f>
        <v>2020</v>
      </c>
      <c r="D56">
        <f>'citations-it2-studies'!$H56</f>
        <v>5</v>
      </c>
    </row>
    <row r="57" spans="1:4">
      <c r="A57" t="s">
        <v>4274</v>
      </c>
      <c r="B57" s="39" t="str">
        <f>HYPERLINK('citations-it2-studies'!$D57,'citations-it2-studies'!$B57)</f>
        <v>Recent Development Techniques on Digital Twins for Manufacturing: State of the Art</v>
      </c>
      <c r="C57">
        <f>'citations-it2-studies'!$C57</f>
        <v>2022</v>
      </c>
      <c r="D57">
        <f>'citations-it2-studies'!$H57</f>
        <v>6</v>
      </c>
    </row>
    <row r="58" spans="1:4">
      <c r="A58" t="s">
        <v>4274</v>
      </c>
      <c r="B58" s="39" t="str">
        <f>HYPERLINK('citations-it2-studies'!$D58,'citations-it2-studies'!$B58)</f>
        <v>Level of automation (LOA) in aerospace composite manufacturing: Present status and future directions towards industry 4.0</v>
      </c>
      <c r="C58">
        <f>'citations-it2-studies'!$C58</f>
        <v>2022</v>
      </c>
      <c r="D58">
        <f>'citations-it2-studies'!$H58</f>
        <v>18</v>
      </c>
    </row>
    <row r="59" spans="1:4">
      <c r="A59" t="s">
        <v>4274</v>
      </c>
      <c r="B59" s="39" t="str">
        <f>HYPERLINK('citations-it2-studies'!$D59,'citations-it2-studies'!$B59)</f>
        <v>Towards Wireless ADAS - Retrofitting IoT for Increased Safety</v>
      </c>
      <c r="C59">
        <f>'citations-it2-studies'!$C59</f>
        <v>2019</v>
      </c>
      <c r="D59">
        <f>'citations-it2-studies'!$H59</f>
        <v>0</v>
      </c>
    </row>
    <row r="60" spans="1:4">
      <c r="A60" t="s">
        <v>4274</v>
      </c>
      <c r="B60" s="39" t="str">
        <f>HYPERLINK('citations-it2-studies'!$D60,'citations-it2-studies'!$B60)</f>
        <v>ECSA - Dynamic Updates of Virtual PLCs Deployed as Kubernetes Microservices</v>
      </c>
      <c r="C60">
        <f>'citations-it2-studies'!$C60</f>
        <v>2021</v>
      </c>
      <c r="D60">
        <f>'citations-it2-studies'!$H60</f>
        <v>17</v>
      </c>
    </row>
    <row r="61" spans="1:4">
      <c r="A61" t="s">
        <v>4274</v>
      </c>
      <c r="B61" s="39" t="str">
        <f>HYPERLINK('citations-it2-studies'!$D61,'citations-it2-studies'!$B61)</f>
        <v>Industrial Messaging Middleware: Standards and Performance Evaluation</v>
      </c>
      <c r="C61">
        <f>'citations-it2-studies'!$C61</f>
        <v>2020</v>
      </c>
      <c r="D61">
        <f>'citations-it2-studies'!$H61</f>
        <v>6</v>
      </c>
    </row>
    <row r="62" spans="1:4">
      <c r="A62" t="s">
        <v>4274</v>
      </c>
      <c r="B62" s="39" t="str">
        <f>HYPERLINK('citations-it2-studies'!$D62,'citations-it2-studies'!$B62)</f>
        <v>Hardware Implementation of an OPC UA Server for Industrial Field Devices</v>
      </c>
      <c r="C62">
        <f>'citations-it2-studies'!$C62</f>
        <v>2021</v>
      </c>
      <c r="D62">
        <f>'citations-it2-studies'!$H62</f>
        <v>5</v>
      </c>
    </row>
    <row r="63" spans="1:4">
      <c r="A63" t="s">
        <v>4274</v>
      </c>
      <c r="B63" s="39" t="str">
        <f>HYPERLINK('citations-it2-studies'!$D63,'citations-it2-studies'!$B63)</f>
        <v>Implementation of DDS Cloud Platform for Real-Time Data Acquisition of Sensors for a Legacy Machine</v>
      </c>
      <c r="C63">
        <f>'citations-it2-studies'!$C63</f>
        <v>2022</v>
      </c>
      <c r="D63">
        <f>'citations-it2-studies'!$H63</f>
        <v>1</v>
      </c>
    </row>
    <row r="64" spans="1:4">
      <c r="A64" t="s">
        <v>4274</v>
      </c>
      <c r="B64" s="39" t="str">
        <f>HYPERLINK('citations-it2-studies'!$D64,'citations-it2-studies'!$B64)</f>
        <v>ECSA - A Comparison of MQTT Brokers for Distributed IoT Edge Computing</v>
      </c>
      <c r="C64">
        <f>'citations-it2-studies'!$C64</f>
        <v>2020</v>
      </c>
      <c r="D64">
        <f>'citations-it2-studies'!$H64</f>
        <v>17</v>
      </c>
    </row>
    <row r="65" spans="1:4">
      <c r="A65" t="s">
        <v>4274</v>
      </c>
      <c r="B65" s="39" t="str">
        <f>HYPERLINK('citations-it2-studies'!$D65,'citations-it2-studies'!$B65)</f>
        <v>Exoskeletons Towards Industrie 4.0: Benefits and Challenges of the IoT Communication Architecture</v>
      </c>
      <c r="C65">
        <f>'citations-it2-studies'!$C65</f>
        <v>2020</v>
      </c>
      <c r="D65">
        <f>'citations-it2-studies'!$H65</f>
        <v>8</v>
      </c>
    </row>
    <row r="66" spans="1:4">
      <c r="A66" t="s">
        <v>4274</v>
      </c>
      <c r="B66" s="39" t="str">
        <f>HYPERLINK('citations-it2-studies'!$D66,'citations-it2-studies'!$B66)</f>
        <v>ETFA - Hard Real-Time Capable OPC UA Server as Hardware Peripheral for Single Chip IoT Systems</v>
      </c>
      <c r="C66">
        <f>'citations-it2-studies'!$C66</f>
        <v>2019</v>
      </c>
      <c r="D66">
        <f>'citations-it2-studies'!$H66</f>
        <v>4</v>
      </c>
    </row>
    <row r="67" spans="1:4">
      <c r="A67" t="s">
        <v>4274</v>
      </c>
      <c r="B67" s="39" t="str">
        <f>HYPERLINK('citations-it2-studies'!$D67,'citations-it2-studies'!$B67)</f>
        <v>ICCCI (2) - Some Solutions for Improving OPC UA Performance</v>
      </c>
      <c r="C67">
        <f>'citations-it2-studies'!$C67</f>
        <v>2019</v>
      </c>
      <c r="D67">
        <f>'citations-it2-studies'!$H67</f>
        <v>10</v>
      </c>
    </row>
    <row r="68" spans="1:4">
      <c r="A68" t="s">
        <v>4274</v>
      </c>
      <c r="B68" s="39" t="str">
        <f>HYPERLINK('citations-it2-studies'!$D68,'citations-it2-studies'!$B68)</f>
        <v>Challenges of modeling and analysis in cybermanufacturing: a review from a machine learning and computation perspective.</v>
      </c>
      <c r="C68">
        <f>'citations-it2-studies'!$C68</f>
        <v>2021</v>
      </c>
      <c r="D68">
        <f>'citations-it2-studies'!$H68</f>
        <v>14</v>
      </c>
    </row>
    <row r="69" spans="1:4">
      <c r="A69" t="s">
        <v>4274</v>
      </c>
      <c r="B69" s="39" t="str">
        <f>HYPERLINK('citations-it2-studies'!$D69,'citations-it2-studies'!$B69)</f>
        <v>»Relationships are Key« A Semantic Relationship Awareness Framework for Operational Technology Monitoring</v>
      </c>
      <c r="C69">
        <f>'citations-it2-studies'!$C69</f>
        <v>2024</v>
      </c>
      <c r="D69">
        <f>'citations-it2-studies'!$H69</f>
        <v>0</v>
      </c>
    </row>
    <row r="70" spans="1:4">
      <c r="A70" t="s">
        <v>4274</v>
      </c>
      <c r="B70" s="39" t="str">
        <f>HYPERLINK('citations-it2-studies'!$D70,'citations-it2-studies'!$B70)</f>
        <v>Advances in Metal Casting Technology: A Review of State of the Art, Challenges and Trends—Part II: Technologies New and Revived</v>
      </c>
      <c r="C70">
        <f>'citations-it2-studies'!$C70</f>
        <v>2024</v>
      </c>
      <c r="D70">
        <f>'citations-it2-studies'!$H70</f>
        <v>1</v>
      </c>
    </row>
    <row r="71" spans="1:4">
      <c r="A71" t="s">
        <v>4274</v>
      </c>
      <c r="B71" s="39" t="str">
        <f>HYPERLINK('citations-it2-studies'!$D71,'citations-it2-studies'!$B71)</f>
        <v>Towards a scalable implementation of digital twins - A generic method to acquire shopfloor data</v>
      </c>
      <c r="C71">
        <f>'citations-it2-studies'!$C71</f>
        <v>2021</v>
      </c>
      <c r="D71">
        <f>'citations-it2-studies'!$H71</f>
        <v>6</v>
      </c>
    </row>
    <row r="72" spans="1:4">
      <c r="A72" t="s">
        <v>4274</v>
      </c>
      <c r="B72" s="39" t="str">
        <f>HYPERLINK('citations-it2-studies'!$D72,'citations-it2-studies'!$B72)</f>
        <v>Automated industrial IoT‐device integration using the OpenPnP reference architecture</v>
      </c>
      <c r="C72">
        <f>'citations-it2-studies'!$C72</f>
        <v>2019</v>
      </c>
      <c r="D72">
        <f>'citations-it2-studies'!$H72</f>
        <v>29</v>
      </c>
    </row>
    <row r="73" spans="1:4">
      <c r="A73" t="s">
        <v>4274</v>
      </c>
      <c r="B73" s="39" t="str">
        <f>HYPERLINK('citations-it2-studies'!$D73,'citations-it2-studies'!$B73)</f>
        <v>Towards Automating Semantic Relationship Awareness in Operational Technology Monitoring</v>
      </c>
      <c r="C73">
        <f>'citations-it2-studies'!$C73</f>
        <v>2023</v>
      </c>
      <c r="D73">
        <f>'citations-it2-studies'!$H73</f>
        <v>11</v>
      </c>
    </row>
    <row r="74" spans="1:4">
      <c r="A74" t="s">
        <v>4274</v>
      </c>
      <c r="B74" s="39" t="str">
        <f>HYPERLINK('citations-it2-studies'!$D74,'citations-it2-studies'!$B74)</f>
        <v>Universal energy information model for industrial communication</v>
      </c>
      <c r="C74">
        <f>'citations-it2-studies'!$C74</f>
        <v>2022</v>
      </c>
      <c r="D74">
        <f>'citations-it2-studies'!$H74</f>
        <v>8</v>
      </c>
    </row>
    <row r="75" spans="1:4">
      <c r="A75" t="s">
        <v>4274</v>
      </c>
      <c r="B75" s="39" t="str">
        <f>HYPERLINK('citations-it2-studies'!$D75,'citations-it2-studies'!$B75)</f>
        <v>Novel Deep Packet Compression For Industrial Internet of Things</v>
      </c>
      <c r="C75">
        <f>'citations-it2-studies'!$C75</f>
        <v>2022</v>
      </c>
      <c r="D75">
        <f>'citations-it2-studies'!$H75</f>
        <v>6</v>
      </c>
    </row>
    <row r="76" spans="1:4">
      <c r="A76" t="s">
        <v>4274</v>
      </c>
      <c r="B76" s="39" t="str">
        <f>HYPERLINK('citations-it2-studies'!$D76,'citations-it2-studies'!$B76)</f>
        <v>Machine OEE Monitoring and Analysis for a Complex Manufacturing Environment</v>
      </c>
      <c r="C76">
        <f>'citations-it2-studies'!$C76</f>
        <v>2020</v>
      </c>
      <c r="D76">
        <f>'citations-it2-studies'!$H76</f>
        <v>6</v>
      </c>
    </row>
    <row r="77" spans="1:4">
      <c r="A77" t="s">
        <v>4274</v>
      </c>
      <c r="B77" s="39" t="str">
        <f>HYPERLINK('citations-it2-studies'!$D77,'citations-it2-studies'!$B77)</f>
        <v>Research the Traffic Characteristics of MQTT and DDS Protocols in Low-bandwidth Radio Networks</v>
      </c>
      <c r="C77">
        <f>'citations-it2-studies'!$C77</f>
        <v>2021</v>
      </c>
      <c r="D77">
        <f>'citations-it2-studies'!$H77</f>
        <v>5</v>
      </c>
    </row>
    <row r="78" spans="1:4">
      <c r="A78" t="s">
        <v>4274</v>
      </c>
      <c r="B78" s="39" t="str">
        <f>HYPERLINK('citations-it2-studies'!$D78,'citations-it2-studies'!$B78)</f>
        <v>Andon System using Industrial IoT for Controlled Production Line by conventional PLC</v>
      </c>
      <c r="C78">
        <f>'citations-it2-studies'!$C78</f>
        <v>2020</v>
      </c>
      <c r="D78">
        <f>'citations-it2-studies'!$H78</f>
        <v>0</v>
      </c>
    </row>
    <row r="79" spans="1:4">
      <c r="A79" t="s">
        <v>4274</v>
      </c>
      <c r="B79" s="39" t="str">
        <f>HYPERLINK('citations-it2-studies'!$D79,'citations-it2-studies'!$B79)</f>
        <v>Cloud Continuum Digital Twins: Architectures of Solution, Open Technical Challenges, and Lessons Learned</v>
      </c>
      <c r="C79">
        <f>'citations-it2-studies'!$C79</f>
        <v>2024</v>
      </c>
      <c r="D79">
        <f>'citations-it2-studies'!$H79</f>
        <v>16</v>
      </c>
    </row>
    <row r="80" spans="1:4">
      <c r="A80" t="s">
        <v>4274</v>
      </c>
      <c r="B80" s="39" t="str">
        <f>HYPERLINK('citations-it2-studies'!$D80,'citations-it2-studies'!$B80)</f>
        <v>An Approach to Develop Digital Twins in Industry.</v>
      </c>
      <c r="C80">
        <f>'citations-it2-studies'!$C80</f>
        <v>2024</v>
      </c>
      <c r="D80">
        <f>'citations-it2-studies'!$H80</f>
        <v>1</v>
      </c>
    </row>
    <row r="81" spans="1:4">
      <c r="A81" t="s">
        <v>4274</v>
      </c>
      <c r="B81" s="39" t="str">
        <f>HYPERLINK('citations-it2-studies'!$D81,'citations-it2-studies'!$B81)</f>
        <v>Industry 4.0: examples of the use of the robotic arm for digital manufacturing processes</v>
      </c>
      <c r="C81">
        <f>'citations-it2-studies'!$C81</f>
        <v>2020</v>
      </c>
      <c r="D81">
        <f>'citations-it2-studies'!$H81</f>
        <v>7</v>
      </c>
    </row>
    <row r="82" spans="1:4">
      <c r="A82" t="s">
        <v>4274</v>
      </c>
      <c r="B82" s="39" t="str">
        <f>HYPERLINK('citations-it2-studies'!$D82,'citations-it2-studies'!$B82)</f>
        <v>ICSTCC - Rule-based extension through IoT for a robotized application</v>
      </c>
      <c r="C82">
        <f>'citations-it2-studies'!$C82</f>
        <v>2020</v>
      </c>
      <c r="D82">
        <f>'citations-it2-studies'!$H82</f>
        <v>5</v>
      </c>
    </row>
    <row r="83" spans="1:4">
      <c r="A83" t="s">
        <v>4274</v>
      </c>
      <c r="B83" s="39" t="str">
        <f>HYPERLINK('citations-it2-studies'!$D83,'citations-it2-studies'!$B83)</f>
        <v>Research of Automated Control Systems Development Based on "Publish-Subscribe" Technology Over Low-Bandwidth Radio Networks</v>
      </c>
      <c r="C83">
        <f>'citations-it2-studies'!$C83</f>
        <v>2022</v>
      </c>
      <c r="D83">
        <f>'citations-it2-studies'!$H83</f>
        <v>19</v>
      </c>
    </row>
    <row r="84" spans="1:4">
      <c r="A84" t="s">
        <v>4274</v>
      </c>
      <c r="B84" s="39" t="str">
        <f>HYPERLINK('citations-it2-studies'!$D84,'citations-it2-studies'!$B84)</f>
        <v>Assessing the Value of Multimodal Interfaces: A Study on Human-Machine Interaction in Weld Inspection Workstations.</v>
      </c>
      <c r="C84">
        <f>'citations-it2-studies'!$C84</f>
        <v>2023</v>
      </c>
      <c r="D84">
        <f>'citations-it2-studies'!$H84</f>
        <v>1</v>
      </c>
    </row>
    <row r="85" spans="1:4">
      <c r="A85" t="s">
        <v>4274</v>
      </c>
      <c r="B85" s="39" t="str">
        <f>HYPERLINK('citations-it2-studies'!$D85,'citations-it2-studies'!$B85)</f>
        <v>Standards für das Internet der Dinge: Heterogenität, Interoperabilität und Herausforderungen</v>
      </c>
      <c r="C85">
        <f>'citations-it2-studies'!$C85</f>
        <v>2020</v>
      </c>
      <c r="D85">
        <f>'citations-it2-studies'!$H85</f>
        <v>4</v>
      </c>
    </row>
    <row r="86" spans="1:4">
      <c r="A86" t="s">
        <v>4274</v>
      </c>
      <c r="B86" s="39" t="str">
        <f>HYPERLINK('citations-it2-studies'!$D86,'citations-it2-studies'!$B86)</f>
        <v>Supporting the Requirements-Based Selection of Suitable Communication Protocols in Smart Grids</v>
      </c>
      <c r="C86">
        <f>'citations-it2-studies'!$C86</f>
        <v>2022</v>
      </c>
      <c r="D86">
        <f>'citations-it2-studies'!$H86</f>
        <v>5</v>
      </c>
    </row>
    <row r="87" spans="1:4">
      <c r="A87" t="s">
        <v>4274</v>
      </c>
      <c r="B87" s="39" t="str">
        <f>HYPERLINK('citations-it2-studies'!$D87,'citations-it2-studies'!$B87)</f>
        <v>Integrating Digital Twin Software Solutions with Collaborative Industrial Systems: A Comprehensive Review for Operational Efficiency</v>
      </c>
      <c r="C87">
        <f>'citations-it2-studies'!$C87</f>
        <v>2025</v>
      </c>
      <c r="D87">
        <f>'citations-it2-studies'!$H87</f>
        <v>1</v>
      </c>
    </row>
    <row r="88" spans="1:4">
      <c r="A88" t="s">
        <v>4274</v>
      </c>
      <c r="B88" s="39" t="str">
        <f>HYPERLINK('citations-it2-studies'!$D88,'citations-it2-studies'!$B88)</f>
        <v>Ontology-Based Service Composition for Interoperable and Modular Medical Devices</v>
      </c>
      <c r="C88">
        <f>'citations-it2-studies'!$C88</f>
        <v>2023</v>
      </c>
      <c r="D88">
        <f>'citations-it2-studies'!$H88</f>
        <v>7</v>
      </c>
    </row>
    <row r="89" spans="1:4">
      <c r="A89" t="s">
        <v>4274</v>
      </c>
      <c r="B89" s="39" t="str">
        <f>HYPERLINK('citations-it2-studies'!$D89,'citations-it2-studies'!$B89)</f>
        <v>Broker-Less OPC UA PubSub Communication Model Performance Analysis</v>
      </c>
      <c r="C89">
        <f>'citations-it2-studies'!$C89</f>
        <v>2024</v>
      </c>
      <c r="D89">
        <f>'citations-it2-studies'!$H89</f>
        <v>5</v>
      </c>
    </row>
    <row r="90" spans="1:4">
      <c r="A90" t="s">
        <v>4274</v>
      </c>
      <c r="B90" s="39" t="str">
        <f>HYPERLINK('citations-it2-studies'!$D90,'citations-it2-studies'!$B90)</f>
        <v>Hardware Acceleration of Data Distribution Service (DDS) for Automotive Communication and Computing</v>
      </c>
      <c r="C90">
        <f>'citations-it2-studies'!$C90</f>
        <v>2022</v>
      </c>
      <c r="D90">
        <f>'citations-it2-studies'!$H90</f>
        <v>26</v>
      </c>
    </row>
    <row r="91" spans="1:4">
      <c r="A91" t="s">
        <v>4274</v>
      </c>
      <c r="B91" s="39" t="str">
        <f>HYPERLINK('citations-it2-studies'!$D91,'citations-it2-studies'!$B91)</f>
        <v>Sustainable Utilization of Industrial Robotic Systems by Facilitating Programming Through a Human and Process Centred Declarative Approach</v>
      </c>
      <c r="C91">
        <f>'citations-it2-studies'!$C91</f>
        <v>2023</v>
      </c>
      <c r="D91">
        <f>'citations-it2-studies'!$H91</f>
        <v>12</v>
      </c>
    </row>
    <row r="92" spans="1:4">
      <c r="A92" t="s">
        <v>4274</v>
      </c>
      <c r="B92" s="39" t="str">
        <f>HYPERLINK('citations-it2-studies'!$D92,'citations-it2-studies'!$B92)</f>
        <v>SECS/GEMsec: A Mechanism for Detection and Prevention of Cyber-Attacks on SECS/GEM Communications in Industry 4.0 Landscape</v>
      </c>
      <c r="C92">
        <f>'citations-it2-studies'!$C92</f>
        <v>2021</v>
      </c>
      <c r="D92">
        <f>'citations-it2-studies'!$H92</f>
        <v>15</v>
      </c>
    </row>
    <row r="93" spans="1:4">
      <c r="A93" t="s">
        <v>4274</v>
      </c>
      <c r="B93" s="39" t="str">
        <f>HYPERLINK('citations-it2-studies'!$D93,'citations-it2-studies'!$B93)</f>
        <v>IoT Architecture for Interoperability and Monitoring of Industrial Nodes</v>
      </c>
      <c r="C93">
        <f>'citations-it2-studies'!$C93</f>
        <v>2020</v>
      </c>
      <c r="D93">
        <f>'citations-it2-studies'!$H93</f>
        <v>6</v>
      </c>
    </row>
    <row r="94" spans="1:4">
      <c r="A94" t="s">
        <v>4274</v>
      </c>
      <c r="B94" s="39" t="str">
        <f>HYPERLINK('citations-it2-studies'!$D94,'citations-it2-studies'!$B94)</f>
        <v>Konfigurierbare Arbeitsräume und Robotik als Basis der Automatisierung in der Vorfertigung des Bauwesens</v>
      </c>
      <c r="C94">
        <f>'citations-it2-studies'!$C94</f>
        <v>2024</v>
      </c>
      <c r="D94">
        <f>'citations-it2-studies'!$H94</f>
        <v>32</v>
      </c>
    </row>
    <row r="95" spans="1:4">
      <c r="A95" t="s">
        <v>4274</v>
      </c>
      <c r="B95" s="39" t="str">
        <f>HYPERLINK('citations-it2-studies'!$D95,'citations-it2-studies'!$B95)</f>
        <v>Development of Industry 4.0 predictive maintenance architecture for broadcasting chain</v>
      </c>
      <c r="C95">
        <f>'citations-it2-studies'!$C95</f>
        <v>2021</v>
      </c>
      <c r="D95">
        <f>'citations-it2-studies'!$H95</f>
        <v>0</v>
      </c>
    </row>
    <row r="96" spans="1:4">
      <c r="A96" t="s">
        <v>4274</v>
      </c>
      <c r="B96" s="39" t="str">
        <f>HYPERLINK('citations-it2-studies'!$D96,'citations-it2-studies'!$B96)</f>
        <v>Manufacturing big data ecosystem: A systematic literature review</v>
      </c>
      <c r="C96">
        <f>'citations-it2-studies'!$C96</f>
        <v>2020</v>
      </c>
      <c r="D96">
        <f>'citations-it2-studies'!$H96</f>
        <v>0</v>
      </c>
    </row>
    <row r="97" spans="1:4">
      <c r="A97" t="s">
        <v>4274</v>
      </c>
      <c r="B97" s="39" t="str">
        <f>HYPERLINK('citations-it2-studies'!$D97,'citations-it2-studies'!$B97)</f>
        <v>A Comprehensive Review on IoT Protocols’ Features in Smart Grid Communication</v>
      </c>
      <c r="C97">
        <f>'citations-it2-studies'!$C97</f>
        <v>2020</v>
      </c>
      <c r="D97">
        <f>'citations-it2-studies'!$H97</f>
        <v>0</v>
      </c>
    </row>
    <row r="98" spans="1:4">
      <c r="A98" t="s">
        <v>4274</v>
      </c>
      <c r="B98" s="39" t="str">
        <f>HYPERLINK('citations-it2-studies'!$D98,'citations-it2-studies'!$B98)</f>
        <v>VAIDS: A Hybrid Deep Learning Model to Detect Intrusions in MQTT Protocol Enabled Networks</v>
      </c>
      <c r="C98">
        <f>'citations-it2-studies'!$C98</f>
        <v>2024</v>
      </c>
      <c r="D98">
        <f>'citations-it2-studies'!$H98</f>
        <v>14</v>
      </c>
    </row>
    <row r="99" spans="1:4">
      <c r="A99" t="s">
        <v>4274</v>
      </c>
      <c r="B99" s="39" t="str">
        <f>HYPERLINK('citations-it2-studies'!$D99,'citations-it2-studies'!$B99)</f>
        <v>ETFA - Hybrid OPC UA: Enabling Post-Quantum Security for the Industrial Internet of Things</v>
      </c>
      <c r="C99">
        <f>'citations-it2-studies'!$C99</f>
        <v>2020</v>
      </c>
      <c r="D99">
        <f>'citations-it2-studies'!$H99</f>
        <v>8</v>
      </c>
    </row>
    <row r="100" spans="1:4">
      <c r="A100" t="s">
        <v>4274</v>
      </c>
      <c r="B100" s="39" t="str">
        <f>HYPERLINK('citations-it2-studies'!$D100,'citations-it2-studies'!$B100)</f>
        <v>Voraussagende Instandhaltung an einer Kaltumformpresse auf Basis eines nachgerüsteten Zustandsüberwachungskonzepts</v>
      </c>
      <c r="C100">
        <f>'citations-it2-studies'!$C100</f>
        <v>2025</v>
      </c>
      <c r="D100">
        <f>'citations-it2-studies'!$H100</f>
        <v>18</v>
      </c>
    </row>
    <row r="101" spans="1:4">
      <c r="A101" t="s">
        <v>4274</v>
      </c>
      <c r="B101" s="39" t="str">
        <f>HYPERLINK('citations-it2-studies'!$D101,'citations-it2-studies'!$B101)</f>
        <v>SOLA: A Decentralized Communication Middleware Developed with ns-3</v>
      </c>
      <c r="C101">
        <f>'citations-it2-studies'!$C101</f>
        <v>2023</v>
      </c>
      <c r="D101">
        <f>'citations-it2-studies'!$H101</f>
        <v>8</v>
      </c>
    </row>
    <row r="102" spans="1:4">
      <c r="A102" t="s">
        <v>4274</v>
      </c>
      <c r="B102" s="39" t="str">
        <f>HYPERLINK('citations-it2-studies'!$D102,'citations-it2-studies'!$B102)</f>
        <v>Real-Time Performance Evaluation of Containerized Virtual PLCs: A Comparative Study of Docker and Podman for Industrial Automation</v>
      </c>
      <c r="C102">
        <f>'citations-it2-studies'!$C102</f>
        <v>2025</v>
      </c>
      <c r="D102">
        <f>'citations-it2-studies'!$H102</f>
        <v>6</v>
      </c>
    </row>
    <row r="103" spans="1:4">
      <c r="A103" t="s">
        <v>4274</v>
      </c>
      <c r="B103" s="39" t="str">
        <f>HYPERLINK('citations-it2-studies'!$D103,'citations-it2-studies'!$B103)</f>
        <v>Toward a Practical Digital Twin Platform Tailored to the Requirements of Industrial Energy Systems</v>
      </c>
      <c r="C103">
        <f>'citations-it2-studies'!$C103</f>
        <v>2022</v>
      </c>
      <c r="D103">
        <f>'citations-it2-studies'!$H103</f>
        <v>1</v>
      </c>
    </row>
    <row r="104" spans="1:4">
      <c r="A104" t="s">
        <v>4274</v>
      </c>
      <c r="B104" s="39" t="str">
        <f>HYPERLINK('citations-it2-studies'!$D104,'citations-it2-studies'!$B104)</f>
        <v>Predictive Maintenance Model for IIoT-Based Manufacturing: A Transferable Deep Reinforcement Learning Approach</v>
      </c>
      <c r="C104">
        <f>'citations-it2-studies'!$C104</f>
        <v>2022</v>
      </c>
      <c r="D104">
        <f>'citations-it2-studies'!$H104</f>
        <v>17</v>
      </c>
    </row>
    <row r="105" spans="1:4">
      <c r="A105" t="s">
        <v>4274</v>
      </c>
      <c r="B105" s="39" t="str">
        <f>HYPERLINK('citations-it2-studies'!$D105,'citations-it2-studies'!$B105)</f>
        <v>Research on Teleoperated Virtual Reality Human-Robot Five-Dimensional Collaboration System.</v>
      </c>
      <c r="C105">
        <f>'citations-it2-studies'!$C105</f>
        <v>2023</v>
      </c>
      <c r="D105">
        <f>'citations-it2-studies'!$H105</f>
        <v>1</v>
      </c>
    </row>
    <row r="106" spans="1:4">
      <c r="A106" t="s">
        <v>4274</v>
      </c>
      <c r="B106" s="39" t="str">
        <f>HYPERLINK('citations-it2-studies'!$D106,'citations-it2-studies'!$B106)</f>
        <v>Requirements for an energy data information model for a communication-independent device description</v>
      </c>
      <c r="C106">
        <f>'citations-it2-studies'!$C106</f>
        <v>2021</v>
      </c>
      <c r="D106">
        <f>'citations-it2-studies'!$H106</f>
        <v>4</v>
      </c>
    </row>
    <row r="107" spans="1:4">
      <c r="A107" t="s">
        <v>4274</v>
      </c>
      <c r="B107" s="39" t="str">
        <f>HYPERLINK('citations-it2-studies'!$D107,'citations-it2-studies'!$B107)</f>
        <v>Cyber-physical twins - definition, conception and benefit</v>
      </c>
      <c r="C107">
        <f>'citations-it2-studies'!$C107</f>
        <v>2020</v>
      </c>
      <c r="D107">
        <f>'citations-it2-studies'!$H107</f>
        <v>5</v>
      </c>
    </row>
    <row r="108" spans="1:4">
      <c r="A108" t="s">
        <v>4274</v>
      </c>
      <c r="B108" s="39" t="str">
        <f>HYPERLINK('citations-it2-studies'!$D108,'citations-it2-studies'!$B108)</f>
        <v>ETFA - A Hardware-Agnostic OPC UA Skill Model for Robot Manipulators and Tools</v>
      </c>
      <c r="C108">
        <f>'citations-it2-studies'!$C108</f>
        <v>2019</v>
      </c>
      <c r="D108">
        <f>'citations-it2-studies'!$H108</f>
        <v>8</v>
      </c>
    </row>
    <row r="109" spans="1:4">
      <c r="A109" t="s">
        <v>4274</v>
      </c>
      <c r="B109" s="39" t="str">
        <f>HYPERLINK('citations-it2-studies'!$D109,'citations-it2-studies'!$B109)</f>
        <v>End-to-End Encryption for Securing Communications in Industry 4.0</v>
      </c>
      <c r="C109">
        <f>'citations-it2-studies'!$C109</f>
        <v>2022</v>
      </c>
      <c r="D109">
        <f>'citations-it2-studies'!$H109</f>
        <v>6</v>
      </c>
    </row>
    <row r="110" spans="1:4">
      <c r="A110" t="s">
        <v>4274</v>
      </c>
      <c r="B110" s="39" t="str">
        <f>HYPERLINK('citations-it2-studies'!$D110,'citations-it2-studies'!$B110)</f>
        <v>ICCCI (2) - Quality of Service in Real-Time OPC UA Applications</v>
      </c>
      <c r="C110">
        <f>'citations-it2-studies'!$C110</f>
        <v>2019</v>
      </c>
      <c r="D110">
        <f>'citations-it2-studies'!$H110</f>
        <v>10</v>
      </c>
    </row>
    <row r="111" spans="1:4">
      <c r="A111" t="s">
        <v>4274</v>
      </c>
      <c r="B111" s="39" t="str">
        <f>HYPERLINK('citations-it2-studies'!$D111,'citations-it2-studies'!$B111)</f>
        <v>Performance Evaluation of OPC UA and MQTT for ETAT Smart Lab (ESL)</v>
      </c>
      <c r="C111">
        <f>'citations-it2-studies'!$C111</f>
        <v>2023</v>
      </c>
      <c r="D111">
        <f>'citations-it2-studies'!$H111</f>
        <v>5</v>
      </c>
    </row>
    <row r="112" spans="1:4">
      <c r="A112" t="s">
        <v>4274</v>
      </c>
      <c r="B112" s="39" t="str">
        <f>HYPERLINK('citations-it2-studies'!$D112,'citations-it2-studies'!$B112)</f>
        <v>A Human-Centered Assembly Workplace For Industry: Challenges and Lessons Learned</v>
      </c>
      <c r="C112">
        <f>'citations-it2-studies'!$C112</f>
        <v>2021</v>
      </c>
      <c r="D112">
        <f>'citations-it2-studies'!$H112</f>
        <v>11</v>
      </c>
    </row>
    <row r="113" spans="1:4">
      <c r="A113" t="s">
        <v>4274</v>
      </c>
      <c r="B113" s="39" t="str">
        <f>HYPERLINK('citations-it2-studies'!$D113,'citations-it2-studies'!$B113)</f>
        <v>ETFA - Control components for Collaborative and Intelligent Automation Systems</v>
      </c>
      <c r="C113">
        <f>'citations-it2-studies'!$C113</f>
        <v>2019</v>
      </c>
      <c r="D113">
        <f>'citations-it2-studies'!$H113</f>
        <v>7</v>
      </c>
    </row>
    <row r="114" spans="1:4">
      <c r="A114" t="s">
        <v>4274</v>
      </c>
      <c r="B114" s="39" t="str">
        <f>HYPERLINK('citations-it2-studies'!$D114,'citations-it2-studies'!$B114)</f>
        <v>A semi-decentralized control architecture for high-mix-low-volume factories in Industry 4.0</v>
      </c>
      <c r="C114">
        <f>'citations-it2-studies'!$C114</f>
        <v>2021</v>
      </c>
      <c r="D114">
        <f>'citations-it2-studies'!$H114</f>
        <v>4</v>
      </c>
    </row>
    <row r="115" spans="1:4">
      <c r="A115" t="s">
        <v>4274</v>
      </c>
      <c r="B115" s="39" t="str">
        <f>HYPERLINK('citations-it2-studies'!$D115,'citations-it2-studies'!$B115)</f>
        <v>Frame analysis based real time related indicators measurement of industrial ethernet Powerlink</v>
      </c>
      <c r="C115">
        <f>'citations-it2-studies'!$C115</f>
        <v>2022</v>
      </c>
      <c r="D115">
        <f>'citations-it2-studies'!$H115</f>
        <v>5</v>
      </c>
    </row>
    <row r="116" spans="1:4">
      <c r="A116" t="s">
        <v>4274</v>
      </c>
      <c r="B116" s="39" t="str">
        <f>HYPERLINK('citations-it2-studies'!$D116,'citations-it2-studies'!$B116)</f>
        <v>OPC-UA in Digital Twins—A Performance Comparative Analysis</v>
      </c>
      <c r="C116">
        <f>'citations-it2-studies'!$C116</f>
        <v>2024</v>
      </c>
      <c r="D116">
        <f>'citations-it2-studies'!$H116</f>
        <v>11</v>
      </c>
    </row>
    <row r="117" spans="1:4">
      <c r="A117" t="s">
        <v>4274</v>
      </c>
      <c r="B117" s="39" t="str">
        <f>HYPERLINK('citations-it2-studies'!$D117,'citations-it2-studies'!$B117)</f>
        <v>Systems of Digital Twins and Physical Systems: Interoperability, Decentralization, and Mobility in Robotic Applications</v>
      </c>
      <c r="C117">
        <f>'citations-it2-studies'!$C117</f>
        <v>2024</v>
      </c>
      <c r="D117">
        <f>'citations-it2-studies'!$H117</f>
        <v>6</v>
      </c>
    </row>
    <row r="118" spans="1:4">
      <c r="A118" t="s">
        <v>4274</v>
      </c>
      <c r="B118" s="39" t="str">
        <f>HYPERLINK('citations-it2-studies'!$D118,'citations-it2-studies'!$B118)</f>
        <v>Image and Command Transmission Over the 5G Network for Teleoperation of Mobile Robots</v>
      </c>
      <c r="C118">
        <f>'citations-it2-studies'!$C118</f>
        <v>2024</v>
      </c>
      <c r="D118">
        <f>'citations-it2-studies'!$H118</f>
        <v>8</v>
      </c>
    </row>
    <row r="119" spans="1:4">
      <c r="A119" t="s">
        <v>4274</v>
      </c>
      <c r="B119" s="39" t="str">
        <f>HYPERLINK('citations-it2-studies'!$D119,'citations-it2-studies'!$B119)</f>
        <v>A Study of Java Microbenchmark Tail Latencies</v>
      </c>
      <c r="C119">
        <f>'citations-it2-studies'!$C119</f>
        <v>2023</v>
      </c>
      <c r="D119">
        <f>'citations-it2-studies'!$H119</f>
        <v>5</v>
      </c>
    </row>
    <row r="120" spans="1:4">
      <c r="A120" t="s">
        <v>4274</v>
      </c>
      <c r="B120" s="39" t="str">
        <f>HYPERLINK('citations-it2-studies'!$D120,'citations-it2-studies'!$B120)</f>
        <v>Adopting User-Space Networking for DDS Message-Oriented Middleware</v>
      </c>
      <c r="C120">
        <f>'citations-it2-studies'!$C120</f>
        <v>2024</v>
      </c>
      <c r="D120">
        <f>'citations-it2-studies'!$H120</f>
        <v>11</v>
      </c>
    </row>
    <row r="121" spans="1:4">
      <c r="A121" t="s">
        <v>4274</v>
      </c>
      <c r="B121" s="39" t="str">
        <f>HYPERLINK('citations-it2-studies'!$D121,'citations-it2-studies'!$B121)</f>
        <v>WEA - Maintenance Management of an Additive Manufacturing System Based on the I4.0 Model.</v>
      </c>
      <c r="C121">
        <f>'citations-it2-studies'!$C121</f>
        <v>2021</v>
      </c>
      <c r="D121">
        <f>'citations-it2-studies'!$H121</f>
        <v>13</v>
      </c>
    </row>
    <row r="122" spans="1:4">
      <c r="A122" t="s">
        <v>4274</v>
      </c>
      <c r="B122" s="39" t="str">
        <f>HYPERLINK('citations-it2-studies'!$D122,'citations-it2-studies'!$B122)</f>
        <v>Evaluation of an OPC UA-Based Access Control Enforcement Architecture</v>
      </c>
      <c r="C122">
        <f>'citations-it2-studies'!$C122</f>
        <v>2024</v>
      </c>
      <c r="D122">
        <f>'citations-it2-studies'!$H122</f>
        <v>21</v>
      </c>
    </row>
    <row r="123" spans="1:4">
      <c r="A123" t="s">
        <v>4274</v>
      </c>
      <c r="B123" s="39" t="str">
        <f>HYPERLINK('citations-it2-studies'!$D123,'citations-it2-studies'!$B123)</f>
        <v>A novel testbed for evaluating ROS 2 robot swarm wireless communications</v>
      </c>
      <c r="C123">
        <f>'citations-it2-studies'!$C123</f>
        <v>2024</v>
      </c>
      <c r="D123">
        <f>'citations-it2-studies'!$H123</f>
        <v>6</v>
      </c>
    </row>
    <row r="124" spans="1:4">
      <c r="A124" t="s">
        <v>4274</v>
      </c>
      <c r="B124" s="39" t="str">
        <f>HYPERLINK('citations-it2-studies'!$D124,'citations-it2-studies'!$B124)</f>
        <v>Generation of Critical Information and Sharing Mechanism for Multi-Robot Mission Success</v>
      </c>
      <c r="C124">
        <f>'citations-it2-studies'!$C124</f>
        <v>2025</v>
      </c>
      <c r="D124">
        <f>'citations-it2-studies'!$H124</f>
        <v>19</v>
      </c>
    </row>
    <row r="125" spans="1:4">
      <c r="A125" t="s">
        <v>4274</v>
      </c>
      <c r="B125" s="39" t="str">
        <f>HYPERLINK('citations-it2-studies'!$D125,'citations-it2-studies'!$B125)</f>
        <v>Performance Testing for Cloud Computing with Dependent Data Bootstrapping</v>
      </c>
      <c r="C125">
        <f>'citations-it2-studies'!$C125</f>
        <v>2021</v>
      </c>
      <c r="D125">
        <f>'citations-it2-studies'!$H125</f>
        <v>13</v>
      </c>
    </row>
    <row r="126" spans="1:4">
      <c r="A126" t="s">
        <v>4274</v>
      </c>
      <c r="B126" s="39" t="str">
        <f>HYPERLINK('citations-it2-studies'!$D126,'citations-it2-studies'!$B126)</f>
        <v>HPCA - Eudoxus: Characterizing and Accelerating Localization in Autonomous Machines Industry Track Paper</v>
      </c>
      <c r="C126">
        <f>'citations-it2-studies'!$C126</f>
        <v>2021</v>
      </c>
      <c r="D126">
        <f>'citations-it2-studies'!$H126</f>
        <v>14</v>
      </c>
    </row>
    <row r="127" spans="1:4">
      <c r="A127" t="s">
        <v>4274</v>
      </c>
      <c r="B127" s="39" t="str">
        <f>HYPERLINK('citations-it2-studies'!$D127,'citations-it2-studies'!$B127)</f>
        <v>Industrial Communication Based on MQTT and Modbus Communication Applied in a Meteorological Network</v>
      </c>
      <c r="C127">
        <f>'citations-it2-studies'!$C127</f>
        <v>2020</v>
      </c>
      <c r="D127">
        <f>'citations-it2-studies'!$H127</f>
        <v>13</v>
      </c>
    </row>
    <row r="128" spans="1:4">
      <c r="A128" t="s">
        <v>4274</v>
      </c>
      <c r="B128" s="39" t="str">
        <f>HYPERLINK('citations-it2-studies'!$D128,'citations-it2-studies'!$B128)</f>
        <v>A Reliability Assessment of an Industrial Communication Protocol on a Windows OS Embedded PC for an Oil Rig Control Application</v>
      </c>
      <c r="C128">
        <f>'citations-it2-studies'!$C128</f>
        <v>2021</v>
      </c>
      <c r="D128">
        <f>'citations-it2-studies'!$H128</f>
        <v>0</v>
      </c>
    </row>
    <row r="129" spans="1:4">
      <c r="A129" t="s">
        <v>4274</v>
      </c>
      <c r="B129" s="39" t="str">
        <f>HYPERLINK('citations-it2-studies'!$D129,'citations-it2-studies'!$B129)</f>
        <v>ROS2-based Small-Scale Development Platform for CCAM Research Demonstrators</v>
      </c>
      <c r="C129">
        <f>'citations-it2-studies'!$C129</f>
        <v>2022</v>
      </c>
      <c r="D129">
        <f>'citations-it2-studies'!$H129</f>
        <v>6</v>
      </c>
    </row>
    <row r="130" spans="1:4">
      <c r="A130" t="s">
        <v>4274</v>
      </c>
      <c r="B130" s="39" t="str">
        <f>HYPERLINK('citations-it2-studies'!$D130,'citations-it2-studies'!$B130)</f>
        <v>Advanced Analytics as a Service in Smart Factories</v>
      </c>
      <c r="C130">
        <f>'citations-it2-studies'!$C130</f>
        <v>2022</v>
      </c>
      <c r="D130">
        <f>'citations-it2-studies'!$H130</f>
        <v>6</v>
      </c>
    </row>
    <row r="131" spans="1:4">
      <c r="A131" t="s">
        <v>4274</v>
      </c>
      <c r="B131" s="39" t="str">
        <f>HYPERLINK('citations-it2-studies'!$D131,'citations-it2-studies'!$B131)</f>
        <v>Developing a Real-time OPC UA based Aggregated Monitoring System for Small-scale Distributed Energy Resources among Microgrids</v>
      </c>
      <c r="C131">
        <f>'citations-it2-studies'!$C131</f>
        <v>2021</v>
      </c>
      <c r="D131">
        <f>'citations-it2-studies'!$H131</f>
        <v>4</v>
      </c>
    </row>
    <row r="132" spans="1:4">
      <c r="A132" t="s">
        <v>4274</v>
      </c>
      <c r="B132" s="39" t="str">
        <f>HYPERLINK('citations-it2-studies'!$D132,'citations-it2-studies'!$B132)</f>
        <v>Towards post-quantum security for cyber-physical systems: Integrating PQC into industrial M2M communication1</v>
      </c>
      <c r="C132">
        <f>'citations-it2-studies'!$C132</f>
        <v>2021</v>
      </c>
      <c r="D132">
        <f>'citations-it2-studies'!$H132</f>
        <v>31</v>
      </c>
    </row>
    <row r="133" spans="1:4">
      <c r="A133" t="s">
        <v>4274</v>
      </c>
      <c r="B133" s="39" t="str">
        <f>HYPERLINK('citations-it2-studies'!$D133,'citations-it2-studies'!$B133)</f>
        <v>A Study of Publish/Subscribe Middleware Under Different IoT Traffic Conditions</v>
      </c>
      <c r="C133">
        <f>'citations-it2-studies'!$C133</f>
        <v>2020</v>
      </c>
      <c r="D133">
        <f>'citations-it2-studies'!$H133</f>
        <v>6</v>
      </c>
    </row>
    <row r="134" spans="1:4">
      <c r="A134" t="s">
        <v>4274</v>
      </c>
      <c r="B134" s="39" t="str">
        <f>HYPERLINK('citations-it2-studies'!$D134,'citations-it2-studies'!$B134)</f>
        <v>Automotive IoT Ethernet-Based Communication Technologies Applied in a V2X Context via a Multi-Protocol Gateway.</v>
      </c>
      <c r="C134">
        <f>'citations-it2-studies'!$C134</f>
        <v>2022</v>
      </c>
      <c r="D134">
        <f>'citations-it2-studies'!$H134</f>
        <v>1</v>
      </c>
    </row>
    <row r="135" spans="1:4">
      <c r="A135" t="s">
        <v>4274</v>
      </c>
      <c r="B135" s="39" t="str">
        <f>HYPERLINK('citations-it2-studies'!$D135,'citations-it2-studies'!$B135)</f>
        <v>An Operational 5G Edge Cloud-Controlled Robotic Cell Environment Based on MQTT and OPC UA</v>
      </c>
      <c r="C135">
        <f>'citations-it2-studies'!$C135</f>
        <v>2023</v>
      </c>
      <c r="D135">
        <f>'citations-it2-studies'!$H135</f>
        <v>8</v>
      </c>
    </row>
    <row r="136" spans="1:4">
      <c r="A136" t="s">
        <v>4274</v>
      </c>
      <c r="B136" s="39" t="str">
        <f>HYPERLINK('citations-it2-studies'!$D136,'citations-it2-studies'!$B136)</f>
        <v>Unified Namespace and Asset Administration Shell: A Winning Combination for Digital Production</v>
      </c>
      <c r="C136">
        <f>'citations-it2-studies'!$C136</f>
        <v>2024</v>
      </c>
      <c r="D136">
        <f>'citations-it2-studies'!$H136</f>
        <v>7</v>
      </c>
    </row>
    <row r="137" spans="1:4">
      <c r="A137" t="s">
        <v>4274</v>
      </c>
      <c r="B137" s="39" t="str">
        <f>HYPERLINK('citations-it2-studies'!$D137,'citations-it2-studies'!$B137)</f>
        <v>Computation offloading for ground robotic systems communicating over WiFi – an empirical exploration on performance and energy trade-offs</v>
      </c>
      <c r="C137">
        <f>'citations-it2-studies'!$C137</f>
        <v>2023</v>
      </c>
      <c r="D137">
        <f>'citations-it2-studies'!$H137</f>
        <v>0</v>
      </c>
    </row>
    <row r="138" spans="1:4">
      <c r="A138" t="s">
        <v>4274</v>
      </c>
      <c r="B138" s="39" t="str">
        <f>HYPERLINK('citations-it2-studies'!$D138,'citations-it2-studies'!$B138)</f>
        <v>A Grassroots Network and Community Roadmap for Interconnected Autonomous Science Laboratories for Accelerated Discovery</v>
      </c>
      <c r="C138">
        <f>'citations-it2-studies'!$C138</f>
        <v>2025</v>
      </c>
      <c r="D138">
        <f>'citations-it2-studies'!$H138</f>
        <v>9</v>
      </c>
    </row>
    <row r="139" spans="1:4">
      <c r="A139" t="s">
        <v>4274</v>
      </c>
      <c r="B139" s="39" t="str">
        <f>HYPERLINK('citations-it2-studies'!$D139,'citations-it2-studies'!$B139)</f>
        <v>Guidelines to develop demonstration models on industry 4.0 for engineering training</v>
      </c>
      <c r="C139">
        <f>'citations-it2-studies'!$C139</f>
        <v>2023</v>
      </c>
      <c r="D139">
        <f>'citations-it2-studies'!$H139</f>
        <v>17</v>
      </c>
    </row>
    <row r="140" spans="1:4">
      <c r="A140" t="s">
        <v>4274</v>
      </c>
      <c r="B140" s="39" t="str">
        <f>HYPERLINK('citations-it2-studies'!$D140,'citations-it2-studies'!$B140)</f>
        <v>A next generation upgraded observing platform for the automated Birmingham Solar Oscillations Network (BiSON)</v>
      </c>
      <c r="C140">
        <f>'citations-it2-studies'!$C140</f>
        <v>2020</v>
      </c>
      <c r="D140">
        <f>'citations-it2-studies'!$H140</f>
        <v>0</v>
      </c>
    </row>
    <row r="141" spans="1:4">
      <c r="A141" t="s">
        <v>4274</v>
      </c>
      <c r="B141" s="39" t="str">
        <f>HYPERLINK('citations-it2-studies'!$D141,'citations-it2-studies'!$B141)</f>
        <v>MQTT-I: Achieving End-to-End Data Flow Integrity in MQTT</v>
      </c>
      <c r="C141">
        <f>'citations-it2-studies'!$C141</f>
        <v>2024</v>
      </c>
      <c r="D141">
        <f>'citations-it2-studies'!$H141</f>
        <v>18</v>
      </c>
    </row>
    <row r="142" spans="1:4">
      <c r="A142" t="s">
        <v>4274</v>
      </c>
      <c r="B142" s="39" t="str">
        <f>HYPERLINK('citations-it2-studies'!$D142,'citations-it2-studies'!$B142)</f>
        <v>ICPS - A REST and HTTP-based Service Architecture for Industrial Facilities</v>
      </c>
      <c r="C142">
        <f>'citations-it2-studies'!$C142</f>
        <v>2020</v>
      </c>
      <c r="D142">
        <f>'citations-it2-studies'!$H142</f>
        <v>4</v>
      </c>
    </row>
    <row r="143" spans="1:4">
      <c r="A143" t="s">
        <v>4274</v>
      </c>
      <c r="B143" s="39" t="str">
        <f>HYPERLINK('citations-it2-studies'!$D143,'citations-it2-studies'!$B143)</f>
        <v>Introduction to Sustainable Enterprise Resource Planning (S-ERP) in Industry 4.0</v>
      </c>
      <c r="C143">
        <f>'citations-it2-studies'!$C143</f>
        <v>2025</v>
      </c>
      <c r="D143">
        <f>'citations-it2-studies'!$H143</f>
        <v>27</v>
      </c>
    </row>
    <row r="144" spans="1:4">
      <c r="A144" t="s">
        <v>4274</v>
      </c>
      <c r="B144" s="39" t="str">
        <f>HYPERLINK('citations-it2-studies'!$D144,'citations-it2-studies'!$B144)</f>
        <v>ICPS - An OPC UA-based Crane Model Using Time-Sensitive Networking Technology</v>
      </c>
      <c r="C144">
        <f>'citations-it2-studies'!$C144</f>
        <v>2020</v>
      </c>
      <c r="D144">
        <f>'citations-it2-studies'!$H144</f>
        <v>6</v>
      </c>
    </row>
    <row r="145" spans="1:4">
      <c r="A145" t="s">
        <v>4274</v>
      </c>
      <c r="B145" s="39" t="str">
        <f>HYPERLINK('citations-it2-studies'!$D145,'citations-it2-studies'!$B145)</f>
        <v>MQTT-A: A Broker-Bridging P2P Architecture to Achieve Anonymity in MQTT</v>
      </c>
      <c r="C145">
        <f>'citations-it2-studies'!$C145</f>
        <v>2023</v>
      </c>
      <c r="D145">
        <f>'citations-it2-studies'!$H145</f>
        <v>21</v>
      </c>
    </row>
    <row r="146" spans="1:4">
      <c r="A146" t="s">
        <v>4274</v>
      </c>
      <c r="B146" s="39" t="str">
        <f>HYPERLINK('citations-it2-studies'!$D146,'citations-it2-studies'!$B146)</f>
        <v>Digital Twin: A Comprehensive Survey of Security Threats</v>
      </c>
      <c r="C146">
        <f>'citations-it2-studies'!$C146</f>
        <v>2022</v>
      </c>
      <c r="D146">
        <f>'citations-it2-studies'!$H146</f>
        <v>29</v>
      </c>
    </row>
    <row r="147" spans="1:4">
      <c r="A147" t="s">
        <v>4274</v>
      </c>
      <c r="B147" s="39" t="str">
        <f>HYPERLINK('citations-it2-studies'!$D147,'citations-it2-studies'!$B147)</f>
        <v>MQTT Implementations, Open Issues, and Challenges: A Detailed Comparison and Survey</v>
      </c>
      <c r="C147">
        <f>'citations-it2-studies'!$C147</f>
        <v>2022</v>
      </c>
      <c r="D147">
        <f>'citations-it2-studies'!$H147</f>
        <v>24</v>
      </c>
    </row>
    <row r="148" spans="1:4">
      <c r="A148" t="s">
        <v>4274</v>
      </c>
      <c r="B148" s="39" t="str">
        <f>HYPERLINK('citations-it2-studies'!$D148,'citations-it2-studies'!$B148)</f>
        <v>Distributed Approach for Integration in Industrial Systems</v>
      </c>
      <c r="C148">
        <f>'citations-it2-studies'!$C148</f>
        <v>2023</v>
      </c>
      <c r="D148">
        <f>'citations-it2-studies'!$H148</f>
        <v>10</v>
      </c>
    </row>
    <row r="149" spans="1:4">
      <c r="A149" t="s">
        <v>4274</v>
      </c>
      <c r="B149" s="39" t="str">
        <f>HYPERLINK('citations-it2-studies'!$D149,'citations-it2-studies'!$B149)</f>
        <v>DDS Implementations as Real-Time Middleware – A Systematic Evaluation</v>
      </c>
      <c r="C149">
        <f>'citations-it2-studies'!$C149</f>
        <v>2023</v>
      </c>
      <c r="D149">
        <f>'citations-it2-studies'!$H149</f>
        <v>10</v>
      </c>
    </row>
    <row r="150" spans="1:4">
      <c r="A150" t="s">
        <v>4274</v>
      </c>
      <c r="B150" s="39" t="str">
        <f>HYPERLINK('citations-it2-studies'!$D150,'citations-it2-studies'!$B150)</f>
        <v>Analyzing Impact and Systemwide Effects of the SlowROS Attack in an Industrial Automation Scenario</v>
      </c>
      <c r="C150">
        <f>'citations-it2-studies'!$C150</f>
        <v>2025</v>
      </c>
      <c r="D150">
        <f>'citations-it2-studies'!$H150</f>
        <v>1</v>
      </c>
    </row>
    <row r="151" spans="1:4">
      <c r="A151" t="s">
        <v>4274</v>
      </c>
      <c r="B151" s="39" t="str">
        <f>HYPERLINK('citations-it2-studies'!$D151,'citations-it2-studies'!$B151)</f>
        <v>An adaptive human sensor framework for human–robot collaboration</v>
      </c>
      <c r="C151">
        <f>'citations-it2-studies'!$C151</f>
        <v>2021</v>
      </c>
      <c r="D151">
        <f>'citations-it2-studies'!$H151</f>
        <v>16</v>
      </c>
    </row>
    <row r="152" spans="1:4">
      <c r="A152" t="s">
        <v>4274</v>
      </c>
      <c r="B152" s="39" t="str">
        <f>HYPERLINK('citations-it2-studies'!$D152,'citations-it2-studies'!$B152)</f>
        <v>Artificial Intelligence on the Shop Floor: A Comprehensive Review of Literature</v>
      </c>
      <c r="C152">
        <f>'citations-it2-studies'!$C152</f>
        <v>2026</v>
      </c>
      <c r="D152">
        <f>'citations-it2-studies'!$H152</f>
        <v>0</v>
      </c>
    </row>
    <row r="153" spans="1:4">
      <c r="A153" t="s">
        <v>4274</v>
      </c>
      <c r="B153" s="39" t="str">
        <f>HYPERLINK('citations-it2-studies'!$D153,'citations-it2-studies'!$B153)</f>
        <v>A Systematic Literature Review of DDS Middleware in Robotic Systems</v>
      </c>
      <c r="C153">
        <f>'citations-it2-studies'!$C153</f>
        <v>2025</v>
      </c>
      <c r="D153">
        <f>'citations-it2-studies'!$H153</f>
        <v>1</v>
      </c>
    </row>
    <row r="154" spans="1:4">
      <c r="A154" t="s">
        <v>4274</v>
      </c>
      <c r="B154" s="39" t="str">
        <f>HYPERLINK('citations-it2-studies'!$D154,'citations-it2-studies'!$B154)</f>
        <v>Replay-Attack Detection and Prevention Mechanism in Industry 4.0 Landscape for Secure SECS/GEM Communications</v>
      </c>
      <c r="C154">
        <f>'citations-it2-studies'!$C154</f>
        <v>2022</v>
      </c>
      <c r="D154">
        <f>'citations-it2-studies'!$H154</f>
        <v>1</v>
      </c>
    </row>
    <row r="155" spans="1:4">
      <c r="A155" t="s">
        <v>4274</v>
      </c>
      <c r="B155" s="39" t="str">
        <f>HYPERLINK('citations-it2-studies'!$D155,'citations-it2-studies'!$B155)</f>
        <v>Toward Industrial IoT: Integrated Architecture of an OPC UA Synergy Platform</v>
      </c>
      <c r="C155">
        <f>'citations-it2-studies'!$C155</f>
        <v>2021</v>
      </c>
      <c r="D155">
        <f>'citations-it2-studies'!$H155</f>
        <v>12</v>
      </c>
    </row>
    <row r="156" spans="1:4">
      <c r="A156" t="s">
        <v>4274</v>
      </c>
      <c r="B156" s="39" t="str">
        <f>HYPERLINK('citations-it2-studies'!$D156,'citations-it2-studies'!$B156)</f>
        <v>Evaluation of Middleware Technologies for the PLC-Service Bus in IEC 61499</v>
      </c>
      <c r="C156">
        <f>'citations-it2-studies'!$C156</f>
        <v>2022</v>
      </c>
      <c r="D156">
        <f>'citations-it2-studies'!$H156</f>
        <v>4</v>
      </c>
    </row>
    <row r="157" spans="1:4">
      <c r="A157" t="s">
        <v>4274</v>
      </c>
      <c r="B157" s="39" t="str">
        <f>HYPERLINK('citations-it2-studies'!$D157,'citations-it2-studies'!$B157)</f>
        <v>Eudoxus: Characterizing and Accelerating Localization in Autonomous Machines.</v>
      </c>
      <c r="C157">
        <f>'citations-it2-studies'!$C157</f>
        <v>2020</v>
      </c>
      <c r="D157">
        <f>'citations-it2-studies'!$H157</f>
        <v>0</v>
      </c>
    </row>
    <row r="158" spans="1:4">
      <c r="A158" t="s">
        <v>4274</v>
      </c>
      <c r="B158" s="39" t="str">
        <f>HYPERLINK('citations-it2-studies'!$D158,'citations-it2-studies'!$B158)</f>
        <v>Quantifying DDS-cerberus network control overhead</v>
      </c>
      <c r="C158">
        <f>'citations-it2-studies'!$C158</f>
        <v>2022</v>
      </c>
      <c r="D158">
        <f>'citations-it2-studies'!$H158</f>
        <v>27</v>
      </c>
    </row>
    <row r="159" spans="1:4">
      <c r="A159" t="s">
        <v>4274</v>
      </c>
      <c r="B159" s="39" t="str">
        <f>HYPERLINK('citations-it2-studies'!$D159,'citations-it2-studies'!$B159)</f>
        <v>Bare-Metal vs. Hypervisors and Containers: Performance Evaluation of Virtualization Technologies for Software-Defined Vehicles</v>
      </c>
      <c r="C159">
        <f>'citations-it2-studies'!$C159</f>
        <v>2023</v>
      </c>
      <c r="D159">
        <f>'citations-it2-studies'!$H159</f>
        <v>8</v>
      </c>
    </row>
    <row r="160" spans="1:4">
      <c r="A160" t="s">
        <v>4274</v>
      </c>
      <c r="B160" s="39" t="str">
        <f>HYPERLINK('citations-it2-studies'!$D160,'citations-it2-studies'!$B160)</f>
        <v>Evaluating robot operating system's capabilities across distributed containerized systems</v>
      </c>
      <c r="C160">
        <f>'citations-it2-studies'!$C160</f>
        <v>2024</v>
      </c>
      <c r="D160">
        <f>'citations-it2-studies'!$H160</f>
        <v>0</v>
      </c>
    </row>
    <row r="161" spans="1:4">
      <c r="A161" t="s">
        <v>4274</v>
      </c>
      <c r="B161" s="39" t="str">
        <f>HYPERLINK('citations-it2-studies'!$D161,'citations-it2-studies'!$B161)</f>
        <v>Applicability of OPC UA and REST in Edge Computing</v>
      </c>
      <c r="C161">
        <f>'citations-it2-studies'!$C161</f>
        <v>2022</v>
      </c>
      <c r="D161">
        <f>'citations-it2-studies'!$H161</f>
        <v>6</v>
      </c>
    </row>
    <row r="162" spans="1:4">
      <c r="A162" t="s">
        <v>4274</v>
      </c>
      <c r="B162" s="39" t="str">
        <f>HYPERLINK('citations-it2-studies'!$D162,'citations-it2-studies'!$B162)</f>
        <v>Implementation of DDS Cloud Platform for Real-time Data Acquisition of Sensors</v>
      </c>
      <c r="C162">
        <f>'citations-it2-studies'!$C162</f>
        <v>2021</v>
      </c>
      <c r="D162">
        <f>'citations-it2-studies'!$H162</f>
        <v>2</v>
      </c>
    </row>
    <row r="163" spans="1:4">
      <c r="A163" t="s">
        <v>4274</v>
      </c>
      <c r="B163" s="39" t="str">
        <f>HYPERLINK('citations-it2-studies'!$D163,'citations-it2-studies'!$B163)</f>
        <v>Digital Twin for Monitoring an Industrial Process Using Augmented Reality</v>
      </c>
      <c r="C163">
        <f>'citations-it2-studies'!$C163</f>
        <v>2022</v>
      </c>
      <c r="D163">
        <f>'citations-it2-studies'!$H163</f>
        <v>5</v>
      </c>
    </row>
    <row r="164" spans="1:4">
      <c r="A164" t="s">
        <v>4274</v>
      </c>
      <c r="B164" s="39" t="str">
        <f>HYPERLINK('citations-it2-studies'!$D164,'citations-it2-studies'!$B164)</f>
        <v>Distributed Robotic Systems in the Edge-Cloud Continuum with ROS 2: a Review on Novel Architectures and Technology Readiness</v>
      </c>
      <c r="C164">
        <f>'citations-it2-studies'!$C164</f>
        <v>2022</v>
      </c>
      <c r="D164">
        <f>'citations-it2-studies'!$H164</f>
        <v>8</v>
      </c>
    </row>
    <row r="165" spans="1:4">
      <c r="A165" t="s">
        <v>4274</v>
      </c>
      <c r="B165" s="39" t="str">
        <f>HYPERLINK('citations-it2-studies'!$D165,'citations-it2-studies'!$B165)</f>
        <v>Cloud-Native Fog Robotics: Model-Based Deployment and Evaluation of Real-Time Applications</v>
      </c>
      <c r="C165">
        <f>'citations-it2-studies'!$C165</f>
        <v>2025</v>
      </c>
      <c r="D165">
        <f>'citations-it2-studies'!$H165</f>
        <v>8</v>
      </c>
    </row>
    <row r="166" spans="1:4">
      <c r="A166" t="s">
        <v>4274</v>
      </c>
      <c r="B166" s="39" t="str">
        <f>HYPERLINK('citations-it2-studies'!$D166,'citations-it2-studies'!$B166)</f>
        <v>Semantic Information Extraction from Multi-modal Technical Document</v>
      </c>
      <c r="C166">
        <f>'citations-it2-studies'!$C166</f>
        <v>2023</v>
      </c>
      <c r="D166">
        <f>'citations-it2-studies'!$H166</f>
        <v>4</v>
      </c>
    </row>
    <row r="167" spans="1:4">
      <c r="A167" t="s">
        <v>4274</v>
      </c>
      <c r="B167" s="39" t="str">
        <f>HYPERLINK('citations-it2-studies'!$D167,'citations-it2-studies'!$B167)</f>
        <v>A Survey and Comparison of Publish/Subscribe Protocols for the Industrial Internet of Things (IIoT)</v>
      </c>
      <c r="C167">
        <f>'citations-it2-studies'!$C167</f>
        <v>2022</v>
      </c>
      <c r="D167">
        <f>'citations-it2-studies'!$H167</f>
        <v>8</v>
      </c>
    </row>
    <row r="168" spans="1:4">
      <c r="A168" t="s">
        <v>4274</v>
      </c>
      <c r="B168" s="39" t="str">
        <f>HYPERLINK('citations-it2-studies'!$D168,'citations-it2-studies'!$B168)</f>
        <v>Approaching Interoperability and Data-Related Processing Issues in a Human-Centric Industrial Scenario</v>
      </c>
      <c r="C168">
        <f>'citations-it2-studies'!$C168</f>
        <v>2025</v>
      </c>
      <c r="D168">
        <f>'citations-it2-studies'!$H168</f>
        <v>14</v>
      </c>
    </row>
    <row r="169" spans="1:4">
      <c r="A169" t="s">
        <v>4274</v>
      </c>
      <c r="B169" s="39" t="str">
        <f>HYPERLINK('citations-it2-studies'!$D169,'citations-it2-studies'!$B169)</f>
        <v>Semantic Interconnection Scheme for Industrial Wireless Sensor Networks and Industrial Internet with OPC UA Pub/Sub.</v>
      </c>
      <c r="C169">
        <f>'citations-it2-studies'!$C169</f>
        <v>2022</v>
      </c>
      <c r="D169">
        <f>'citations-it2-studies'!$H169</f>
        <v>1</v>
      </c>
    </row>
    <row r="170" spans="1:4">
      <c r="A170" t="s">
        <v>4274</v>
      </c>
      <c r="B170" s="39" t="str">
        <f>HYPERLINK('citations-it2-studies'!$D170,'citations-it2-studies'!$B170)</f>
        <v>New Can Bus Communication Modules for Digitizing Forest Machines Functionalities in the Context of Forestry 4.0</v>
      </c>
      <c r="C170">
        <f>'citations-it2-studies'!$C170</f>
        <v>2023</v>
      </c>
      <c r="D170">
        <f>'citations-it2-studies'!$H170</f>
        <v>9</v>
      </c>
    </row>
    <row r="171" spans="1:4">
      <c r="A171" t="s">
        <v>4274</v>
      </c>
      <c r="B171" s="39" t="str">
        <f>HYPERLINK('citations-it2-studies'!$D171,'citations-it2-studies'!$B171)</f>
        <v>Design of an Operator Interface for Controlling the Installation of Ion-Plasma Deposition</v>
      </c>
      <c r="C171">
        <f>'citations-it2-studies'!$C171</f>
        <v>2023</v>
      </c>
      <c r="D171">
        <f>'citations-it2-studies'!$H171</f>
        <v>10</v>
      </c>
    </row>
    <row r="172" spans="1:4">
      <c r="A172" t="s">
        <v>4274</v>
      </c>
      <c r="B172" s="39" t="str">
        <f>HYPERLINK('citations-it2-studies'!$D172,'citations-it2-studies'!$B172)</f>
        <v>Displaying Dispatching Systems on Android Devices with Assessment of Data Transfer Protocols</v>
      </c>
      <c r="C172">
        <f>'citations-it2-studies'!$C172</f>
        <v>2025</v>
      </c>
      <c r="D172">
        <f>'citations-it2-studies'!$H172</f>
        <v>5</v>
      </c>
    </row>
    <row r="173" spans="1:4">
      <c r="A173" t="s">
        <v>4274</v>
      </c>
      <c r="B173" s="39" t="str">
        <f>HYPERLINK('citations-it2-studies'!$D173,'citations-it2-studies'!$B173)</f>
        <v>Event-based Framework for Digitalization of Value Stream Mapping</v>
      </c>
      <c r="C173">
        <f>'citations-it2-studies'!$C173</f>
        <v>2022</v>
      </c>
      <c r="D173">
        <f>'citations-it2-studies'!$H173</f>
        <v>6</v>
      </c>
    </row>
    <row r="174" spans="1:4">
      <c r="A174" t="s">
        <v>4274</v>
      </c>
      <c r="B174" s="39" t="str">
        <f>HYPERLINK('citations-it2-studies'!$D174,'citations-it2-studies'!$B174)</f>
        <v>Open source container orchestration for Industry 4.0 – requirements and systematic feature analysis</v>
      </c>
      <c r="C174">
        <f>'citations-it2-studies'!$C174</f>
        <v>2024</v>
      </c>
      <c r="D174">
        <f>'citations-it2-studies'!$H174</f>
        <v>24</v>
      </c>
    </row>
    <row r="175" spans="1:4">
      <c r="A175" t="s">
        <v>4274</v>
      </c>
      <c r="B175" s="39" t="str">
        <f>HYPERLINK('citations-it2-studies'!$D175,'citations-it2-studies'!$B175)</f>
        <v>Optimizing Renewable Energy Using Scalable Solutions: IoT Integration in Renewable Energy Laboratories</v>
      </c>
      <c r="C175">
        <f>'citations-it2-studies'!$C175</f>
        <v>2024</v>
      </c>
      <c r="D175">
        <f>'citations-it2-studies'!$H175</f>
        <v>6</v>
      </c>
    </row>
    <row r="176" spans="1:4">
      <c r="A176" t="s">
        <v>4274</v>
      </c>
      <c r="B176" s="39" t="str">
        <f>HYPERLINK('citations-it2-studies'!$D176,'citations-it2-studies'!$B176)</f>
        <v>A new era for digital twins: progress and industry adoption</v>
      </c>
      <c r="C176">
        <f>'citations-it2-studies'!$C176</f>
        <v>2025</v>
      </c>
      <c r="D176">
        <f>'citations-it2-studies'!$H176</f>
        <v>0</v>
      </c>
    </row>
    <row r="177" spans="1:4">
      <c r="A177" t="s">
        <v>4275</v>
      </c>
      <c r="B177" s="39" t="str">
        <f>HYPERLINK('references-it2-studies'!$D2,'references-it2-studies'!$B2)</f>
        <v>URAI - On the in-controller performance of an open source EtherCAT master using open platforms</v>
      </c>
      <c r="C177">
        <f>'references-it2-studies'!$C2</f>
        <v>2017</v>
      </c>
      <c r="D177">
        <f>'references-it2-studies'!$H2</f>
        <v>5</v>
      </c>
    </row>
    <row r="178" spans="1:4">
      <c r="A178" t="s">
        <v>4275</v>
      </c>
      <c r="B178" s="39" t="str">
        <f>HYPERLINK('references-it2-studies'!$D3,'references-it2-studies'!$B3)</f>
        <v>ICSA - Self-Commissioning Industrial IoT-Systems in Process Automation: A Reference Architecture</v>
      </c>
      <c r="C178">
        <f>'references-it2-studies'!$C3</f>
        <v>2018</v>
      </c>
      <c r="D178">
        <f>'references-it2-studies'!$H3</f>
        <v>19414</v>
      </c>
    </row>
    <row r="179" spans="1:4">
      <c r="A179" t="s">
        <v>4275</v>
      </c>
      <c r="B179" s="39" t="str">
        <f>HYPERLINK('references-it2-studies'!$D4,'references-it2-studies'!$B4)</f>
        <v>Case of study of a Profinet network using ring topology</v>
      </c>
      <c r="C179">
        <f>'references-it2-studies'!$C4</f>
        <v>2016</v>
      </c>
      <c r="D179">
        <f>'references-it2-studies'!$H4</f>
        <v>6</v>
      </c>
    </row>
    <row r="180" spans="1:4">
      <c r="A180" t="s">
        <v>4275</v>
      </c>
      <c r="B180" s="39" t="str">
        <f>HYPERLINK('references-it2-studies'!$D5,'references-it2-studies'!$B5)</f>
        <v>A Survey on Middleware Approaches for Distributed Real-Time Systems</v>
      </c>
      <c r="C180">
        <f>'references-it2-studies'!$C5</f>
        <v>2014</v>
      </c>
      <c r="D180">
        <f>'references-it2-studies'!$H5</f>
        <v>12</v>
      </c>
    </row>
    <row r="181" spans="1:4">
      <c r="A181" t="s">
        <v>4275</v>
      </c>
      <c r="B181" s="39" t="str">
        <f>HYPERLINK('references-it2-studies'!$D6,'references-it2-studies'!$B6)</f>
        <v>Internet Group Management Protocol, Version 3</v>
      </c>
      <c r="C181">
        <f>'references-it2-studies'!$C6</f>
        <v>2002</v>
      </c>
      <c r="D181">
        <f>'references-it2-studies'!$H6</f>
        <v>0</v>
      </c>
    </row>
    <row r="182" spans="1:4">
      <c r="A182" t="s">
        <v>4275</v>
      </c>
      <c r="B182" s="39" t="str">
        <f>HYPERLINK('references-it2-studies'!$D7,'references-it2-studies'!$B7)</f>
        <v>Performance Evaluation of QoS metrics in Software Defined Networking using Ryu Controller</v>
      </c>
      <c r="C182">
        <f>'references-it2-studies'!$C7</f>
        <v>2021</v>
      </c>
      <c r="D182">
        <f>'references-it2-studies'!$H7</f>
        <v>0</v>
      </c>
    </row>
    <row r="183" spans="1:4">
      <c r="A183" t="s">
        <v>4275</v>
      </c>
      <c r="B183" s="39" t="str">
        <f>HYPERLINK('references-it2-studies'!$D8,'references-it2-studies'!$B8)</f>
        <v>EMSOFT - Exploring the performance of ROS2</v>
      </c>
      <c r="C183">
        <f>'references-it2-studies'!$C8</f>
        <v>2016</v>
      </c>
      <c r="D183">
        <f>'references-it2-studies'!$H8</f>
        <v>6</v>
      </c>
    </row>
    <row r="184" spans="1:4">
      <c r="A184" t="s">
        <v>4275</v>
      </c>
      <c r="B184" s="39" t="str">
        <f>HYPERLINK('references-it2-studies'!$D9,'references-it2-studies'!$B9)</f>
        <v>A Middleware Based Architecture for the Industrial Internet of Things</v>
      </c>
      <c r="C184">
        <f>'references-it2-studies'!$C9</f>
        <v>2016</v>
      </c>
      <c r="D184">
        <f>'references-it2-studies'!$H9</f>
        <v>18</v>
      </c>
    </row>
    <row r="185" spans="1:4">
      <c r="A185" t="s">
        <v>4275</v>
      </c>
      <c r="B185" s="39" t="str">
        <f>HYPERLINK('references-it2-studies'!$D10,'references-it2-studies'!$B10)</f>
        <v>Edge Computing in Industrial Internet of Things: Architecture, Advances and Challenges</v>
      </c>
      <c r="C185">
        <f>'references-it2-studies'!$C10</f>
        <v>2020</v>
      </c>
      <c r="D185">
        <f>'references-it2-studies'!$H10</f>
        <v>27</v>
      </c>
    </row>
    <row r="186" spans="1:4">
      <c r="A186" t="s">
        <v>4275</v>
      </c>
      <c r="B186" s="39" t="str">
        <f>HYPERLINK('references-it2-studies'!$D11,'references-it2-studies'!$B11)</f>
        <v>Message Encryption in Robot Operating System: Collateral Effects of Hardening Mobile Robots</v>
      </c>
      <c r="C186">
        <f>'references-it2-studies'!$C11</f>
        <v>2018</v>
      </c>
      <c r="D186">
        <f>'references-it2-studies'!$H11</f>
        <v>0</v>
      </c>
    </row>
    <row r="187" spans="1:4">
      <c r="A187" t="s">
        <v>4275</v>
      </c>
      <c r="B187" s="39" t="str">
        <f>HYPERLINK('references-it2-studies'!$D12,'references-it2-studies'!$B12)</f>
        <v>ICSE (SEIP) - OpenPnP: a plug-and-produce architecture for the industrial internet of things</v>
      </c>
      <c r="C187">
        <f>'references-it2-studies'!$C12</f>
        <v>2019</v>
      </c>
      <c r="D187">
        <f>'references-it2-studies'!$H12</f>
        <v>10</v>
      </c>
    </row>
    <row r="188" spans="1:4">
      <c r="A188" t="s">
        <v>4275</v>
      </c>
      <c r="B188" s="39" t="str">
        <f>HYPERLINK('references-it2-studies'!$D13,'references-it2-studies'!$B13)</f>
        <v>Network Intrusion Detection using Machine Learning Techniques</v>
      </c>
      <c r="C188">
        <f>'references-it2-studies'!$C13</f>
        <v>2020</v>
      </c>
      <c r="D188">
        <f>'references-it2-studies'!$H13</f>
        <v>7</v>
      </c>
    </row>
    <row r="189" spans="1:4">
      <c r="A189" t="s">
        <v>4275</v>
      </c>
      <c r="B189" s="39" t="str">
        <f>HYPERLINK('references-it2-studies'!$D14,'references-it2-studies'!$B14)</f>
        <v>A Distributed Instrument for Performance Analysis of Real-Time Ethernet Networks</v>
      </c>
      <c r="C189">
        <f>'references-it2-studies'!$C14</f>
        <v>2008</v>
      </c>
      <c r="D189">
        <f>'references-it2-studies'!$H14</f>
        <v>10</v>
      </c>
    </row>
    <row r="190" spans="1:4">
      <c r="A190" t="s">
        <v>4275</v>
      </c>
      <c r="B190" s="39" t="str">
        <f>HYPERLINK('references-it2-studies'!$D15,'references-it2-studies'!$B15)</f>
        <v>ETFA - New approach for improvements and comparison of high performance real-time ethernet networks</v>
      </c>
      <c r="C190">
        <f>'references-it2-studies'!$C15</f>
        <v>2014</v>
      </c>
      <c r="D190">
        <f>'references-it2-studies'!$H15</f>
        <v>4</v>
      </c>
    </row>
    <row r="191" spans="1:4">
      <c r="A191" t="s">
        <v>4275</v>
      </c>
      <c r="B191" s="39" t="str">
        <f>HYPERLINK('references-it2-studies'!$D16,'references-it2-studies'!$B16)</f>
        <v>Performance Analysis of Profibus DP and Profinet in a Motion Control Application</v>
      </c>
      <c r="C191">
        <f>'references-it2-studies'!$C16</f>
        <v>2016</v>
      </c>
      <c r="D191">
        <f>'references-it2-studies'!$H16</f>
        <v>8</v>
      </c>
    </row>
    <row r="192" spans="1:4">
      <c r="A192" t="s">
        <v>4275</v>
      </c>
      <c r="B192" s="39" t="str">
        <f>HYPERLINK('references-it2-studies'!$D17,'references-it2-studies'!$B17)</f>
        <v>The Industrial Communication Technology Handbook - The Industrial Communication Technology Handbook</v>
      </c>
      <c r="C192">
        <f>'references-it2-studies'!$C17</f>
        <v>2005</v>
      </c>
      <c r="D192">
        <f>'references-it2-studies'!$H17</f>
        <v>0</v>
      </c>
    </row>
    <row r="193" spans="1:4">
      <c r="A193" t="s">
        <v>4275</v>
      </c>
      <c r="B193" s="39" t="str">
        <f>HYPERLINK('references-it2-studies'!$D18,'references-it2-studies'!$B18)</f>
        <v>Ethernet-Based Real-Time and Industrial Communications</v>
      </c>
      <c r="C193">
        <f>'references-it2-studies'!$C18</f>
        <v>2005</v>
      </c>
      <c r="D193">
        <f>'references-it2-studies'!$H18</f>
        <v>16</v>
      </c>
    </row>
    <row r="194" spans="1:4">
      <c r="A194" t="s">
        <v>4275</v>
      </c>
      <c r="B194" s="39" t="str">
        <f>HYPERLINK('references-it2-studies'!$D19,'references-it2-studies'!$B19)</f>
        <v>OPC Unified Architecture</v>
      </c>
      <c r="C194">
        <f>'references-it2-studies'!$C19</f>
        <v>2009</v>
      </c>
      <c r="D194">
        <f>'references-it2-studies'!$H19</f>
        <v>0</v>
      </c>
    </row>
    <row r="195" spans="1:4">
      <c r="A195" t="s">
        <v>4275</v>
      </c>
      <c r="B195" s="39" t="str">
        <f>HYPERLINK('references-it2-studies'!$D20,'references-it2-studies'!$B20)</f>
        <v>Industrial Communication Systems</v>
      </c>
      <c r="C195">
        <f>'references-it2-studies'!$C20</f>
        <v>2018</v>
      </c>
      <c r="D195">
        <f>'references-it2-studies'!$H20</f>
        <v>0</v>
      </c>
    </row>
    <row r="196" spans="1:4">
      <c r="A196" t="s">
        <v>4275</v>
      </c>
      <c r="B196" s="39" t="str">
        <f>HYPERLINK('references-it2-studies'!$D21,'references-it2-studies'!$B21)</f>
        <v>Factory Communications at the Dawn of the Fourth Industrial Revolution</v>
      </c>
      <c r="C196">
        <f>'references-it2-studies'!$C21</f>
        <v>2020</v>
      </c>
      <c r="D196">
        <f>'references-it2-studies'!$H21</f>
        <v>0</v>
      </c>
    </row>
    <row r="197" spans="1:4">
      <c r="A197" t="s">
        <v>4275</v>
      </c>
      <c r="B197" s="39" t="str">
        <f>HYPERLINK('references-it2-studies'!$D22,'references-it2-studies'!$B22)</f>
        <v>IEEE 1588 for Clock Synchronization in Industrial IoT and Related Applications: A Review on Contributing Technologies, Protocols and Enhancement Methodologies</v>
      </c>
      <c r="C197">
        <f>'references-it2-studies'!$C22</f>
        <v>2020</v>
      </c>
      <c r="D197">
        <f>'references-it2-studies'!$H22</f>
        <v>19</v>
      </c>
    </row>
    <row r="198" spans="1:4">
      <c r="A198" t="s">
        <v>4275</v>
      </c>
      <c r="B198" s="39" t="str">
        <f>HYPERLINK('references-it2-studies'!$D23,'references-it2-studies'!$B23)</f>
        <v>PERFORMANCE ANALYSIS OF ETHERNET/IP NETWORKS</v>
      </c>
      <c r="C198">
        <f>'references-it2-studies'!$C23</f>
        <v>2007</v>
      </c>
      <c r="D198">
        <f>'references-it2-studies'!$H23</f>
        <v>8</v>
      </c>
    </row>
    <row r="199" spans="1:4">
      <c r="A199" t="s">
        <v>4275</v>
      </c>
      <c r="B199" s="39" t="str">
        <f>HYPERLINK('references-it2-studies'!$D24,'references-it2-studies'!$B24)</f>
        <v>ETFA - Survey on real-time communication via ethernet in industrial automation environments</v>
      </c>
      <c r="C199">
        <f>'references-it2-studies'!$C24</f>
        <v>2014</v>
      </c>
      <c r="D199">
        <f>'references-it2-studies'!$H24</f>
        <v>8</v>
      </c>
    </row>
    <row r="200" spans="1:4">
      <c r="A200" t="s">
        <v>4275</v>
      </c>
      <c r="B200" s="39" t="str">
        <f>HYPERLINK('references-it2-studies'!$D25,'references-it2-studies'!$B25)</f>
        <v>Real-time Ethernet networks for motion control</v>
      </c>
      <c r="C200">
        <f>'references-it2-studies'!$C25</f>
        <v>2011</v>
      </c>
      <c r="D200">
        <f>'references-it2-studies'!$H25</f>
        <v>12</v>
      </c>
    </row>
    <row r="201" spans="1:4">
      <c r="A201" t="s">
        <v>4275</v>
      </c>
      <c r="B201" s="39" t="str">
        <f>HYPERLINK('references-it2-studies'!$D26,'references-it2-studies'!$B26)</f>
        <v>MetroInd4.0&amp;amp;IoT - Introducing a cloud based architecture for the distributed analysis of Real-Time Ethernet traffic</v>
      </c>
      <c r="C201">
        <f>'references-it2-studies'!$C26</f>
        <v>2020</v>
      </c>
      <c r="D201">
        <f>'references-it2-studies'!$H26</f>
        <v>6</v>
      </c>
    </row>
    <row r="202" spans="1:4">
      <c r="A202" t="s">
        <v>4275</v>
      </c>
      <c r="B202" s="39" t="str">
        <f>HYPERLINK('references-it2-studies'!$D27,'references-it2-studies'!$B27)</f>
        <v>ETFA - Precision of ethernet measurements based on software tools</v>
      </c>
      <c r="C202">
        <f>'references-it2-studies'!$C27</f>
        <v>2007</v>
      </c>
      <c r="D202">
        <f>'references-it2-studies'!$H27</f>
        <v>6</v>
      </c>
    </row>
    <row r="203" spans="1:4">
      <c r="A203" t="s">
        <v>4275</v>
      </c>
      <c r="B203" s="39" t="str">
        <f>HYPERLINK('references-it2-studies'!$D28,'references-it2-studies'!$B28)</f>
        <v>Siemens and EdgeX IIoT Platforms: A Functional and Performance Evaluation</v>
      </c>
      <c r="C203">
        <f>'references-it2-studies'!$C28</f>
        <v>2023</v>
      </c>
      <c r="D203">
        <f>'references-it2-studies'!$H28</f>
        <v>6</v>
      </c>
    </row>
    <row r="204" spans="1:4">
      <c r="A204" t="s">
        <v>4275</v>
      </c>
      <c r="B204" s="39" t="str">
        <f>HYPERLINK('references-it2-studies'!$D29,'references-it2-studies'!$B29)</f>
        <v>Guidelines for conducting and reporting case study research in software engineering</v>
      </c>
      <c r="C204">
        <f>'references-it2-studies'!$C29</f>
        <v>2008</v>
      </c>
      <c r="D204">
        <f>'references-it2-studies'!$H29</f>
        <v>34</v>
      </c>
    </row>
    <row r="205" spans="1:4">
      <c r="A205" t="s">
        <v>4275</v>
      </c>
      <c r="B205" s="39" t="str">
        <f>HYPERLINK('references-it2-studies'!$D30,'references-it2-studies'!$B30)</f>
        <v>COMPSAC - An Assessment of Internet of Things Protocols for Resource-Constrained Applications</v>
      </c>
      <c r="C205">
        <f>'references-it2-studies'!$C30</f>
        <v>2016</v>
      </c>
      <c r="D205">
        <f>'references-it2-studies'!$H30</f>
        <v>6</v>
      </c>
    </row>
    <row r="206" spans="1:4">
      <c r="A206" t="s">
        <v>4275</v>
      </c>
      <c r="B206" s="39" t="str">
        <f>HYPERLINK('references-it2-studies'!$D31,'references-it2-studies'!$B31)</f>
        <v>A Servo-Clock Model for Chains of Transparent Clocks Affected by Synchronization Period Jitter</v>
      </c>
      <c r="C206">
        <f>'references-it2-studies'!$C31</f>
        <v>2014</v>
      </c>
      <c r="D206">
        <f>'references-it2-studies'!$H31</f>
        <v>11</v>
      </c>
    </row>
    <row r="207" spans="1:4">
      <c r="A207" t="s">
        <v>4275</v>
      </c>
      <c r="B207" s="39" t="str">
        <f>HYPERLINK('references-it2-studies'!$D32,'references-it2-studies'!$B32)</f>
        <v>Formal and simulation-based timing analysis of Industrial-Ethernet sercos III over TSN</v>
      </c>
      <c r="C207">
        <f>'references-it2-studies'!$C32</f>
        <v>2017</v>
      </c>
      <c r="D207">
        <f>'references-it2-studies'!$H32</f>
        <v>0</v>
      </c>
    </row>
    <row r="208" spans="1:4">
      <c r="A208" t="s">
        <v>4275</v>
      </c>
      <c r="B208" s="39" t="str">
        <f>HYPERLINK('references-it2-studies'!$D33,'references-it2-studies'!$B33)</f>
        <v>Comparative study of various traffic generator tools</v>
      </c>
      <c r="C208">
        <f>'references-it2-studies'!$C33</f>
        <v>2014</v>
      </c>
      <c r="D208">
        <f>'references-it2-studies'!$H33</f>
        <v>6</v>
      </c>
    </row>
    <row r="209" spans="1:4">
      <c r="A209" t="s">
        <v>4275</v>
      </c>
      <c r="B209" s="39" t="str">
        <f>HYPERLINK('references-it2-studies'!$D34,'references-it2-studies'!$B34)</f>
        <v>POWERLINK and Ethernet/IP Comparison as Robust Industrial Ethernet Protocols</v>
      </c>
      <c r="C209">
        <f>'references-it2-studies'!$C34</f>
        <v>2017</v>
      </c>
      <c r="D209">
        <f>'references-it2-studies'!$H34</f>
        <v>6</v>
      </c>
    </row>
    <row r="210" spans="1:4">
      <c r="A210" t="s">
        <v>4275</v>
      </c>
      <c r="B210" s="39" t="str">
        <f>HYPERLINK('references-it2-studies'!$D35,'references-it2-studies'!$B35)</f>
        <v>Performance analysis of PROFINET networks</v>
      </c>
      <c r="C210">
        <f>'references-it2-studies'!$C35</f>
        <v>2006</v>
      </c>
      <c r="D210">
        <f>'references-it2-studies'!$H35</f>
        <v>17</v>
      </c>
    </row>
    <row r="211" spans="1:4">
      <c r="A211" t="s">
        <v>4275</v>
      </c>
      <c r="B211" s="39" t="str">
        <f>HYPERLINK('references-it2-studies'!$D36,'references-it2-studies'!$B36)</f>
        <v>Overhead and ACK-induced jitter in Modbus TCP communication</v>
      </c>
      <c r="C211">
        <f>'references-it2-studies'!$C36</f>
        <v>2015</v>
      </c>
      <c r="D211">
        <f>'references-it2-studies'!$H36</f>
        <v>6</v>
      </c>
    </row>
    <row r="212" spans="1:4">
      <c r="A212" t="s">
        <v>4275</v>
      </c>
      <c r="B212" s="39" t="str">
        <f>HYPERLINK('references-it2-studies'!$D37,'references-it2-studies'!$B37)</f>
        <v>MoWNet - Performance evaluation of IoT protocols under a constrained wireless access network</v>
      </c>
      <c r="C212">
        <f>'references-it2-studies'!$C37</f>
        <v>2016</v>
      </c>
      <c r="D212">
        <f>'references-it2-studies'!$H37</f>
        <v>7</v>
      </c>
    </row>
    <row r="213" spans="1:4">
      <c r="A213" t="s">
        <v>4275</v>
      </c>
      <c r="B213" s="39" t="str">
        <f>HYPERLINK('references-it2-studies'!$D38,'references-it2-studies'!$B38)</f>
        <v>CN - Introduction to OPC UA Performance</v>
      </c>
      <c r="C213">
        <f>'references-it2-studies'!$C38</f>
        <v>2012</v>
      </c>
      <c r="D213">
        <f>'references-it2-studies'!$H38</f>
        <v>10</v>
      </c>
    </row>
    <row r="214" spans="1:4">
      <c r="A214" t="s">
        <v>4275</v>
      </c>
      <c r="B214" s="39" t="str">
        <f>HYPERLINK('references-it2-studies'!$D39,'references-it2-studies'!$B39)</f>
        <v>WFCS - Hybrid OPC UA and DDS: Combining architectural styles for the industrial internet</v>
      </c>
      <c r="C214">
        <f>'references-it2-studies'!$C39</f>
        <v>2016</v>
      </c>
      <c r="D214">
        <f>'references-it2-studies'!$H39</f>
        <v>7</v>
      </c>
    </row>
    <row r="215" spans="1:4">
      <c r="A215" t="s">
        <v>4275</v>
      </c>
      <c r="B215" s="39" t="str">
        <f>HYPERLINK('references-it2-studies'!$D40,'references-it2-studies'!$B40)</f>
        <v>ETFA - Real Time Ethernet networks evaluation using performance indicators</v>
      </c>
      <c r="C215">
        <f>'references-it2-studies'!$C40</f>
        <v>2009</v>
      </c>
      <c r="D215">
        <f>'references-it2-studies'!$H40</f>
        <v>8</v>
      </c>
    </row>
    <row r="216" spans="1:4">
      <c r="A216" t="s">
        <v>4275</v>
      </c>
      <c r="B216" s="39" t="str">
        <f>HYPERLINK('references-it2-studies'!$D41,'references-it2-studies'!$B41)</f>
        <v>DS-RT - Formal and simulation-based timing analysis of industrial-ethernet sercos III over TSN</v>
      </c>
      <c r="C216">
        <f>'references-it2-studies'!$C41</f>
        <v>2017</v>
      </c>
      <c r="D216">
        <f>'references-it2-studies'!$H41</f>
        <v>8</v>
      </c>
    </row>
    <row r="217" spans="1:4">
      <c r="A217" t="s">
        <v>4275</v>
      </c>
      <c r="B217" s="39" t="str">
        <f>HYPERLINK('references-it2-studies'!$D42,'references-it2-studies'!$B42)</f>
        <v>A case study of data acquisition from field devices using OPC UA and MQTT</v>
      </c>
      <c r="C217">
        <f>'references-it2-studies'!$C42</f>
        <v>2017</v>
      </c>
      <c r="D217">
        <f>'references-it2-studies'!$H42</f>
        <v>4</v>
      </c>
    </row>
    <row r="225" spans="1:1">
      <c r="A225" s="39"/>
    </row>
    <row r="226" spans="1:1">
      <c r="A226" s="3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4887-8434-4B83-81A9-85A6745A3B15}">
  <dimension ref="A1:D170"/>
  <sheetViews>
    <sheetView workbookViewId="0">
      <selection activeCell="A170" sqref="A2:A170"/>
    </sheetView>
  </sheetViews>
  <sheetFormatPr defaultRowHeight="12.75"/>
  <cols>
    <col min="2" max="2" width="33.28515625" customWidth="1"/>
  </cols>
  <sheetData>
    <row r="1" spans="1:4">
      <c r="A1" t="s">
        <v>47</v>
      </c>
      <c r="B1" t="s">
        <v>2</v>
      </c>
      <c r="C1" t="s">
        <v>32</v>
      </c>
      <c r="D1" t="s">
        <v>327</v>
      </c>
    </row>
    <row r="2" spans="1:4">
      <c r="A2" t="s">
        <v>4274</v>
      </c>
      <c r="B2" s="39" t="str">
        <f>HYPERLINK('citations-it2-studies'!$D2,'citations-it2-studies'!$B2)</f>
        <v>Programming of Skill-Based Robots</v>
      </c>
      <c r="C2">
        <f>'citations-it2-studies'!$C2</f>
        <v>2024</v>
      </c>
      <c r="D2">
        <f>'citations-it2-studies'!$H2</f>
        <v>7</v>
      </c>
    </row>
    <row r="3" spans="1:4">
      <c r="A3" t="s">
        <v>4274</v>
      </c>
      <c r="B3" s="39" t="str">
        <f>HYPERLINK('citations-it2-studies'!$D3,'citations-it2-studies'!$B3)</f>
        <v>A CAD feature-based manufacturing approach with OPC UA skills</v>
      </c>
      <c r="C3">
        <f>'citations-it2-studies'!$C3</f>
        <v>2020</v>
      </c>
      <c r="D3">
        <f>'citations-it2-studies'!$H3</f>
        <v>8</v>
      </c>
    </row>
    <row r="4" spans="1:4">
      <c r="A4" t="s">
        <v>4274</v>
      </c>
      <c r="B4" s="39" t="str">
        <f>HYPERLINK('citations-it2-studies'!$D4,'citations-it2-studies'!$B4)</f>
        <v>Optimising data visualisation in the process control and IIoT environments</v>
      </c>
      <c r="C4">
        <f>'citations-it2-studies'!$C4</f>
        <v>2022</v>
      </c>
      <c r="D4">
        <f>'citations-it2-studies'!$H4</f>
        <v>14</v>
      </c>
    </row>
    <row r="5" spans="1:4">
      <c r="A5" t="s">
        <v>4274</v>
      </c>
      <c r="B5" s="39" t="str">
        <f>HYPERLINK('citations-it2-studies'!$D5,'citations-it2-studies'!$B5)</f>
        <v>SOHOMA - About the Applicability of IoT Concept for Classical Manufacturing Systems</v>
      </c>
      <c r="C5">
        <f>'citations-it2-studies'!$C5</f>
        <v>2021</v>
      </c>
      <c r="D5">
        <f>'citations-it2-studies'!$H5</f>
        <v>12</v>
      </c>
    </row>
    <row r="6" spans="1:4">
      <c r="A6" t="s">
        <v>4274</v>
      </c>
      <c r="B6" s="39" t="str">
        <f>HYPERLINK('citations-it2-studies'!$D6,'citations-it2-studies'!$B6)</f>
        <v>Evaluation of OPC-UA communication in an autonomous advanced manufacturing cell implementation</v>
      </c>
      <c r="C6">
        <f>'citations-it2-studies'!$C6</f>
        <v>2020</v>
      </c>
      <c r="D6">
        <f>'citations-it2-studies'!$H6</f>
        <v>17</v>
      </c>
    </row>
    <row r="7" spans="1:4">
      <c r="A7" t="s">
        <v>4274</v>
      </c>
      <c r="B7" s="39" t="str">
        <f>HYPERLINK('citations-it2-studies'!$D7,'citations-it2-studies'!$B7)</f>
        <v>IC2E - A Comprehensive Performance Evaluation of Different Kubernetes CNI Plugins for Edge-based and Containerized Publish/Subscribe Applications.</v>
      </c>
      <c r="C7">
        <f>'citations-it2-studies'!$C7</f>
        <v>2021</v>
      </c>
      <c r="D7">
        <f>'citations-it2-studies'!$H7</f>
        <v>12</v>
      </c>
    </row>
    <row r="8" spans="1:4">
      <c r="A8" t="s">
        <v>4274</v>
      </c>
      <c r="B8" s="39" t="str">
        <f>HYPERLINK('citations-it2-studies'!$D8,'citations-it2-studies'!$B8)</f>
        <v>Smartspectrometer—embedded optical spectroscopy for applications in agriculture and industry</v>
      </c>
      <c r="C8">
        <f>'citations-it2-studies'!$C8</f>
        <v>2021</v>
      </c>
      <c r="D8">
        <f>'citations-it2-studies'!$H8</f>
        <v>0</v>
      </c>
    </row>
    <row r="9" spans="1:4">
      <c r="A9" t="s">
        <v>4274</v>
      </c>
      <c r="B9" s="39" t="str">
        <f>HYPERLINK('citations-it2-studies'!$D9,'citations-it2-studies'!$B9)</f>
        <v>Internet of Things (IoT) Protocols, Communication Technologies, and Services in Industry</v>
      </c>
      <c r="C9">
        <f>'citations-it2-studies'!$C9</f>
        <v>2021</v>
      </c>
      <c r="D9">
        <f>'citations-it2-studies'!$H9</f>
        <v>7</v>
      </c>
    </row>
    <row r="10" spans="1:4">
      <c r="A10" t="s">
        <v>4274</v>
      </c>
      <c r="B10" s="39" t="str">
        <f>HYPERLINK('citations-it2-studies'!$D10,'citations-it2-studies'!$B10)</f>
        <v>Towards Digital Twin for Biopharmaceutical Processes: Concept and Progress</v>
      </c>
      <c r="C10">
        <f>'citations-it2-studies'!$C10</f>
        <v>2023</v>
      </c>
      <c r="D10">
        <f>'citations-it2-studies'!$H10</f>
        <v>33</v>
      </c>
    </row>
    <row r="11" spans="1:4">
      <c r="A11" t="s">
        <v>4274</v>
      </c>
      <c r="B11" s="39" t="str">
        <f>HYPERLINK('citations-it2-studies'!$D12,'citations-it2-studies'!$B12)</f>
        <v>Investigating Messaging Protocols for the Internet of Things (IoT)</v>
      </c>
      <c r="C11">
        <f>'citations-it2-studies'!$C12</f>
        <v>2020</v>
      </c>
      <c r="D11">
        <f>'citations-it2-studies'!$H12</f>
        <v>32</v>
      </c>
    </row>
    <row r="12" spans="1:4">
      <c r="A12" t="s">
        <v>4274</v>
      </c>
      <c r="B12" s="39" t="str">
        <f>HYPERLINK('citations-it2-studies'!$D14,'citations-it2-studies'!$B14)</f>
        <v>ESORICS (2) - Towards Post-Quantum Security for Cyber-Physical Systems: Integrating PQC into Industrial M2M Communication.</v>
      </c>
      <c r="C12">
        <f>'citations-it2-studies'!$C14</f>
        <v>2020</v>
      </c>
      <c r="D12">
        <f>'citations-it2-studies'!$H14</f>
        <v>22</v>
      </c>
    </row>
    <row r="13" spans="1:4">
      <c r="A13" t="s">
        <v>4274</v>
      </c>
      <c r="B13" s="39" t="str">
        <f>HYPERLINK('citations-it2-studies'!$D15,'citations-it2-studies'!$B15)</f>
        <v>An Autonomous Edge Box System Architecture for Industrial IoT Applications</v>
      </c>
      <c r="C13">
        <f>'citations-it2-studies'!$C15</f>
        <v>2024</v>
      </c>
      <c r="D13">
        <f>'citations-it2-studies'!$H15</f>
        <v>6</v>
      </c>
    </row>
    <row r="14" spans="1:4">
      <c r="A14" t="s">
        <v>4274</v>
      </c>
      <c r="B14" s="39" t="str">
        <f>HYPERLINK('citations-it2-studies'!$D16,'citations-it2-studies'!$B16)</f>
        <v>Methodology for Plant Specific Cultivation through a Plant Identification pipeline</v>
      </c>
      <c r="C14">
        <f>'citations-it2-studies'!$C16</f>
        <v>2020</v>
      </c>
      <c r="D14">
        <f>'citations-it2-studies'!$H16</f>
        <v>5</v>
      </c>
    </row>
    <row r="15" spans="1:4">
      <c r="A15" t="s">
        <v>4274</v>
      </c>
      <c r="B15" s="39" t="str">
        <f>HYPERLINK('citations-it2-studies'!$D17,'citations-it2-studies'!$B17)</f>
        <v>Data Science on Industrial Data—Today’s Challenges in Brown Field Applications</v>
      </c>
      <c r="C15">
        <f>'citations-it2-studies'!$C17</f>
        <v>2021</v>
      </c>
      <c r="D15">
        <f>'citations-it2-studies'!$H17</f>
        <v>0</v>
      </c>
    </row>
    <row r="16" spans="1:4">
      <c r="A16" t="s">
        <v>4274</v>
      </c>
      <c r="B16" s="39" t="str">
        <f>HYPERLINK('citations-it2-studies'!$D18,'citations-it2-studies'!$B18)</f>
        <v>Towards post-quantum security for cyber-physical systems: Integrating PQC into industrial M2M communication</v>
      </c>
      <c r="C16">
        <f>'citations-it2-studies'!$C18</f>
        <v>2021</v>
      </c>
      <c r="D16">
        <f>'citations-it2-studies'!$H18</f>
        <v>31</v>
      </c>
    </row>
    <row r="17" spans="1:4">
      <c r="A17" t="s">
        <v>4274</v>
      </c>
      <c r="B17" s="39" t="str">
        <f>HYPERLINK('citations-it2-studies'!$D19,'citations-it2-studies'!$B19)</f>
        <v>MES-integrated digital twin frameworks</v>
      </c>
      <c r="C17">
        <f>'citations-it2-studies'!$C19</f>
        <v>2020</v>
      </c>
      <c r="D17">
        <f>'citations-it2-studies'!$H19</f>
        <v>14</v>
      </c>
    </row>
    <row r="18" spans="1:4">
      <c r="A18" t="s">
        <v>4274</v>
      </c>
      <c r="B18" s="39" t="str">
        <f>HYPERLINK('citations-it2-studies'!$D21,'citations-it2-studies'!$B21)</f>
        <v>&lt;i&gt;SCOPE&lt;/i&gt; : Performance Testing for Serverless Computing</v>
      </c>
      <c r="C18">
        <f>'citations-it2-studies'!$C21</f>
        <v>2025</v>
      </c>
      <c r="D18">
        <f>'citations-it2-studies'!$H21</f>
        <v>30</v>
      </c>
    </row>
    <row r="19" spans="1:4">
      <c r="A19" t="s">
        <v>4274</v>
      </c>
      <c r="B19" s="39" t="str">
        <f>HYPERLINK('citations-it2-studies'!$D22,'citations-it2-studies'!$B22)</f>
        <v>A digital twin approach for online reconfiguration of robotic manufacturing systems toward plug-and-produce</v>
      </c>
      <c r="C19">
        <f>'citations-it2-studies'!$C22</f>
        <v>2025</v>
      </c>
      <c r="D19">
        <f>'citations-it2-studies'!$H22</f>
        <v>27</v>
      </c>
    </row>
    <row r="20" spans="1:4">
      <c r="A20" t="s">
        <v>4274</v>
      </c>
      <c r="B20" s="39" t="str">
        <f>HYPERLINK('citations-it2-studies'!$D23,'citations-it2-studies'!$B23)</f>
        <v>IIoT Protocols for Edge/Fog and Cloud Computing in Industrial AI</v>
      </c>
      <c r="C20">
        <f>'citations-it2-studies'!$C23</f>
        <v>2024</v>
      </c>
      <c r="D20">
        <f>'citations-it2-studies'!$H23</f>
        <v>30</v>
      </c>
    </row>
    <row r="21" spans="1:4">
      <c r="A21" t="s">
        <v>4274</v>
      </c>
      <c r="B21" s="39" t="str">
        <f>HYPERLINK('citations-it2-studies'!$D24,'citations-it2-studies'!$B24)</f>
        <v>Unified Multi-Modal Data Aggregation for Complementary Sensor Networks Applied for Localization</v>
      </c>
      <c r="C21">
        <f>'citations-it2-studies'!$C24</f>
        <v>2022</v>
      </c>
      <c r="D21">
        <f>'citations-it2-studies'!$H24</f>
        <v>7</v>
      </c>
    </row>
    <row r="22" spans="1:4">
      <c r="A22" t="s">
        <v>4274</v>
      </c>
      <c r="B22" s="39" t="str">
        <f>HYPERLINK('citations-it2-studies'!$D25,'citations-it2-studies'!$B25)</f>
        <v>Leveraging Hybrid Information Centric Networking for Broker-Free Publish/Subscribe in IoT</v>
      </c>
      <c r="C22">
        <f>'citations-it2-studies'!$C25</f>
        <v>2023</v>
      </c>
      <c r="D22">
        <f>'citations-it2-studies'!$H25</f>
        <v>7</v>
      </c>
    </row>
    <row r="23" spans="1:4">
      <c r="A23" t="s">
        <v>4274</v>
      </c>
      <c r="B23" s="39" t="str">
        <f>HYPERLINK('citations-it2-studies'!$D26,'citations-it2-studies'!$B26)</f>
        <v>General Evaluation of EtherCAT-Based Techniques in Various Industrial Systems: Review and Applications</v>
      </c>
      <c r="C23">
        <f>'citations-it2-studies'!$C26</f>
        <v>2024</v>
      </c>
      <c r="D23">
        <f>'citations-it2-studies'!$H26</f>
        <v>13</v>
      </c>
    </row>
    <row r="24" spans="1:4">
      <c r="A24" t="s">
        <v>4274</v>
      </c>
      <c r="B24" s="39" t="str">
        <f>HYPERLINK('citations-it2-studies'!$D27,'citations-it2-studies'!$B27)</f>
        <v>ACHORD: Communication-Aware Multi-Robot Coordination With Intermittent Connectivity</v>
      </c>
      <c r="C24">
        <f>'citations-it2-studies'!$C27</f>
        <v>2022</v>
      </c>
      <c r="D24">
        <f>'citations-it2-studies'!$H27</f>
        <v>8</v>
      </c>
    </row>
    <row r="25" spans="1:4">
      <c r="A25" t="s">
        <v>4274</v>
      </c>
      <c r="B25" s="39" t="str">
        <f>HYPERLINK('citations-it2-studies'!$D28,'citations-it2-studies'!$B28)</f>
        <v>A Solution to the Generalized ROS Hardware IO Problem - A Generic Modbus/TCP Device Driver for PLCs, Sensors and Actuators</v>
      </c>
      <c r="C25">
        <f>'citations-it2-studies'!$C28</f>
        <v>2021</v>
      </c>
      <c r="D25">
        <f>'citations-it2-studies'!$H28</f>
        <v>8</v>
      </c>
    </row>
    <row r="26" spans="1:4">
      <c r="A26" t="s">
        <v>4274</v>
      </c>
      <c r="B26" s="39" t="str">
        <f>HYPERLINK('citations-it2-studies'!$D29,'citations-it2-studies'!$B29)</f>
        <v>ATLAS - A Generic Framework for Generation of Skill-Based Control Logic and Simulation Models for Intralogistics Applications</v>
      </c>
      <c r="C26">
        <f>'citations-it2-studies'!$C29</f>
        <v>2021</v>
      </c>
      <c r="D26">
        <f>'citations-it2-studies'!$H29</f>
        <v>8</v>
      </c>
    </row>
    <row r="27" spans="1:4">
      <c r="A27" t="s">
        <v>4274</v>
      </c>
      <c r="B27" s="39" t="str">
        <f>HYPERLINK('citations-it2-studies'!$D30,'citations-it2-studies'!$B30)</f>
        <v>DDS and OPC UA Protocol Coexistence Solution in Real-Time and Industry 4.0 Context Using Non-Ideal Infrastructure.</v>
      </c>
      <c r="C27">
        <f>'citations-it2-studies'!$C30</f>
        <v>2021</v>
      </c>
      <c r="D27">
        <f>'citations-it2-studies'!$H30</f>
        <v>0</v>
      </c>
    </row>
    <row r="28" spans="1:4">
      <c r="A28" t="s">
        <v>4274</v>
      </c>
      <c r="B28" s="39" t="str">
        <f>HYPERLINK('citations-it2-studies'!$D31,'citations-it2-studies'!$B31)</f>
        <v>An Intelligent Product-Driven Manufacturing System Using Data Distribution Service</v>
      </c>
      <c r="C28">
        <f>'citations-it2-studies'!$C31</f>
        <v>2024</v>
      </c>
      <c r="D28">
        <f>'citations-it2-studies'!$H31</f>
        <v>15</v>
      </c>
    </row>
    <row r="29" spans="1:4">
      <c r="A29" t="s">
        <v>4274</v>
      </c>
      <c r="B29" s="39" t="str">
        <f>HYPERLINK('citations-it2-studies'!$D33,'citations-it2-studies'!$B33)</f>
        <v>A Review on SECS/GEM: A Machine-to-Machine (M2M) Communication Protocol for Industry 4.0</v>
      </c>
      <c r="C29">
        <f>'citations-it2-studies'!$C33</f>
        <v>2021</v>
      </c>
      <c r="D29">
        <f>'citations-it2-studies'!$H33</f>
        <v>10</v>
      </c>
    </row>
    <row r="30" spans="1:4">
      <c r="A30" t="s">
        <v>4274</v>
      </c>
      <c r="B30" s="39" t="str">
        <f>HYPERLINK('citations-it2-studies'!$D35,'citations-it2-studies'!$B35)</f>
        <v>Fostering End-of-Life Utilization by Information-driven Robotic Disassembly</v>
      </c>
      <c r="C30">
        <f>'citations-it2-studies'!$C35</f>
        <v>2021</v>
      </c>
      <c r="D30">
        <f>'citations-it2-studies'!$H35</f>
        <v>6</v>
      </c>
    </row>
    <row r="31" spans="1:4">
      <c r="A31" t="s">
        <v>4274</v>
      </c>
      <c r="B31" s="39" t="str">
        <f>HYPERLINK('citations-it2-studies'!$D36,'citations-it2-studies'!$B36)</f>
        <v>ComBench: A Benchmarking Framework for Publish/Subscribe Communication Protocols Under Network Limitations</v>
      </c>
      <c r="C31">
        <f>'citations-it2-studies'!$C36</f>
        <v>2021</v>
      </c>
      <c r="D31">
        <f>'citations-it2-studies'!$H36</f>
        <v>21</v>
      </c>
    </row>
    <row r="32" spans="1:4">
      <c r="A32" t="s">
        <v>4274</v>
      </c>
      <c r="B32" s="39" t="str">
        <f>HYPERLINK('citations-it2-studies'!$D37,'citations-it2-studies'!$B37)</f>
        <v>Utilising unsupervised machine learning and IoT for cost-effective anomaly detection in multi-layer wire arc additive manufacturing</v>
      </c>
      <c r="C32">
        <f>'citations-it2-studies'!$C37</f>
        <v>2024</v>
      </c>
      <c r="D32">
        <f>'citations-it2-studies'!$H37</f>
        <v>18</v>
      </c>
    </row>
    <row r="33" spans="1:4">
      <c r="A33" t="s">
        <v>4274</v>
      </c>
      <c r="B33" s="39" t="str">
        <f>HYPERLINK('citations-it2-studies'!$D38,'citations-it2-studies'!$B38)</f>
        <v>ICPS - Evaluation and Extension of OPC UA Publish/Subscribe MQTT Binding</v>
      </c>
      <c r="C33">
        <f>'citations-it2-studies'!$C38</f>
        <v>2020</v>
      </c>
      <c r="D33">
        <f>'citations-it2-studies'!$H38</f>
        <v>6</v>
      </c>
    </row>
    <row r="34" spans="1:4">
      <c r="A34" t="s">
        <v>4274</v>
      </c>
      <c r="B34" s="39" t="str">
        <f>HYPERLINK('citations-it2-studies'!$D39,'citations-it2-studies'!$B39)</f>
        <v>Innovation Meets Accessibility in Melt Electrowriting 3D Printer Design: Continuous Process Monitoring and Automation via Modular Software and Hardware</v>
      </c>
      <c r="C34">
        <f>'citations-it2-studies'!$C39</f>
        <v>2026</v>
      </c>
      <c r="D34">
        <f>'citations-it2-studies'!$H39</f>
        <v>0</v>
      </c>
    </row>
    <row r="35" spans="1:4">
      <c r="A35" t="s">
        <v>4274</v>
      </c>
      <c r="B35" s="39" t="str">
        <f>HYPERLINK('citations-it2-studies'!$D40,'citations-it2-studies'!$B40)</f>
        <v>ANT/EDI40 - An Investigation on Database Connections in OPC UA Applications</v>
      </c>
      <c r="C35">
        <f>'citations-it2-studies'!$C40</f>
        <v>2020</v>
      </c>
      <c r="D35">
        <f>'citations-it2-studies'!$H40</f>
        <v>8</v>
      </c>
    </row>
    <row r="36" spans="1:4">
      <c r="A36" t="s">
        <v>4274</v>
      </c>
      <c r="B36" s="39" t="str">
        <f>HYPERLINK('citations-it2-studies'!$D41,'citations-it2-studies'!$B41)</f>
        <v>A Generic Plug &amp; Produce System Composed of Semantic OPC UA Skills</v>
      </c>
      <c r="C36">
        <f>'citations-it2-studies'!$C41</f>
        <v>2021</v>
      </c>
      <c r="D36">
        <f>'citations-it2-studies'!$H41</f>
        <v>14</v>
      </c>
    </row>
    <row r="37" spans="1:4">
      <c r="A37" t="s">
        <v>4274</v>
      </c>
      <c r="B37" s="39" t="str">
        <f>HYPERLINK('citations-it2-studies'!$D42,'citations-it2-studies'!$B42)</f>
        <v>CASE - A Novel Architecture for Cyber-Physical Production Systems in Industry 4.0</v>
      </c>
      <c r="C37">
        <f>'citations-it2-studies'!$C42</f>
        <v>2021</v>
      </c>
      <c r="D37">
        <f>'citations-it2-studies'!$H42</f>
        <v>6</v>
      </c>
    </row>
    <row r="38" spans="1:4">
      <c r="A38" t="s">
        <v>4274</v>
      </c>
      <c r="B38" s="39" t="str">
        <f>HYPERLINK('citations-it2-studies'!$D43,'citations-it2-studies'!$B43)</f>
        <v>A Service-Oriented Real-Time Communication Scheme for AUTOSAR Adaptive Using OPC UA and Time-Sensitive Networking.</v>
      </c>
      <c r="C38">
        <f>'citations-it2-studies'!$C43</f>
        <v>2021</v>
      </c>
      <c r="D38">
        <f>'citations-it2-studies'!$H43</f>
        <v>0</v>
      </c>
    </row>
    <row r="39" spans="1:4">
      <c r="A39" t="s">
        <v>4274</v>
      </c>
      <c r="B39" s="39" t="str">
        <f>HYPERLINK('citations-it2-studies'!$D45,'citations-it2-studies'!$B45)</f>
        <v>REAM: A Framework for Resource Efficient Adaptive Monitoring of Community Spaces</v>
      </c>
      <c r="C39">
        <f>'citations-it2-studies'!$C45</f>
        <v>2021</v>
      </c>
      <c r="D39">
        <f>'citations-it2-studies'!$H45</f>
        <v>0</v>
      </c>
    </row>
    <row r="40" spans="1:4">
      <c r="A40" t="s">
        <v>4274</v>
      </c>
      <c r="B40" s="39" t="str">
        <f>HYPERLINK('citations-it2-studies'!$D46,'citations-it2-studies'!$B46)</f>
        <v>ETFA - A generic Approach for the Industrial Application of Skill-based Engineering using OPC UA</v>
      </c>
      <c r="C40">
        <f>'citations-it2-studies'!$C46</f>
        <v>2020</v>
      </c>
      <c r="D40">
        <f>'citations-it2-studies'!$H46</f>
        <v>8</v>
      </c>
    </row>
    <row r="41" spans="1:4">
      <c r="A41" t="s">
        <v>4274</v>
      </c>
      <c r="B41" s="39" t="str">
        <f>HYPERLINK('citations-it2-studies'!$D47,'citations-it2-studies'!$B47)</f>
        <v>An OPC UA PubSub Implementation Approach for Memory-Constrained Sensor Devices</v>
      </c>
      <c r="C41">
        <f>'citations-it2-studies'!$C47</f>
        <v>2022</v>
      </c>
      <c r="D41">
        <f>'citations-it2-studies'!$H47</f>
        <v>7</v>
      </c>
    </row>
    <row r="42" spans="1:4">
      <c r="A42" t="s">
        <v>4274</v>
      </c>
      <c r="B42" s="39" t="str">
        <f>HYPERLINK('citations-it2-studies'!$D49,'citations-it2-studies'!$B49)</f>
        <v>Fiber-Optic Sensing Technologies for Underground Pipeline Monitoring</v>
      </c>
      <c r="C42">
        <f>'citations-it2-studies'!$C49</f>
        <v>2025</v>
      </c>
      <c r="D42">
        <f>'citations-it2-studies'!$H49</f>
        <v>17</v>
      </c>
    </row>
    <row r="43" spans="1:4">
      <c r="A43" t="s">
        <v>4274</v>
      </c>
      <c r="B43" s="39" t="str">
        <f>HYPERLINK('citations-it2-studies'!$D50,'citations-it2-studies'!$B50)</f>
        <v>ICSA - Towards Resilient IoT Messaging: An Experience Report Analyzing MQTT Brokers</v>
      </c>
      <c r="C43">
        <f>'citations-it2-studies'!$C50</f>
        <v>2021</v>
      </c>
      <c r="D43">
        <f>'citations-it2-studies'!$H50</f>
        <v>11</v>
      </c>
    </row>
    <row r="44" spans="1:4">
      <c r="A44" t="s">
        <v>4274</v>
      </c>
      <c r="B44" s="39" t="str">
        <f>HYPERLINK('citations-it2-studies'!$D51,'citations-it2-studies'!$B51)</f>
        <v>Plant-wide interoperability and decoupled, data-driven process control with message bus communication</v>
      </c>
      <c r="C44">
        <f>'citations-it2-studies'!$C51</f>
        <v>2022</v>
      </c>
      <c r="D44">
        <f>'citations-it2-studies'!$H51</f>
        <v>0</v>
      </c>
    </row>
    <row r="45" spans="1:4">
      <c r="A45" t="s">
        <v>4274</v>
      </c>
      <c r="B45" s="39" t="str">
        <f>HYPERLINK('citations-it2-studies'!$D52,'citations-it2-studies'!$B52)</f>
        <v>Hyperconnected Architecture for High Cognitive Production Plants</v>
      </c>
      <c r="C45">
        <f>'citations-it2-studies'!$C52</f>
        <v>2021</v>
      </c>
      <c r="D45">
        <f>'citations-it2-studies'!$H52</f>
        <v>6</v>
      </c>
    </row>
    <row r="46" spans="1:4">
      <c r="A46" t="s">
        <v>4274</v>
      </c>
      <c r="B46" s="39" t="str">
        <f>HYPERLINK('citations-it2-studies'!$D53,'citations-it2-studies'!$B53)</f>
        <v>Review Literature Performance: Quality of Service from Internet of Things for Transportation System</v>
      </c>
      <c r="C46">
        <f>'citations-it2-studies'!$C53</f>
        <v>2021</v>
      </c>
      <c r="D46">
        <f>'citations-it2-studies'!$H53</f>
        <v>7</v>
      </c>
    </row>
    <row r="47" spans="1:4">
      <c r="A47" t="s">
        <v>4274</v>
      </c>
      <c r="B47" s="39" t="str">
        <f>HYPERLINK('citations-it2-studies'!$D54,'citations-it2-studies'!$B54)</f>
        <v>ETFA - Assessing Long Distance Communication Alternatives for the Remote Control of AGVs</v>
      </c>
      <c r="C47">
        <f>'citations-it2-studies'!$C54</f>
        <v>2020</v>
      </c>
      <c r="D47">
        <f>'citations-it2-studies'!$H54</f>
        <v>8</v>
      </c>
    </row>
    <row r="48" spans="1:4">
      <c r="A48" t="s">
        <v>4274</v>
      </c>
      <c r="B48" s="39" t="str">
        <f>HYPERLINK('citations-it2-studies'!$D55,'citations-it2-studies'!$B55)</f>
        <v>AdaEdge: A Dynamic Compression Selection Framework for Resource Constrained Devices</v>
      </c>
      <c r="C48">
        <f>'citations-it2-studies'!$C55</f>
        <v>2024</v>
      </c>
      <c r="D48">
        <f>'citations-it2-studies'!$H55</f>
        <v>14</v>
      </c>
    </row>
    <row r="49" spans="1:4">
      <c r="A49" t="s">
        <v>4274</v>
      </c>
      <c r="B49" s="39" t="str">
        <f>HYPERLINK('citations-it2-studies'!$D56,'citations-it2-studies'!$B56)</f>
        <v>IOT Companion - AI Approaches to Optimize Human-Machine Collaboration in Manufacturing Facilities with IoT-Ready Machinery</v>
      </c>
      <c r="C49">
        <f>'citations-it2-studies'!$C56</f>
        <v>2020</v>
      </c>
      <c r="D49">
        <f>'citations-it2-studies'!$H56</f>
        <v>5</v>
      </c>
    </row>
    <row r="50" spans="1:4">
      <c r="A50" t="s">
        <v>4274</v>
      </c>
      <c r="B50" s="39" t="str">
        <f>HYPERLINK('citations-it2-studies'!$D57,'citations-it2-studies'!$B57)</f>
        <v>Recent Development Techniques on Digital Twins for Manufacturing: State of the Art</v>
      </c>
      <c r="C50">
        <f>'citations-it2-studies'!$C57</f>
        <v>2022</v>
      </c>
      <c r="D50">
        <f>'citations-it2-studies'!$H57</f>
        <v>6</v>
      </c>
    </row>
    <row r="51" spans="1:4">
      <c r="A51" t="s">
        <v>4274</v>
      </c>
      <c r="B51" s="39" t="str">
        <f>HYPERLINK('citations-it2-studies'!$D58,'citations-it2-studies'!$B58)</f>
        <v>Level of automation (LOA) in aerospace composite manufacturing: Present status and future directions towards industry 4.0</v>
      </c>
      <c r="C51">
        <f>'citations-it2-studies'!$C58</f>
        <v>2022</v>
      </c>
      <c r="D51">
        <f>'citations-it2-studies'!$H58</f>
        <v>18</v>
      </c>
    </row>
    <row r="52" spans="1:4">
      <c r="A52" t="s">
        <v>4274</v>
      </c>
      <c r="B52" s="39" t="str">
        <f>HYPERLINK('citations-it2-studies'!$D59,'citations-it2-studies'!$B59)</f>
        <v>Towards Wireless ADAS - Retrofitting IoT for Increased Safety</v>
      </c>
      <c r="C52">
        <f>'citations-it2-studies'!$C59</f>
        <v>2019</v>
      </c>
      <c r="D52">
        <f>'citations-it2-studies'!$H59</f>
        <v>0</v>
      </c>
    </row>
    <row r="53" spans="1:4">
      <c r="A53" t="s">
        <v>4274</v>
      </c>
      <c r="B53" s="39" t="str">
        <f>HYPERLINK('citations-it2-studies'!$D60,'citations-it2-studies'!$B60)</f>
        <v>ECSA - Dynamic Updates of Virtual PLCs Deployed as Kubernetes Microservices</v>
      </c>
      <c r="C53">
        <f>'citations-it2-studies'!$C60</f>
        <v>2021</v>
      </c>
      <c r="D53">
        <f>'citations-it2-studies'!$H60</f>
        <v>17</v>
      </c>
    </row>
    <row r="54" spans="1:4">
      <c r="A54" t="s">
        <v>4274</v>
      </c>
      <c r="B54" s="39" t="str">
        <f>HYPERLINK('citations-it2-studies'!$D61,'citations-it2-studies'!$B61)</f>
        <v>Industrial Messaging Middleware: Standards and Performance Evaluation</v>
      </c>
      <c r="C54">
        <f>'citations-it2-studies'!$C61</f>
        <v>2020</v>
      </c>
      <c r="D54">
        <f>'citations-it2-studies'!$H61</f>
        <v>6</v>
      </c>
    </row>
    <row r="55" spans="1:4">
      <c r="A55" t="s">
        <v>4274</v>
      </c>
      <c r="B55" s="39" t="str">
        <f>HYPERLINK('citations-it2-studies'!$D62,'citations-it2-studies'!$B62)</f>
        <v>Hardware Implementation of an OPC UA Server for Industrial Field Devices</v>
      </c>
      <c r="C55">
        <f>'citations-it2-studies'!$C62</f>
        <v>2021</v>
      </c>
      <c r="D55">
        <f>'citations-it2-studies'!$H62</f>
        <v>5</v>
      </c>
    </row>
    <row r="56" spans="1:4">
      <c r="A56" t="s">
        <v>4274</v>
      </c>
      <c r="B56" s="39" t="str">
        <f>HYPERLINK('citations-it2-studies'!$D64,'citations-it2-studies'!$B64)</f>
        <v>ECSA - A Comparison of MQTT Brokers for Distributed IoT Edge Computing</v>
      </c>
      <c r="C56">
        <f>'citations-it2-studies'!$C64</f>
        <v>2020</v>
      </c>
      <c r="D56">
        <f>'citations-it2-studies'!$H64</f>
        <v>17</v>
      </c>
    </row>
    <row r="57" spans="1:4">
      <c r="A57" t="s">
        <v>4274</v>
      </c>
      <c r="B57" s="39" t="str">
        <f>HYPERLINK('citations-it2-studies'!$D65,'citations-it2-studies'!$B65)</f>
        <v>Exoskeletons Towards Industrie 4.0: Benefits and Challenges of the IoT Communication Architecture</v>
      </c>
      <c r="C57">
        <f>'citations-it2-studies'!$C65</f>
        <v>2020</v>
      </c>
      <c r="D57">
        <f>'citations-it2-studies'!$H65</f>
        <v>8</v>
      </c>
    </row>
    <row r="58" spans="1:4">
      <c r="A58" t="s">
        <v>4274</v>
      </c>
      <c r="B58" s="39" t="str">
        <f>HYPERLINK('citations-it2-studies'!$D67,'citations-it2-studies'!$B67)</f>
        <v>ICCCI (2) - Some Solutions for Improving OPC UA Performance</v>
      </c>
      <c r="C58">
        <f>'citations-it2-studies'!$C67</f>
        <v>2019</v>
      </c>
      <c r="D58">
        <f>'citations-it2-studies'!$H67</f>
        <v>10</v>
      </c>
    </row>
    <row r="59" spans="1:4">
      <c r="A59" t="s">
        <v>4274</v>
      </c>
      <c r="B59" s="39" t="str">
        <f>HYPERLINK('citations-it2-studies'!$D68,'citations-it2-studies'!$B68)</f>
        <v>Challenges of modeling and analysis in cybermanufacturing: a review from a machine learning and computation perspective.</v>
      </c>
      <c r="C59">
        <f>'citations-it2-studies'!$C68</f>
        <v>2021</v>
      </c>
      <c r="D59">
        <f>'citations-it2-studies'!$H68</f>
        <v>14</v>
      </c>
    </row>
    <row r="60" spans="1:4">
      <c r="A60" t="s">
        <v>4274</v>
      </c>
      <c r="B60" s="39" t="str">
        <f>HYPERLINK('citations-it2-studies'!$D69,'citations-it2-studies'!$B69)</f>
        <v>»Relationships are Key« A Semantic Relationship Awareness Framework for Operational Technology Monitoring</v>
      </c>
      <c r="C60">
        <f>'citations-it2-studies'!$C69</f>
        <v>2024</v>
      </c>
      <c r="D60">
        <f>'citations-it2-studies'!$H69</f>
        <v>0</v>
      </c>
    </row>
    <row r="61" spans="1:4">
      <c r="A61" t="s">
        <v>4274</v>
      </c>
      <c r="B61" s="39" t="str">
        <f>HYPERLINK('citations-it2-studies'!$D71,'citations-it2-studies'!$B71)</f>
        <v>Towards a scalable implementation of digital twins - A generic method to acquire shopfloor data</v>
      </c>
      <c r="C61">
        <f>'citations-it2-studies'!$C71</f>
        <v>2021</v>
      </c>
      <c r="D61">
        <f>'citations-it2-studies'!$H71</f>
        <v>6</v>
      </c>
    </row>
    <row r="62" spans="1:4">
      <c r="A62" t="s">
        <v>4274</v>
      </c>
      <c r="B62" s="39" t="str">
        <f>HYPERLINK('citations-it2-studies'!$D72,'citations-it2-studies'!$B72)</f>
        <v>Automated industrial IoT‐device integration using the OpenPnP reference architecture</v>
      </c>
      <c r="C62">
        <f>'citations-it2-studies'!$C72</f>
        <v>2019</v>
      </c>
      <c r="D62">
        <f>'citations-it2-studies'!$H72</f>
        <v>29</v>
      </c>
    </row>
    <row r="63" spans="1:4">
      <c r="A63" t="s">
        <v>4274</v>
      </c>
      <c r="B63" s="39" t="str">
        <f>HYPERLINK('citations-it2-studies'!$D73,'citations-it2-studies'!$B73)</f>
        <v>Towards Automating Semantic Relationship Awareness in Operational Technology Monitoring</v>
      </c>
      <c r="C63">
        <f>'citations-it2-studies'!$C73</f>
        <v>2023</v>
      </c>
      <c r="D63">
        <f>'citations-it2-studies'!$H73</f>
        <v>11</v>
      </c>
    </row>
    <row r="64" spans="1:4">
      <c r="A64" t="s">
        <v>4274</v>
      </c>
      <c r="B64" s="39" t="str">
        <f>HYPERLINK('citations-it2-studies'!$D74,'citations-it2-studies'!$B74)</f>
        <v>Universal energy information model for industrial communication</v>
      </c>
      <c r="C64">
        <f>'citations-it2-studies'!$C74</f>
        <v>2022</v>
      </c>
      <c r="D64">
        <f>'citations-it2-studies'!$H74</f>
        <v>8</v>
      </c>
    </row>
    <row r="65" spans="1:4">
      <c r="A65" t="s">
        <v>4274</v>
      </c>
      <c r="B65" s="39" t="str">
        <f>HYPERLINK('citations-it2-studies'!$D75,'citations-it2-studies'!$B75)</f>
        <v>Novel Deep Packet Compression For Industrial Internet of Things</v>
      </c>
      <c r="C65">
        <f>'citations-it2-studies'!$C75</f>
        <v>2022</v>
      </c>
      <c r="D65">
        <f>'citations-it2-studies'!$H75</f>
        <v>6</v>
      </c>
    </row>
    <row r="66" spans="1:4">
      <c r="A66" t="s">
        <v>4274</v>
      </c>
      <c r="B66" s="39" t="str">
        <f>HYPERLINK('citations-it2-studies'!$D76,'citations-it2-studies'!$B76)</f>
        <v>Machine OEE Monitoring and Analysis for a Complex Manufacturing Environment</v>
      </c>
      <c r="C66">
        <f>'citations-it2-studies'!$C76</f>
        <v>2020</v>
      </c>
      <c r="D66">
        <f>'citations-it2-studies'!$H76</f>
        <v>6</v>
      </c>
    </row>
    <row r="67" spans="1:4">
      <c r="A67" t="s">
        <v>4274</v>
      </c>
      <c r="B67" s="39" t="str">
        <f>HYPERLINK('citations-it2-studies'!$D77,'citations-it2-studies'!$B77)</f>
        <v>Research the Traffic Characteristics of MQTT and DDS Protocols in Low-bandwidth Radio Networks</v>
      </c>
      <c r="C67">
        <f>'citations-it2-studies'!$C77</f>
        <v>2021</v>
      </c>
      <c r="D67">
        <f>'citations-it2-studies'!$H77</f>
        <v>5</v>
      </c>
    </row>
    <row r="68" spans="1:4">
      <c r="A68" t="s">
        <v>4274</v>
      </c>
      <c r="B68" s="39" t="str">
        <f>HYPERLINK('citations-it2-studies'!$D78,'citations-it2-studies'!$B78)</f>
        <v>Andon System using Industrial IoT for Controlled Production Line by conventional PLC</v>
      </c>
      <c r="C68">
        <f>'citations-it2-studies'!$C78</f>
        <v>2020</v>
      </c>
      <c r="D68">
        <f>'citations-it2-studies'!$H78</f>
        <v>0</v>
      </c>
    </row>
    <row r="69" spans="1:4">
      <c r="A69" t="s">
        <v>4274</v>
      </c>
      <c r="B69" s="39" t="str">
        <f>HYPERLINK('citations-it2-studies'!$D79,'citations-it2-studies'!$B79)</f>
        <v>Cloud Continuum Digital Twins: Architectures of Solution, Open Technical Challenges, and Lessons Learned</v>
      </c>
      <c r="C69">
        <f>'citations-it2-studies'!$C79</f>
        <v>2024</v>
      </c>
      <c r="D69">
        <f>'citations-it2-studies'!$H79</f>
        <v>16</v>
      </c>
    </row>
    <row r="70" spans="1:4">
      <c r="A70" t="s">
        <v>4274</v>
      </c>
      <c r="B70" s="39" t="str">
        <f>HYPERLINK('citations-it2-studies'!$D81,'citations-it2-studies'!$B81)</f>
        <v>Industry 4.0: examples of the use of the robotic arm for digital manufacturing processes</v>
      </c>
      <c r="C70">
        <f>'citations-it2-studies'!$C81</f>
        <v>2020</v>
      </c>
      <c r="D70">
        <f>'citations-it2-studies'!$H81</f>
        <v>7</v>
      </c>
    </row>
    <row r="71" spans="1:4">
      <c r="A71" t="s">
        <v>4274</v>
      </c>
      <c r="B71" s="39" t="str">
        <f>HYPERLINK('citations-it2-studies'!$D82,'citations-it2-studies'!$B82)</f>
        <v>ICSTCC - Rule-based extension through IoT for a robotized application</v>
      </c>
      <c r="C71">
        <f>'citations-it2-studies'!$C82</f>
        <v>2020</v>
      </c>
      <c r="D71">
        <f>'citations-it2-studies'!$H82</f>
        <v>5</v>
      </c>
    </row>
    <row r="72" spans="1:4">
      <c r="A72" t="s">
        <v>4274</v>
      </c>
      <c r="B72" s="39" t="str">
        <f>HYPERLINK('citations-it2-studies'!$D83,'citations-it2-studies'!$B83)</f>
        <v>Research of Automated Control Systems Development Based on "Publish-Subscribe" Technology Over Low-Bandwidth Radio Networks</v>
      </c>
      <c r="C72">
        <f>'citations-it2-studies'!$C83</f>
        <v>2022</v>
      </c>
      <c r="D72">
        <f>'citations-it2-studies'!$H83</f>
        <v>19</v>
      </c>
    </row>
    <row r="73" spans="1:4">
      <c r="A73" t="s">
        <v>4274</v>
      </c>
      <c r="B73" s="39" t="str">
        <f>HYPERLINK('citations-it2-studies'!$D86,'citations-it2-studies'!$B86)</f>
        <v>Supporting the Requirements-Based Selection of Suitable Communication Protocols in Smart Grids</v>
      </c>
      <c r="C73">
        <f>'citations-it2-studies'!$C86</f>
        <v>2022</v>
      </c>
      <c r="D73">
        <f>'citations-it2-studies'!$H86</f>
        <v>5</v>
      </c>
    </row>
    <row r="74" spans="1:4">
      <c r="A74" t="s">
        <v>4274</v>
      </c>
      <c r="B74" s="39" t="str">
        <f>HYPERLINK('citations-it2-studies'!$D88,'citations-it2-studies'!$B88)</f>
        <v>Ontology-Based Service Composition for Interoperable and Modular Medical Devices</v>
      </c>
      <c r="C74">
        <f>'citations-it2-studies'!$C88</f>
        <v>2023</v>
      </c>
      <c r="D74">
        <f>'citations-it2-studies'!$H88</f>
        <v>7</v>
      </c>
    </row>
    <row r="75" spans="1:4">
      <c r="A75" t="s">
        <v>4274</v>
      </c>
      <c r="B75" s="39" t="str">
        <f>HYPERLINK('citations-it2-studies'!$D89,'citations-it2-studies'!$B89)</f>
        <v>Broker-Less OPC UA PubSub Communication Model Performance Analysis</v>
      </c>
      <c r="C75">
        <f>'citations-it2-studies'!$C89</f>
        <v>2024</v>
      </c>
      <c r="D75">
        <f>'citations-it2-studies'!$H89</f>
        <v>5</v>
      </c>
    </row>
    <row r="76" spans="1:4">
      <c r="A76" t="s">
        <v>4274</v>
      </c>
      <c r="B76" s="39" t="str">
        <f>HYPERLINK('citations-it2-studies'!$D90,'citations-it2-studies'!$B90)</f>
        <v>Hardware Acceleration of Data Distribution Service (DDS) for Automotive Communication and Computing</v>
      </c>
      <c r="C76">
        <f>'citations-it2-studies'!$C90</f>
        <v>2022</v>
      </c>
      <c r="D76">
        <f>'citations-it2-studies'!$H90</f>
        <v>26</v>
      </c>
    </row>
    <row r="77" spans="1:4">
      <c r="A77" t="s">
        <v>4274</v>
      </c>
      <c r="B77" s="39" t="str">
        <f>HYPERLINK('citations-it2-studies'!$D91,'citations-it2-studies'!$B91)</f>
        <v>Sustainable Utilization of Industrial Robotic Systems by Facilitating Programming Through a Human and Process Centred Declarative Approach</v>
      </c>
      <c r="C77">
        <f>'citations-it2-studies'!$C91</f>
        <v>2023</v>
      </c>
      <c r="D77">
        <f>'citations-it2-studies'!$H91</f>
        <v>12</v>
      </c>
    </row>
    <row r="78" spans="1:4">
      <c r="A78" t="s">
        <v>4274</v>
      </c>
      <c r="B78" s="39" t="str">
        <f>HYPERLINK('citations-it2-studies'!$D92,'citations-it2-studies'!$B92)</f>
        <v>SECS/GEMsec: A Mechanism for Detection and Prevention of Cyber-Attacks on SECS/GEM Communications in Industry 4.0 Landscape</v>
      </c>
      <c r="C78">
        <f>'citations-it2-studies'!$C92</f>
        <v>2021</v>
      </c>
      <c r="D78">
        <f>'citations-it2-studies'!$H92</f>
        <v>15</v>
      </c>
    </row>
    <row r="79" spans="1:4">
      <c r="A79" t="s">
        <v>4274</v>
      </c>
      <c r="B79" s="39" t="str">
        <f>HYPERLINK('citations-it2-studies'!$D93,'citations-it2-studies'!$B93)</f>
        <v>IoT Architecture for Interoperability and Monitoring of Industrial Nodes</v>
      </c>
      <c r="C79">
        <f>'citations-it2-studies'!$C93</f>
        <v>2020</v>
      </c>
      <c r="D79">
        <f>'citations-it2-studies'!$H93</f>
        <v>6</v>
      </c>
    </row>
    <row r="80" spans="1:4">
      <c r="A80" t="s">
        <v>4274</v>
      </c>
      <c r="B80" s="39" t="str">
        <f>HYPERLINK('citations-it2-studies'!$D94,'citations-it2-studies'!$B94)</f>
        <v>Konfigurierbare Arbeitsräume und Robotik als Basis der Automatisierung in der Vorfertigung des Bauwesens</v>
      </c>
      <c r="C80">
        <f>'citations-it2-studies'!$C94</f>
        <v>2024</v>
      </c>
      <c r="D80">
        <f>'citations-it2-studies'!$H94</f>
        <v>32</v>
      </c>
    </row>
    <row r="81" spans="1:4">
      <c r="A81" t="s">
        <v>4274</v>
      </c>
      <c r="B81" s="39" t="str">
        <f>HYPERLINK('citations-it2-studies'!$D95,'citations-it2-studies'!$B95)</f>
        <v>Development of Industry 4.0 predictive maintenance architecture for broadcasting chain</v>
      </c>
      <c r="C81">
        <f>'citations-it2-studies'!$C95</f>
        <v>2021</v>
      </c>
      <c r="D81">
        <f>'citations-it2-studies'!$H95</f>
        <v>0</v>
      </c>
    </row>
    <row r="82" spans="1:4">
      <c r="A82" t="s">
        <v>4274</v>
      </c>
      <c r="B82" s="39" t="str">
        <f>HYPERLINK('citations-it2-studies'!$D96,'citations-it2-studies'!$B96)</f>
        <v>Manufacturing big data ecosystem: A systematic literature review</v>
      </c>
      <c r="C82">
        <f>'citations-it2-studies'!$C96</f>
        <v>2020</v>
      </c>
      <c r="D82">
        <f>'citations-it2-studies'!$H96</f>
        <v>0</v>
      </c>
    </row>
    <row r="83" spans="1:4">
      <c r="A83" t="s">
        <v>4274</v>
      </c>
      <c r="B83" s="39" t="str">
        <f>HYPERLINK('citations-it2-studies'!$D97,'citations-it2-studies'!$B97)</f>
        <v>A Comprehensive Review on IoT Protocols’ Features in Smart Grid Communication</v>
      </c>
      <c r="C83">
        <f>'citations-it2-studies'!$C97</f>
        <v>2020</v>
      </c>
      <c r="D83">
        <f>'citations-it2-studies'!$H97</f>
        <v>0</v>
      </c>
    </row>
    <row r="84" spans="1:4">
      <c r="A84" t="s">
        <v>4274</v>
      </c>
      <c r="B84" s="39" t="str">
        <f>HYPERLINK('citations-it2-studies'!$D98,'citations-it2-studies'!$B98)</f>
        <v>VAIDS: A Hybrid Deep Learning Model to Detect Intrusions in MQTT Protocol Enabled Networks</v>
      </c>
      <c r="C84">
        <f>'citations-it2-studies'!$C98</f>
        <v>2024</v>
      </c>
      <c r="D84">
        <f>'citations-it2-studies'!$H98</f>
        <v>14</v>
      </c>
    </row>
    <row r="85" spans="1:4">
      <c r="A85" t="s">
        <v>4274</v>
      </c>
      <c r="B85" s="39" t="str">
        <f>HYPERLINK('citations-it2-studies'!$D99,'citations-it2-studies'!$B99)</f>
        <v>ETFA - Hybrid OPC UA: Enabling Post-Quantum Security for the Industrial Internet of Things</v>
      </c>
      <c r="C85">
        <f>'citations-it2-studies'!$C99</f>
        <v>2020</v>
      </c>
      <c r="D85">
        <f>'citations-it2-studies'!$H99</f>
        <v>8</v>
      </c>
    </row>
    <row r="86" spans="1:4">
      <c r="A86" t="s">
        <v>4274</v>
      </c>
      <c r="B86" s="39" t="str">
        <f>HYPERLINK('citations-it2-studies'!$D100,'citations-it2-studies'!$B100)</f>
        <v>Voraussagende Instandhaltung an einer Kaltumformpresse auf Basis eines nachgerüsteten Zustandsüberwachungskonzepts</v>
      </c>
      <c r="C86">
        <f>'citations-it2-studies'!$C100</f>
        <v>2025</v>
      </c>
      <c r="D86">
        <f>'citations-it2-studies'!$H100</f>
        <v>18</v>
      </c>
    </row>
    <row r="87" spans="1:4">
      <c r="A87" t="s">
        <v>4274</v>
      </c>
      <c r="B87" s="39" t="str">
        <f>HYPERLINK('citations-it2-studies'!$D101,'citations-it2-studies'!$B101)</f>
        <v>SOLA: A Decentralized Communication Middleware Developed with ns-3</v>
      </c>
      <c r="C87">
        <f>'citations-it2-studies'!$C101</f>
        <v>2023</v>
      </c>
      <c r="D87">
        <f>'citations-it2-studies'!$H101</f>
        <v>8</v>
      </c>
    </row>
    <row r="88" spans="1:4">
      <c r="A88" t="s">
        <v>4274</v>
      </c>
      <c r="B88" s="39" t="str">
        <f>HYPERLINK('citations-it2-studies'!$D102,'citations-it2-studies'!$B102)</f>
        <v>Real-Time Performance Evaluation of Containerized Virtual PLCs: A Comparative Study of Docker and Podman for Industrial Automation</v>
      </c>
      <c r="C88">
        <f>'citations-it2-studies'!$C102</f>
        <v>2025</v>
      </c>
      <c r="D88">
        <f>'citations-it2-studies'!$H102</f>
        <v>6</v>
      </c>
    </row>
    <row r="89" spans="1:4">
      <c r="A89" t="s">
        <v>4274</v>
      </c>
      <c r="B89" s="39" t="str">
        <f>HYPERLINK('citations-it2-studies'!$D104,'citations-it2-studies'!$B104)</f>
        <v>Predictive Maintenance Model for IIoT-Based Manufacturing: A Transferable Deep Reinforcement Learning Approach</v>
      </c>
      <c r="C89">
        <f>'citations-it2-studies'!$C104</f>
        <v>2022</v>
      </c>
      <c r="D89">
        <f>'citations-it2-studies'!$H104</f>
        <v>17</v>
      </c>
    </row>
    <row r="90" spans="1:4">
      <c r="A90" t="s">
        <v>4274</v>
      </c>
      <c r="B90" s="39" t="str">
        <f>HYPERLINK('citations-it2-studies'!$D107,'citations-it2-studies'!$B107)</f>
        <v>Cyber-physical twins - definition, conception and benefit</v>
      </c>
      <c r="C90">
        <f>'citations-it2-studies'!$C107</f>
        <v>2020</v>
      </c>
      <c r="D90">
        <f>'citations-it2-studies'!$H107</f>
        <v>5</v>
      </c>
    </row>
    <row r="91" spans="1:4">
      <c r="A91" t="s">
        <v>4274</v>
      </c>
      <c r="B91" s="39" t="str">
        <f>HYPERLINK('citations-it2-studies'!$D108,'citations-it2-studies'!$B108)</f>
        <v>ETFA - A Hardware-Agnostic OPC UA Skill Model for Robot Manipulators and Tools</v>
      </c>
      <c r="C91">
        <f>'citations-it2-studies'!$C108</f>
        <v>2019</v>
      </c>
      <c r="D91">
        <f>'citations-it2-studies'!$H108</f>
        <v>8</v>
      </c>
    </row>
    <row r="92" spans="1:4">
      <c r="A92" t="s">
        <v>4274</v>
      </c>
      <c r="B92" s="39" t="str">
        <f>HYPERLINK('citations-it2-studies'!$D109,'citations-it2-studies'!$B109)</f>
        <v>End-to-End Encryption for Securing Communications in Industry 4.0</v>
      </c>
      <c r="C92">
        <f>'citations-it2-studies'!$C109</f>
        <v>2022</v>
      </c>
      <c r="D92">
        <f>'citations-it2-studies'!$H109</f>
        <v>6</v>
      </c>
    </row>
    <row r="93" spans="1:4">
      <c r="A93" t="s">
        <v>4274</v>
      </c>
      <c r="B93" s="39" t="str">
        <f>HYPERLINK('citations-it2-studies'!$D110,'citations-it2-studies'!$B110)</f>
        <v>ICCCI (2) - Quality of Service in Real-Time OPC UA Applications</v>
      </c>
      <c r="C93">
        <f>'citations-it2-studies'!$C110</f>
        <v>2019</v>
      </c>
      <c r="D93">
        <f>'citations-it2-studies'!$H110</f>
        <v>10</v>
      </c>
    </row>
    <row r="94" spans="1:4">
      <c r="A94" t="s">
        <v>4274</v>
      </c>
      <c r="B94" s="39" t="str">
        <f>HYPERLINK('citations-it2-studies'!$D111,'citations-it2-studies'!$B111)</f>
        <v>Performance Evaluation of OPC UA and MQTT for ETAT Smart Lab (ESL)</v>
      </c>
      <c r="C94">
        <f>'citations-it2-studies'!$C111</f>
        <v>2023</v>
      </c>
      <c r="D94">
        <f>'citations-it2-studies'!$H111</f>
        <v>5</v>
      </c>
    </row>
    <row r="95" spans="1:4">
      <c r="A95" t="s">
        <v>4274</v>
      </c>
      <c r="B95" s="39" t="str">
        <f>HYPERLINK('citations-it2-studies'!$D112,'citations-it2-studies'!$B112)</f>
        <v>A Human-Centered Assembly Workplace For Industry: Challenges and Lessons Learned</v>
      </c>
      <c r="C95">
        <f>'citations-it2-studies'!$C112</f>
        <v>2021</v>
      </c>
      <c r="D95">
        <f>'citations-it2-studies'!$H112</f>
        <v>11</v>
      </c>
    </row>
    <row r="96" spans="1:4">
      <c r="A96" t="s">
        <v>4274</v>
      </c>
      <c r="B96" s="39" t="str">
        <f>HYPERLINK('citations-it2-studies'!$D113,'citations-it2-studies'!$B113)</f>
        <v>ETFA - Control components for Collaborative and Intelligent Automation Systems</v>
      </c>
      <c r="C96">
        <f>'citations-it2-studies'!$C113</f>
        <v>2019</v>
      </c>
      <c r="D96">
        <f>'citations-it2-studies'!$H113</f>
        <v>7</v>
      </c>
    </row>
    <row r="97" spans="1:4">
      <c r="A97" t="s">
        <v>4274</v>
      </c>
      <c r="B97" s="39" t="str">
        <f>HYPERLINK('citations-it2-studies'!$D115,'citations-it2-studies'!$B115)</f>
        <v>Frame analysis based real time related indicators measurement of industrial ethernet Powerlink</v>
      </c>
      <c r="C97">
        <f>'citations-it2-studies'!$C115</f>
        <v>2022</v>
      </c>
      <c r="D97">
        <f>'citations-it2-studies'!$H115</f>
        <v>5</v>
      </c>
    </row>
    <row r="98" spans="1:4">
      <c r="A98" t="s">
        <v>4274</v>
      </c>
      <c r="B98" s="39" t="str">
        <f>HYPERLINK('citations-it2-studies'!$D116,'citations-it2-studies'!$B116)</f>
        <v>OPC-UA in Digital Twins—A Performance Comparative Analysis</v>
      </c>
      <c r="C98">
        <f>'citations-it2-studies'!$C116</f>
        <v>2024</v>
      </c>
      <c r="D98">
        <f>'citations-it2-studies'!$H116</f>
        <v>11</v>
      </c>
    </row>
    <row r="99" spans="1:4">
      <c r="A99" t="s">
        <v>4274</v>
      </c>
      <c r="B99" s="39" t="str">
        <f>HYPERLINK('citations-it2-studies'!$D117,'citations-it2-studies'!$B117)</f>
        <v>Systems of Digital Twins and Physical Systems: Interoperability, Decentralization, and Mobility in Robotic Applications</v>
      </c>
      <c r="C99">
        <f>'citations-it2-studies'!$C117</f>
        <v>2024</v>
      </c>
      <c r="D99">
        <f>'citations-it2-studies'!$H117</f>
        <v>6</v>
      </c>
    </row>
    <row r="100" spans="1:4">
      <c r="A100" t="s">
        <v>4274</v>
      </c>
      <c r="B100" s="39" t="str">
        <f>HYPERLINK('citations-it2-studies'!$D118,'citations-it2-studies'!$B118)</f>
        <v>Image and Command Transmission Over the 5G Network for Teleoperation of Mobile Robots</v>
      </c>
      <c r="C100">
        <f>'citations-it2-studies'!$C118</f>
        <v>2024</v>
      </c>
      <c r="D100">
        <f>'citations-it2-studies'!$H118</f>
        <v>8</v>
      </c>
    </row>
    <row r="101" spans="1:4">
      <c r="A101" t="s">
        <v>4274</v>
      </c>
      <c r="B101" s="39" t="str">
        <f>HYPERLINK('citations-it2-studies'!$D119,'citations-it2-studies'!$B119)</f>
        <v>A Study of Java Microbenchmark Tail Latencies</v>
      </c>
      <c r="C101">
        <f>'citations-it2-studies'!$C119</f>
        <v>2023</v>
      </c>
      <c r="D101">
        <f>'citations-it2-studies'!$H119</f>
        <v>5</v>
      </c>
    </row>
    <row r="102" spans="1:4">
      <c r="A102" t="s">
        <v>4274</v>
      </c>
      <c r="B102" s="39" t="str">
        <f>HYPERLINK('citations-it2-studies'!$D120,'citations-it2-studies'!$B120)</f>
        <v>Adopting User-Space Networking for DDS Message-Oriented Middleware</v>
      </c>
      <c r="C102">
        <f>'citations-it2-studies'!$C120</f>
        <v>2024</v>
      </c>
      <c r="D102">
        <f>'citations-it2-studies'!$H120</f>
        <v>11</v>
      </c>
    </row>
    <row r="103" spans="1:4">
      <c r="A103" t="s">
        <v>4274</v>
      </c>
      <c r="B103" s="39" t="str">
        <f>HYPERLINK('citations-it2-studies'!$D121,'citations-it2-studies'!$B121)</f>
        <v>WEA - Maintenance Management of an Additive Manufacturing System Based on the I4.0 Model.</v>
      </c>
      <c r="C103">
        <f>'citations-it2-studies'!$C121</f>
        <v>2021</v>
      </c>
      <c r="D103">
        <f>'citations-it2-studies'!$H121</f>
        <v>13</v>
      </c>
    </row>
    <row r="104" spans="1:4">
      <c r="A104" t="s">
        <v>4274</v>
      </c>
      <c r="B104" s="39" t="str">
        <f>HYPERLINK('citations-it2-studies'!$D122,'citations-it2-studies'!$B122)</f>
        <v>Evaluation of an OPC UA-Based Access Control Enforcement Architecture</v>
      </c>
      <c r="C104">
        <f>'citations-it2-studies'!$C122</f>
        <v>2024</v>
      </c>
      <c r="D104">
        <f>'citations-it2-studies'!$H122</f>
        <v>21</v>
      </c>
    </row>
    <row r="105" spans="1:4">
      <c r="A105" t="s">
        <v>4274</v>
      </c>
      <c r="B105" s="39" t="str">
        <f>HYPERLINK('citations-it2-studies'!$D123,'citations-it2-studies'!$B123)</f>
        <v>A novel testbed for evaluating ROS 2 robot swarm wireless communications</v>
      </c>
      <c r="C105">
        <f>'citations-it2-studies'!$C123</f>
        <v>2024</v>
      </c>
      <c r="D105">
        <f>'citations-it2-studies'!$H123</f>
        <v>6</v>
      </c>
    </row>
    <row r="106" spans="1:4">
      <c r="A106" t="s">
        <v>4274</v>
      </c>
      <c r="B106" s="39" t="str">
        <f>HYPERLINK('citations-it2-studies'!$D124,'citations-it2-studies'!$B124)</f>
        <v>Generation of Critical Information and Sharing Mechanism for Multi-Robot Mission Success</v>
      </c>
      <c r="C106">
        <f>'citations-it2-studies'!$C124</f>
        <v>2025</v>
      </c>
      <c r="D106">
        <f>'citations-it2-studies'!$H124</f>
        <v>19</v>
      </c>
    </row>
    <row r="107" spans="1:4">
      <c r="A107" t="s">
        <v>4274</v>
      </c>
      <c r="B107" s="39" t="str">
        <f>HYPERLINK('citations-it2-studies'!$D125,'citations-it2-studies'!$B125)</f>
        <v>Performance Testing for Cloud Computing with Dependent Data Bootstrapping</v>
      </c>
      <c r="C107">
        <f>'citations-it2-studies'!$C125</f>
        <v>2021</v>
      </c>
      <c r="D107">
        <f>'citations-it2-studies'!$H125</f>
        <v>13</v>
      </c>
    </row>
    <row r="108" spans="1:4">
      <c r="A108" t="s">
        <v>4274</v>
      </c>
      <c r="B108" s="39" t="str">
        <f>HYPERLINK('citations-it2-studies'!$D126,'citations-it2-studies'!$B126)</f>
        <v>HPCA - Eudoxus: Characterizing and Accelerating Localization in Autonomous Machines Industry Track Paper</v>
      </c>
      <c r="C108">
        <f>'citations-it2-studies'!$C126</f>
        <v>2021</v>
      </c>
      <c r="D108">
        <f>'citations-it2-studies'!$H126</f>
        <v>14</v>
      </c>
    </row>
    <row r="109" spans="1:4">
      <c r="A109" t="s">
        <v>4274</v>
      </c>
      <c r="B109" s="39" t="str">
        <f>HYPERLINK('citations-it2-studies'!$D127,'citations-it2-studies'!$B127)</f>
        <v>Industrial Communication Based on MQTT and Modbus Communication Applied in a Meteorological Network</v>
      </c>
      <c r="C109">
        <f>'citations-it2-studies'!$C127</f>
        <v>2020</v>
      </c>
      <c r="D109">
        <f>'citations-it2-studies'!$H127</f>
        <v>13</v>
      </c>
    </row>
    <row r="110" spans="1:4">
      <c r="A110" t="s">
        <v>4274</v>
      </c>
      <c r="B110" s="39" t="str">
        <f>HYPERLINK('citations-it2-studies'!$D128,'citations-it2-studies'!$B128)</f>
        <v>A Reliability Assessment of an Industrial Communication Protocol on a Windows OS Embedded PC for an Oil Rig Control Application</v>
      </c>
      <c r="C110">
        <f>'citations-it2-studies'!$C128</f>
        <v>2021</v>
      </c>
      <c r="D110">
        <f>'citations-it2-studies'!$H128</f>
        <v>0</v>
      </c>
    </row>
    <row r="111" spans="1:4">
      <c r="A111" t="s">
        <v>4274</v>
      </c>
      <c r="B111" s="39" t="str">
        <f>HYPERLINK('citations-it2-studies'!$D129,'citations-it2-studies'!$B129)</f>
        <v>ROS2-based Small-Scale Development Platform for CCAM Research Demonstrators</v>
      </c>
      <c r="C111">
        <f>'citations-it2-studies'!$C129</f>
        <v>2022</v>
      </c>
      <c r="D111">
        <f>'citations-it2-studies'!$H129</f>
        <v>6</v>
      </c>
    </row>
    <row r="112" spans="1:4">
      <c r="A112" t="s">
        <v>4274</v>
      </c>
      <c r="B112" s="39" t="str">
        <f>HYPERLINK('citations-it2-studies'!$D130,'citations-it2-studies'!$B130)</f>
        <v>Advanced Analytics as a Service in Smart Factories</v>
      </c>
      <c r="C112">
        <f>'citations-it2-studies'!$C130</f>
        <v>2022</v>
      </c>
      <c r="D112">
        <f>'citations-it2-studies'!$H130</f>
        <v>6</v>
      </c>
    </row>
    <row r="113" spans="1:4">
      <c r="A113" t="s">
        <v>4274</v>
      </c>
      <c r="B113" s="39" t="str">
        <f>HYPERLINK('citations-it2-studies'!$D132,'citations-it2-studies'!$B132)</f>
        <v>Towards post-quantum security for cyber-physical systems: Integrating PQC into industrial M2M communication1</v>
      </c>
      <c r="C113">
        <f>'citations-it2-studies'!$C132</f>
        <v>2021</v>
      </c>
      <c r="D113">
        <f>'citations-it2-studies'!$H132</f>
        <v>31</v>
      </c>
    </row>
    <row r="114" spans="1:4">
      <c r="A114" t="s">
        <v>4274</v>
      </c>
      <c r="B114" s="39" t="str">
        <f>HYPERLINK('citations-it2-studies'!$D133,'citations-it2-studies'!$B133)</f>
        <v>A Study of Publish/Subscribe Middleware Under Different IoT Traffic Conditions</v>
      </c>
      <c r="C114">
        <f>'citations-it2-studies'!$C133</f>
        <v>2020</v>
      </c>
      <c r="D114">
        <f>'citations-it2-studies'!$H133</f>
        <v>6</v>
      </c>
    </row>
    <row r="115" spans="1:4">
      <c r="A115" t="s">
        <v>4274</v>
      </c>
      <c r="B115" s="39" t="str">
        <f>HYPERLINK('citations-it2-studies'!$D135,'citations-it2-studies'!$B135)</f>
        <v>An Operational 5G Edge Cloud-Controlled Robotic Cell Environment Based on MQTT and OPC UA</v>
      </c>
      <c r="C115">
        <f>'citations-it2-studies'!$C135</f>
        <v>2023</v>
      </c>
      <c r="D115">
        <f>'citations-it2-studies'!$H135</f>
        <v>8</v>
      </c>
    </row>
    <row r="116" spans="1:4">
      <c r="A116" t="s">
        <v>4274</v>
      </c>
      <c r="B116" s="39" t="str">
        <f>HYPERLINK('citations-it2-studies'!$D136,'citations-it2-studies'!$B136)</f>
        <v>Unified Namespace and Asset Administration Shell: A Winning Combination for Digital Production</v>
      </c>
      <c r="C116">
        <f>'citations-it2-studies'!$C136</f>
        <v>2024</v>
      </c>
      <c r="D116">
        <f>'citations-it2-studies'!$H136</f>
        <v>7</v>
      </c>
    </row>
    <row r="117" spans="1:4">
      <c r="A117" t="s">
        <v>4274</v>
      </c>
      <c r="B117" s="39" t="str">
        <f>HYPERLINK('citations-it2-studies'!$D137,'citations-it2-studies'!$B137)</f>
        <v>Computation offloading for ground robotic systems communicating over WiFi – an empirical exploration on performance and energy trade-offs</v>
      </c>
      <c r="C117">
        <f>'citations-it2-studies'!$C137</f>
        <v>2023</v>
      </c>
      <c r="D117">
        <f>'citations-it2-studies'!$H137</f>
        <v>0</v>
      </c>
    </row>
    <row r="118" spans="1:4">
      <c r="A118" t="s">
        <v>4274</v>
      </c>
      <c r="B118" s="39" t="str">
        <f>HYPERLINK('citations-it2-studies'!$D138,'citations-it2-studies'!$B138)</f>
        <v>A Grassroots Network and Community Roadmap for Interconnected Autonomous Science Laboratories for Accelerated Discovery</v>
      </c>
      <c r="C118">
        <f>'citations-it2-studies'!$C138</f>
        <v>2025</v>
      </c>
      <c r="D118">
        <f>'citations-it2-studies'!$H138</f>
        <v>9</v>
      </c>
    </row>
    <row r="119" spans="1:4">
      <c r="A119" t="s">
        <v>4274</v>
      </c>
      <c r="B119" s="39" t="str">
        <f>HYPERLINK('citations-it2-studies'!$D139,'citations-it2-studies'!$B139)</f>
        <v>Guidelines to develop demonstration models on industry 4.0 for engineering training</v>
      </c>
      <c r="C119">
        <f>'citations-it2-studies'!$C139</f>
        <v>2023</v>
      </c>
      <c r="D119">
        <f>'citations-it2-studies'!$H139</f>
        <v>17</v>
      </c>
    </row>
    <row r="120" spans="1:4">
      <c r="A120" t="s">
        <v>4274</v>
      </c>
      <c r="B120" s="39" t="str">
        <f>HYPERLINK('citations-it2-studies'!$D140,'citations-it2-studies'!$B140)</f>
        <v>A next generation upgraded observing platform for the automated Birmingham Solar Oscillations Network (BiSON)</v>
      </c>
      <c r="C120">
        <f>'citations-it2-studies'!$C140</f>
        <v>2020</v>
      </c>
      <c r="D120">
        <f>'citations-it2-studies'!$H140</f>
        <v>0</v>
      </c>
    </row>
    <row r="121" spans="1:4">
      <c r="A121" t="s">
        <v>4274</v>
      </c>
      <c r="B121" s="39" t="str">
        <f>HYPERLINK('citations-it2-studies'!$D141,'citations-it2-studies'!$B141)</f>
        <v>MQTT-I: Achieving End-to-End Data Flow Integrity in MQTT</v>
      </c>
      <c r="C121">
        <f>'citations-it2-studies'!$C141</f>
        <v>2024</v>
      </c>
      <c r="D121">
        <f>'citations-it2-studies'!$H141</f>
        <v>18</v>
      </c>
    </row>
    <row r="122" spans="1:4">
      <c r="A122" t="s">
        <v>4274</v>
      </c>
      <c r="B122" s="39" t="str">
        <f>HYPERLINK('citations-it2-studies'!$D143,'citations-it2-studies'!$B143)</f>
        <v>Introduction to Sustainable Enterprise Resource Planning (S-ERP) in Industry 4.0</v>
      </c>
      <c r="C122">
        <f>'citations-it2-studies'!$C143</f>
        <v>2025</v>
      </c>
      <c r="D122">
        <f>'citations-it2-studies'!$H143</f>
        <v>27</v>
      </c>
    </row>
    <row r="123" spans="1:4">
      <c r="A123" t="s">
        <v>4274</v>
      </c>
      <c r="B123" s="39" t="str">
        <f>HYPERLINK('citations-it2-studies'!$D144,'citations-it2-studies'!$B144)</f>
        <v>ICPS - An OPC UA-based Crane Model Using Time-Sensitive Networking Technology</v>
      </c>
      <c r="C123">
        <f>'citations-it2-studies'!$C144</f>
        <v>2020</v>
      </c>
      <c r="D123">
        <f>'citations-it2-studies'!$H144</f>
        <v>6</v>
      </c>
    </row>
    <row r="124" spans="1:4">
      <c r="A124" t="s">
        <v>4274</v>
      </c>
      <c r="B124" s="39" t="str">
        <f>HYPERLINK('citations-it2-studies'!$D145,'citations-it2-studies'!$B145)</f>
        <v>MQTT-A: A Broker-Bridging P2P Architecture to Achieve Anonymity in MQTT</v>
      </c>
      <c r="C124">
        <f>'citations-it2-studies'!$C145</f>
        <v>2023</v>
      </c>
      <c r="D124">
        <f>'citations-it2-studies'!$H145</f>
        <v>21</v>
      </c>
    </row>
    <row r="125" spans="1:4">
      <c r="A125" t="s">
        <v>4274</v>
      </c>
      <c r="B125" s="39" t="str">
        <f>HYPERLINK('citations-it2-studies'!$D146,'citations-it2-studies'!$B146)</f>
        <v>Digital Twin: A Comprehensive Survey of Security Threats</v>
      </c>
      <c r="C125">
        <f>'citations-it2-studies'!$C146</f>
        <v>2022</v>
      </c>
      <c r="D125">
        <f>'citations-it2-studies'!$H146</f>
        <v>29</v>
      </c>
    </row>
    <row r="126" spans="1:4">
      <c r="A126" t="s">
        <v>4274</v>
      </c>
      <c r="B126" s="39" t="str">
        <f>HYPERLINK('citations-it2-studies'!$D147,'citations-it2-studies'!$B147)</f>
        <v>MQTT Implementations, Open Issues, and Challenges: A Detailed Comparison and Survey</v>
      </c>
      <c r="C126">
        <f>'citations-it2-studies'!$C147</f>
        <v>2022</v>
      </c>
      <c r="D126">
        <f>'citations-it2-studies'!$H147</f>
        <v>24</v>
      </c>
    </row>
    <row r="127" spans="1:4">
      <c r="A127" t="s">
        <v>4274</v>
      </c>
      <c r="B127" s="39" t="str">
        <f>HYPERLINK('citations-it2-studies'!$D148,'citations-it2-studies'!$B148)</f>
        <v>Distributed Approach for Integration in Industrial Systems</v>
      </c>
      <c r="C127">
        <f>'citations-it2-studies'!$C148</f>
        <v>2023</v>
      </c>
      <c r="D127">
        <f>'citations-it2-studies'!$H148</f>
        <v>10</v>
      </c>
    </row>
    <row r="128" spans="1:4">
      <c r="A128" t="s">
        <v>4274</v>
      </c>
      <c r="B128" s="39" t="str">
        <f>HYPERLINK('citations-it2-studies'!$D149,'citations-it2-studies'!$B149)</f>
        <v>DDS Implementations as Real-Time Middleware – A Systematic Evaluation</v>
      </c>
      <c r="C128">
        <f>'citations-it2-studies'!$C149</f>
        <v>2023</v>
      </c>
      <c r="D128">
        <f>'citations-it2-studies'!$H149</f>
        <v>10</v>
      </c>
    </row>
    <row r="129" spans="1:4">
      <c r="A129" t="s">
        <v>4274</v>
      </c>
      <c r="B129" s="39" t="str">
        <f>HYPERLINK('citations-it2-studies'!$D151,'citations-it2-studies'!$B151)</f>
        <v>An adaptive human sensor framework for human–robot collaboration</v>
      </c>
      <c r="C129">
        <f>'citations-it2-studies'!$C151</f>
        <v>2021</v>
      </c>
      <c r="D129">
        <f>'citations-it2-studies'!$H151</f>
        <v>16</v>
      </c>
    </row>
    <row r="130" spans="1:4">
      <c r="A130" t="s">
        <v>4274</v>
      </c>
      <c r="B130" s="39" t="str">
        <f>HYPERLINK('citations-it2-studies'!$D152,'citations-it2-studies'!$B152)</f>
        <v>Artificial Intelligence on the Shop Floor: A Comprehensive Review of Literature</v>
      </c>
      <c r="C130">
        <f>'citations-it2-studies'!$C152</f>
        <v>2026</v>
      </c>
      <c r="D130">
        <f>'citations-it2-studies'!$H152</f>
        <v>0</v>
      </c>
    </row>
    <row r="131" spans="1:4">
      <c r="A131" t="s">
        <v>4274</v>
      </c>
      <c r="B131" s="39" t="str">
        <f>HYPERLINK('citations-it2-studies'!$D155,'citations-it2-studies'!$B155)</f>
        <v>Toward Industrial IoT: Integrated Architecture of an OPC UA Synergy Platform</v>
      </c>
      <c r="C131">
        <f>'citations-it2-studies'!$C155</f>
        <v>2021</v>
      </c>
      <c r="D131">
        <f>'citations-it2-studies'!$H155</f>
        <v>12</v>
      </c>
    </row>
    <row r="132" spans="1:4">
      <c r="A132" t="s">
        <v>4274</v>
      </c>
      <c r="B132" s="39" t="str">
        <f>HYPERLINK('citations-it2-studies'!$D157,'citations-it2-studies'!$B157)</f>
        <v>Eudoxus: Characterizing and Accelerating Localization in Autonomous Machines.</v>
      </c>
      <c r="C132">
        <f>'citations-it2-studies'!$C157</f>
        <v>2020</v>
      </c>
      <c r="D132">
        <f>'citations-it2-studies'!$H157</f>
        <v>0</v>
      </c>
    </row>
    <row r="133" spans="1:4">
      <c r="A133" t="s">
        <v>4274</v>
      </c>
      <c r="B133" s="39" t="str">
        <f>HYPERLINK('citations-it2-studies'!$D158,'citations-it2-studies'!$B158)</f>
        <v>Quantifying DDS-cerberus network control overhead</v>
      </c>
      <c r="C133">
        <f>'citations-it2-studies'!$C158</f>
        <v>2022</v>
      </c>
      <c r="D133">
        <f>'citations-it2-studies'!$H158</f>
        <v>27</v>
      </c>
    </row>
    <row r="134" spans="1:4">
      <c r="A134" t="s">
        <v>4274</v>
      </c>
      <c r="B134" s="39" t="str">
        <f>HYPERLINK('citations-it2-studies'!$D159,'citations-it2-studies'!$B159)</f>
        <v>Bare-Metal vs. Hypervisors and Containers: Performance Evaluation of Virtualization Technologies for Software-Defined Vehicles</v>
      </c>
      <c r="C134">
        <f>'citations-it2-studies'!$C159</f>
        <v>2023</v>
      </c>
      <c r="D134">
        <f>'citations-it2-studies'!$H159</f>
        <v>8</v>
      </c>
    </row>
    <row r="135" spans="1:4">
      <c r="A135" t="s">
        <v>4274</v>
      </c>
      <c r="B135" s="39" t="str">
        <f>HYPERLINK('citations-it2-studies'!$D160,'citations-it2-studies'!$B160)</f>
        <v>Evaluating robot operating system's capabilities across distributed containerized systems</v>
      </c>
      <c r="C135">
        <f>'citations-it2-studies'!$C160</f>
        <v>2024</v>
      </c>
      <c r="D135">
        <f>'citations-it2-studies'!$H160</f>
        <v>0</v>
      </c>
    </row>
    <row r="136" spans="1:4">
      <c r="A136" t="s">
        <v>4274</v>
      </c>
      <c r="B136" s="39" t="str">
        <f>HYPERLINK('citations-it2-studies'!$D161,'citations-it2-studies'!$B161)</f>
        <v>Applicability of OPC UA and REST in Edge Computing</v>
      </c>
      <c r="C136">
        <f>'citations-it2-studies'!$C161</f>
        <v>2022</v>
      </c>
      <c r="D136">
        <f>'citations-it2-studies'!$H161</f>
        <v>6</v>
      </c>
    </row>
    <row r="137" spans="1:4">
      <c r="A137" t="s">
        <v>4274</v>
      </c>
      <c r="B137" s="39" t="str">
        <f>HYPERLINK('citations-it2-studies'!$D163,'citations-it2-studies'!$B163)</f>
        <v>Digital Twin for Monitoring an Industrial Process Using Augmented Reality</v>
      </c>
      <c r="C137">
        <f>'citations-it2-studies'!$C163</f>
        <v>2022</v>
      </c>
      <c r="D137">
        <f>'citations-it2-studies'!$H163</f>
        <v>5</v>
      </c>
    </row>
    <row r="138" spans="1:4">
      <c r="A138" t="s">
        <v>4274</v>
      </c>
      <c r="B138" s="39" t="str">
        <f>HYPERLINK('citations-it2-studies'!$D164,'citations-it2-studies'!$B164)</f>
        <v>Distributed Robotic Systems in the Edge-Cloud Continuum with ROS 2: a Review on Novel Architectures and Technology Readiness</v>
      </c>
      <c r="C138">
        <f>'citations-it2-studies'!$C164</f>
        <v>2022</v>
      </c>
      <c r="D138">
        <f>'citations-it2-studies'!$H164</f>
        <v>8</v>
      </c>
    </row>
    <row r="139" spans="1:4">
      <c r="A139" t="s">
        <v>4274</v>
      </c>
      <c r="B139" s="39" t="str">
        <f>HYPERLINK('citations-it2-studies'!$D165,'citations-it2-studies'!$B165)</f>
        <v>Cloud-Native Fog Robotics: Model-Based Deployment and Evaluation of Real-Time Applications</v>
      </c>
      <c r="C139">
        <f>'citations-it2-studies'!$C165</f>
        <v>2025</v>
      </c>
      <c r="D139">
        <f>'citations-it2-studies'!$H165</f>
        <v>8</v>
      </c>
    </row>
    <row r="140" spans="1:4">
      <c r="A140" t="s">
        <v>4274</v>
      </c>
      <c r="B140" s="39" t="str">
        <f>HYPERLINK('citations-it2-studies'!$D167,'citations-it2-studies'!$B167)</f>
        <v>A Survey and Comparison of Publish/Subscribe Protocols for the Industrial Internet of Things (IIoT)</v>
      </c>
      <c r="C140">
        <f>'citations-it2-studies'!$C167</f>
        <v>2022</v>
      </c>
      <c r="D140">
        <f>'citations-it2-studies'!$H167</f>
        <v>8</v>
      </c>
    </row>
    <row r="141" spans="1:4">
      <c r="A141" t="s">
        <v>4274</v>
      </c>
      <c r="B141" s="39" t="str">
        <f>HYPERLINK('citations-it2-studies'!$D168,'citations-it2-studies'!$B168)</f>
        <v>Approaching Interoperability and Data-Related Processing Issues in a Human-Centric Industrial Scenario</v>
      </c>
      <c r="C141">
        <f>'citations-it2-studies'!$C168</f>
        <v>2025</v>
      </c>
      <c r="D141">
        <f>'citations-it2-studies'!$H168</f>
        <v>14</v>
      </c>
    </row>
    <row r="142" spans="1:4">
      <c r="A142" t="s">
        <v>4274</v>
      </c>
      <c r="B142" s="39" t="str">
        <f>HYPERLINK('citations-it2-studies'!$D170,'citations-it2-studies'!$B170)</f>
        <v>New Can Bus Communication Modules for Digitizing Forest Machines Functionalities in the Context of Forestry 4.0</v>
      </c>
      <c r="C142">
        <f>'citations-it2-studies'!$C170</f>
        <v>2023</v>
      </c>
      <c r="D142">
        <f>'citations-it2-studies'!$H170</f>
        <v>9</v>
      </c>
    </row>
    <row r="143" spans="1:4">
      <c r="A143" t="s">
        <v>4274</v>
      </c>
      <c r="B143" s="39" t="str">
        <f>HYPERLINK('citations-it2-studies'!$D171,'citations-it2-studies'!$B171)</f>
        <v>Design of an Operator Interface for Controlling the Installation of Ion-Plasma Deposition</v>
      </c>
      <c r="C143">
        <f>'citations-it2-studies'!$C171</f>
        <v>2023</v>
      </c>
      <c r="D143">
        <f>'citations-it2-studies'!$H171</f>
        <v>10</v>
      </c>
    </row>
    <row r="144" spans="1:4">
      <c r="A144" t="s">
        <v>4274</v>
      </c>
      <c r="B144" s="39" t="str">
        <f>HYPERLINK('citations-it2-studies'!$D172,'citations-it2-studies'!$B172)</f>
        <v>Displaying Dispatching Systems on Android Devices with Assessment of Data Transfer Protocols</v>
      </c>
      <c r="C144">
        <f>'citations-it2-studies'!$C172</f>
        <v>2025</v>
      </c>
      <c r="D144">
        <f>'citations-it2-studies'!$H172</f>
        <v>5</v>
      </c>
    </row>
    <row r="145" spans="1:4">
      <c r="A145" t="s">
        <v>4274</v>
      </c>
      <c r="B145" s="39" t="str">
        <f>HYPERLINK('citations-it2-studies'!$D173,'citations-it2-studies'!$B173)</f>
        <v>Event-based Framework for Digitalization of Value Stream Mapping</v>
      </c>
      <c r="C145">
        <f>'citations-it2-studies'!$C173</f>
        <v>2022</v>
      </c>
      <c r="D145">
        <f>'citations-it2-studies'!$H173</f>
        <v>6</v>
      </c>
    </row>
    <row r="146" spans="1:4">
      <c r="A146" t="s">
        <v>4274</v>
      </c>
      <c r="B146" s="39" t="str">
        <f>HYPERLINK('citations-it2-studies'!$D174,'citations-it2-studies'!$B174)</f>
        <v>Open source container orchestration for Industry 4.0 – requirements and systematic feature analysis</v>
      </c>
      <c r="C146">
        <f>'citations-it2-studies'!$C174</f>
        <v>2024</v>
      </c>
      <c r="D146">
        <f>'citations-it2-studies'!$H174</f>
        <v>24</v>
      </c>
    </row>
    <row r="147" spans="1:4">
      <c r="A147" t="s">
        <v>4274</v>
      </c>
      <c r="B147" s="39" t="str">
        <f>HYPERLINK('citations-it2-studies'!$D175,'citations-it2-studies'!$B175)</f>
        <v>Optimizing Renewable Energy Using Scalable Solutions: IoT Integration in Renewable Energy Laboratories</v>
      </c>
      <c r="C147">
        <f>'citations-it2-studies'!$C175</f>
        <v>2024</v>
      </c>
      <c r="D147">
        <f>'citations-it2-studies'!$H175</f>
        <v>6</v>
      </c>
    </row>
    <row r="148" spans="1:4">
      <c r="A148" t="s">
        <v>4274</v>
      </c>
      <c r="B148" s="39" t="str">
        <f>HYPERLINK('citations-it2-studies'!$D176,'citations-it2-studies'!$B176)</f>
        <v>A new era for digital twins: progress and industry adoption</v>
      </c>
      <c r="C148">
        <f>'citations-it2-studies'!$C176</f>
        <v>2025</v>
      </c>
      <c r="D148">
        <f>'citations-it2-studies'!$H176</f>
        <v>0</v>
      </c>
    </row>
    <row r="149" spans="1:4">
      <c r="A149" t="s">
        <v>4275</v>
      </c>
      <c r="B149" s="39" t="str">
        <f>HYPERLINK('references-it2-studies'!$D2,'references-it2-studies'!$B2)</f>
        <v>URAI - On the in-controller performance of an open source EtherCAT master using open platforms</v>
      </c>
      <c r="C149">
        <f>'references-it2-studies'!$C2</f>
        <v>2017</v>
      </c>
      <c r="D149">
        <f>'references-it2-studies'!$H2</f>
        <v>5</v>
      </c>
    </row>
    <row r="150" spans="1:4">
      <c r="A150" t="s">
        <v>4275</v>
      </c>
      <c r="B150" s="39" t="str">
        <f>HYPERLINK('references-it2-studies'!$D3,'references-it2-studies'!$B3)</f>
        <v>ICSA - Self-Commissioning Industrial IoT-Systems in Process Automation: A Reference Architecture</v>
      </c>
      <c r="C150">
        <f>'references-it2-studies'!$C3</f>
        <v>2018</v>
      </c>
      <c r="D150">
        <f>'references-it2-studies'!$H3</f>
        <v>19414</v>
      </c>
    </row>
    <row r="151" spans="1:4">
      <c r="A151" t="s">
        <v>4275</v>
      </c>
      <c r="B151" s="39" t="str">
        <f>HYPERLINK('references-it2-studies'!$D4,'references-it2-studies'!$B4)</f>
        <v>Case of study of a Profinet network using ring topology</v>
      </c>
      <c r="C151">
        <f>'references-it2-studies'!$C4</f>
        <v>2016</v>
      </c>
      <c r="D151">
        <f>'references-it2-studies'!$H4</f>
        <v>6</v>
      </c>
    </row>
    <row r="152" spans="1:4">
      <c r="A152" t="s">
        <v>4275</v>
      </c>
      <c r="B152" s="39" t="str">
        <f>HYPERLINK('references-it2-studies'!$D7,'references-it2-studies'!$B7)</f>
        <v>Performance Evaluation of QoS metrics in Software Defined Networking using Ryu Controller</v>
      </c>
      <c r="C152">
        <f>'references-it2-studies'!$C7</f>
        <v>2021</v>
      </c>
      <c r="D152">
        <f>'references-it2-studies'!$H7</f>
        <v>0</v>
      </c>
    </row>
    <row r="153" spans="1:4">
      <c r="A153" t="s">
        <v>4275</v>
      </c>
      <c r="B153" s="39" t="str">
        <f>HYPERLINK('references-it2-studies'!$D8,'references-it2-studies'!$B8)</f>
        <v>EMSOFT - Exploring the performance of ROS2</v>
      </c>
      <c r="C153">
        <f>'references-it2-studies'!$C8</f>
        <v>2016</v>
      </c>
      <c r="D153">
        <f>'references-it2-studies'!$H8</f>
        <v>6</v>
      </c>
    </row>
    <row r="154" spans="1:4">
      <c r="A154" t="s">
        <v>4275</v>
      </c>
      <c r="B154" s="39" t="str">
        <f>HYPERLINK('references-it2-studies'!$D9,'references-it2-studies'!$B9)</f>
        <v>A Middleware Based Architecture for the Industrial Internet of Things</v>
      </c>
      <c r="C154">
        <f>'references-it2-studies'!$C9</f>
        <v>2016</v>
      </c>
      <c r="D154">
        <f>'references-it2-studies'!$H9</f>
        <v>18</v>
      </c>
    </row>
    <row r="155" spans="1:4">
      <c r="A155" t="s">
        <v>4275</v>
      </c>
      <c r="B155" s="39" t="str">
        <f>HYPERLINK('references-it2-studies'!$D10,'references-it2-studies'!$B10)</f>
        <v>Edge Computing in Industrial Internet of Things: Architecture, Advances and Challenges</v>
      </c>
      <c r="C155">
        <f>'references-it2-studies'!$C10</f>
        <v>2020</v>
      </c>
      <c r="D155">
        <f>'references-it2-studies'!$H10</f>
        <v>27</v>
      </c>
    </row>
    <row r="156" spans="1:4">
      <c r="A156" t="s">
        <v>4275</v>
      </c>
      <c r="B156" s="39" t="str">
        <f>HYPERLINK('references-it2-studies'!$D11,'references-it2-studies'!$B11)</f>
        <v>Message Encryption in Robot Operating System: Collateral Effects of Hardening Mobile Robots</v>
      </c>
      <c r="C156">
        <f>'references-it2-studies'!$C11</f>
        <v>2018</v>
      </c>
      <c r="D156">
        <f>'references-it2-studies'!$H11</f>
        <v>0</v>
      </c>
    </row>
    <row r="157" spans="1:4">
      <c r="A157" t="s">
        <v>4275</v>
      </c>
      <c r="B157" s="39" t="str">
        <f>HYPERLINK('references-it2-studies'!$D12,'references-it2-studies'!$B12)</f>
        <v>ICSE (SEIP) - OpenPnP: a plug-and-produce architecture for the industrial internet of things</v>
      </c>
      <c r="C157">
        <f>'references-it2-studies'!$C12</f>
        <v>2019</v>
      </c>
      <c r="D157">
        <f>'references-it2-studies'!$H12</f>
        <v>10</v>
      </c>
    </row>
    <row r="158" spans="1:4">
      <c r="A158" t="s">
        <v>4275</v>
      </c>
      <c r="B158" s="39" t="str">
        <f>HYPERLINK('references-it2-studies'!$D13,'references-it2-studies'!$B13)</f>
        <v>Network Intrusion Detection using Machine Learning Techniques</v>
      </c>
      <c r="C158">
        <f>'references-it2-studies'!$C13</f>
        <v>2020</v>
      </c>
      <c r="D158">
        <f>'references-it2-studies'!$H13</f>
        <v>7</v>
      </c>
    </row>
    <row r="159" spans="1:4">
      <c r="A159" t="s">
        <v>4275</v>
      </c>
      <c r="B159" s="39" t="str">
        <f>HYPERLINK('references-it2-studies'!$D16,'references-it2-studies'!$B16)</f>
        <v>Performance Analysis of Profibus DP and Profinet in a Motion Control Application</v>
      </c>
      <c r="C159">
        <f>'references-it2-studies'!$C16</f>
        <v>2016</v>
      </c>
      <c r="D159">
        <f>'references-it2-studies'!$H16</f>
        <v>8</v>
      </c>
    </row>
    <row r="160" spans="1:4">
      <c r="A160" t="s">
        <v>4275</v>
      </c>
      <c r="B160" s="39" t="str">
        <f>HYPERLINK('references-it2-studies'!$D20,'references-it2-studies'!$B20)</f>
        <v>Industrial Communication Systems</v>
      </c>
      <c r="C160">
        <f>'references-it2-studies'!$C20</f>
        <v>2018</v>
      </c>
      <c r="D160">
        <f>'references-it2-studies'!$H20</f>
        <v>0</v>
      </c>
    </row>
    <row r="161" spans="1:4">
      <c r="A161" t="s">
        <v>4275</v>
      </c>
      <c r="B161" s="39" t="str">
        <f>HYPERLINK('references-it2-studies'!$D21,'references-it2-studies'!$B21)</f>
        <v>Factory Communications at the Dawn of the Fourth Industrial Revolution</v>
      </c>
      <c r="C161">
        <f>'references-it2-studies'!$C21</f>
        <v>2020</v>
      </c>
      <c r="D161">
        <f>'references-it2-studies'!$H21</f>
        <v>0</v>
      </c>
    </row>
    <row r="162" spans="1:4">
      <c r="A162" t="s">
        <v>4275</v>
      </c>
      <c r="B162" s="39" t="str">
        <f>HYPERLINK('references-it2-studies'!$D22,'references-it2-studies'!$B22)</f>
        <v>IEEE 1588 for Clock Synchronization in Industrial IoT and Related Applications: A Review on Contributing Technologies, Protocols and Enhancement Methodologies</v>
      </c>
      <c r="C162">
        <f>'references-it2-studies'!$C22</f>
        <v>2020</v>
      </c>
      <c r="D162">
        <f>'references-it2-studies'!$H22</f>
        <v>19</v>
      </c>
    </row>
    <row r="163" spans="1:4">
      <c r="A163" t="s">
        <v>4275</v>
      </c>
      <c r="B163" s="39" t="str">
        <f>HYPERLINK('references-it2-studies'!$D26,'references-it2-studies'!$B26)</f>
        <v>MetroInd4.0&amp;amp;IoT - Introducing a cloud based architecture for the distributed analysis of Real-Time Ethernet traffic</v>
      </c>
      <c r="C163">
        <f>'references-it2-studies'!$C26</f>
        <v>2020</v>
      </c>
      <c r="D163">
        <f>'references-it2-studies'!$H26</f>
        <v>6</v>
      </c>
    </row>
    <row r="164" spans="1:4">
      <c r="A164" t="s">
        <v>4275</v>
      </c>
      <c r="B164" s="39" t="str">
        <f>HYPERLINK('references-it2-studies'!$D28,'references-it2-studies'!$B28)</f>
        <v>Siemens and EdgeX IIoT Platforms: A Functional and Performance Evaluation</v>
      </c>
      <c r="C164">
        <f>'references-it2-studies'!$C28</f>
        <v>2023</v>
      </c>
      <c r="D164">
        <f>'references-it2-studies'!$H28</f>
        <v>6</v>
      </c>
    </row>
    <row r="165" spans="1:4">
      <c r="A165" t="s">
        <v>4275</v>
      </c>
      <c r="B165" s="39" t="str">
        <f>HYPERLINK('references-it2-studies'!$D30,'references-it2-studies'!$B30)</f>
        <v>COMPSAC - An Assessment of Internet of Things Protocols for Resource-Constrained Applications</v>
      </c>
      <c r="C165">
        <f>'references-it2-studies'!$C30</f>
        <v>2016</v>
      </c>
      <c r="D165">
        <f>'references-it2-studies'!$H30</f>
        <v>6</v>
      </c>
    </row>
    <row r="166" spans="1:4">
      <c r="A166" t="s">
        <v>4275</v>
      </c>
      <c r="B166" s="39" t="str">
        <f>HYPERLINK('references-it2-studies'!$D32,'references-it2-studies'!$B32)</f>
        <v>Formal and simulation-based timing analysis of Industrial-Ethernet sercos III over TSN</v>
      </c>
      <c r="C166">
        <f>'references-it2-studies'!$C32</f>
        <v>2017</v>
      </c>
      <c r="D166">
        <f>'references-it2-studies'!$H32</f>
        <v>0</v>
      </c>
    </row>
    <row r="167" spans="1:4">
      <c r="A167" t="s">
        <v>4275</v>
      </c>
      <c r="B167" s="39" t="str">
        <f>HYPERLINK('references-it2-studies'!$D34,'references-it2-studies'!$B34)</f>
        <v>POWERLINK and Ethernet/IP Comparison as Robust Industrial Ethernet Protocols</v>
      </c>
      <c r="C167">
        <f>'references-it2-studies'!$C34</f>
        <v>2017</v>
      </c>
      <c r="D167">
        <f>'references-it2-studies'!$H34</f>
        <v>6</v>
      </c>
    </row>
    <row r="168" spans="1:4">
      <c r="A168" t="s">
        <v>4275</v>
      </c>
      <c r="B168" s="39" t="str">
        <f>HYPERLINK('references-it2-studies'!$D37,'references-it2-studies'!$B37)</f>
        <v>MoWNet - Performance evaluation of IoT protocols under a constrained wireless access network</v>
      </c>
      <c r="C168">
        <f>'references-it2-studies'!$C37</f>
        <v>2016</v>
      </c>
      <c r="D168">
        <f>'references-it2-studies'!$H37</f>
        <v>7</v>
      </c>
    </row>
    <row r="169" spans="1:4">
      <c r="A169" t="s">
        <v>4275</v>
      </c>
      <c r="B169" s="39" t="str">
        <f>HYPERLINK('references-it2-studies'!$D39,'references-it2-studies'!$B39)</f>
        <v>WFCS - Hybrid OPC UA and DDS: Combining architectural styles for the industrial internet</v>
      </c>
      <c r="C169">
        <f>'references-it2-studies'!$C39</f>
        <v>2016</v>
      </c>
      <c r="D169">
        <f>'references-it2-studies'!$H39</f>
        <v>7</v>
      </c>
    </row>
    <row r="170" spans="1:4">
      <c r="A170" t="s">
        <v>4275</v>
      </c>
      <c r="B170" s="39" t="str">
        <f>HYPERLINK('references-it2-studies'!$D41,'references-it2-studies'!$B41)</f>
        <v>DS-RT - Formal and simulation-based timing analysis of industrial-ethernet sercos III over TSN</v>
      </c>
      <c r="C170">
        <f>'references-it2-studies'!$C41</f>
        <v>2017</v>
      </c>
      <c r="D170">
        <f>'references-it2-studies'!$H41</f>
        <v>8</v>
      </c>
    </row>
  </sheetData>
  <conditionalFormatting sqref="B1:B1048576">
    <cfRule type="duplicateValues" dxfId="52"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C2E4D-DFCD-488F-A897-00AAD6A53A02}">
  <dimension ref="A1:AE183"/>
  <sheetViews>
    <sheetView topLeftCell="C1" workbookViewId="0">
      <pane ySplit="1" topLeftCell="A2" activePane="bottomLeft" state="frozen"/>
      <selection pane="bottomLeft" activeCell="H22" sqref="H22"/>
    </sheetView>
  </sheetViews>
  <sheetFormatPr defaultRowHeight="12.75"/>
  <cols>
    <col min="2" max="2" width="81.7109375" customWidth="1"/>
  </cols>
  <sheetData>
    <row r="1" spans="1:31">
      <c r="A1" t="s">
        <v>47</v>
      </c>
      <c r="B1" t="s">
        <v>2</v>
      </c>
      <c r="C1" t="s">
        <v>32</v>
      </c>
      <c r="D1" t="s">
        <v>327</v>
      </c>
      <c r="E1" s="2" t="s">
        <v>1399</v>
      </c>
      <c r="F1" s="2" t="s">
        <v>3</v>
      </c>
      <c r="G1" s="2" t="s">
        <v>4</v>
      </c>
      <c r="H1" s="2" t="s">
        <v>328</v>
      </c>
      <c r="I1" s="2" t="s">
        <v>329</v>
      </c>
      <c r="J1" s="2" t="s">
        <v>330</v>
      </c>
      <c r="K1" s="2" t="s">
        <v>331</v>
      </c>
      <c r="L1" s="2" t="s">
        <v>332</v>
      </c>
      <c r="M1" s="2" t="s">
        <v>1432</v>
      </c>
      <c r="N1" s="2" t="s">
        <v>325</v>
      </c>
      <c r="O1" s="2" t="s">
        <v>6</v>
      </c>
    </row>
    <row r="2" spans="1:31">
      <c r="A2" t="s">
        <v>4274</v>
      </c>
      <c r="B2" s="39" t="str">
        <f>HYPERLINK('citations-it2-studies'!$D2,'citations-it2-studies'!$B2)</f>
        <v>Programming of Skill-Based Robots</v>
      </c>
      <c r="C2">
        <f>'citations-it2-studies'!$C2</f>
        <v>2024</v>
      </c>
      <c r="D2">
        <f>'citations-it2-studies'!$H2</f>
        <v>7</v>
      </c>
      <c r="E2" t="s">
        <v>1398</v>
      </c>
      <c r="F2" s="10" t="s">
        <v>51</v>
      </c>
      <c r="G2" s="10" t="s">
        <v>51</v>
      </c>
      <c r="H2" s="10" t="s">
        <v>51</v>
      </c>
      <c r="I2" s="10" t="s">
        <v>51</v>
      </c>
      <c r="J2" s="10" t="s">
        <v>51</v>
      </c>
      <c r="K2" s="10" t="s">
        <v>51</v>
      </c>
      <c r="L2" s="10" t="s">
        <v>1397</v>
      </c>
      <c r="M2" s="10" t="s">
        <v>1397</v>
      </c>
      <c r="N2" t="str">
        <f t="shared" ref="N2:N3" si="0">IF(COUNTIF(F2:M2,"X")&gt;0,"Exclude",IF(UPPER(TRIM(E2))="O","Include",""))</f>
        <v>Exclude</v>
      </c>
      <c r="O2" t="s">
        <v>5378</v>
      </c>
    </row>
    <row r="3" spans="1:31">
      <c r="A3" t="s">
        <v>4274</v>
      </c>
      <c r="B3" s="39" t="str">
        <f>HYPERLINK('citations-it2-studies'!$D3,'citations-it2-studies'!$B3)</f>
        <v>A CAD feature-based manufacturing approach with OPC UA skills</v>
      </c>
      <c r="C3">
        <f>'citations-it2-studies'!$C3</f>
        <v>2020</v>
      </c>
      <c r="D3">
        <f>'citations-it2-studies'!$H3</f>
        <v>8</v>
      </c>
      <c r="E3" t="s">
        <v>1398</v>
      </c>
      <c r="H3" t="s">
        <v>1397</v>
      </c>
      <c r="L3" t="s">
        <v>1397</v>
      </c>
      <c r="M3" t="s">
        <v>1397</v>
      </c>
      <c r="N3" t="str">
        <f t="shared" si="0"/>
        <v>Exclude</v>
      </c>
      <c r="O3" t="s">
        <v>5625</v>
      </c>
    </row>
    <row r="4" spans="1:31">
      <c r="A4" t="s">
        <v>4274</v>
      </c>
      <c r="B4" s="39" t="str">
        <f>HYPERLINK('citations-it2-studies'!$D4,'citations-it2-studies'!$B4)</f>
        <v>Optimising data visualisation in the process control and IIoT environments</v>
      </c>
      <c r="C4">
        <f>'citations-it2-studies'!$C4</f>
        <v>2022</v>
      </c>
      <c r="D4">
        <f>'citations-it2-studies'!$H4</f>
        <v>14</v>
      </c>
      <c r="E4" t="s">
        <v>1398</v>
      </c>
      <c r="F4" s="9" t="s">
        <v>51</v>
      </c>
      <c r="G4" s="9" t="s">
        <v>51</v>
      </c>
      <c r="H4" s="9" t="s">
        <v>51</v>
      </c>
      <c r="I4" s="9" t="s">
        <v>51</v>
      </c>
      <c r="J4" s="9" t="s">
        <v>51</v>
      </c>
      <c r="K4" s="9" t="s">
        <v>51</v>
      </c>
      <c r="L4" s="9" t="s">
        <v>1397</v>
      </c>
      <c r="M4" s="9" t="s">
        <v>1397</v>
      </c>
      <c r="N4" t="str">
        <f t="shared" ref="N4:N18" si="1">IF(COUNTIF(F4:M4,"X")&gt;0,"Exclude",IF(UPPER(TRIM(E4))="O","Include",""))</f>
        <v>Exclude</v>
      </c>
      <c r="O4" t="s">
        <v>5378</v>
      </c>
    </row>
    <row r="5" spans="1:31">
      <c r="A5" t="s">
        <v>4274</v>
      </c>
      <c r="B5" s="39" t="str">
        <f>HYPERLINK('citations-it2-studies'!$D5,'citations-it2-studies'!$B5)</f>
        <v>SOHOMA - About the Applicability of IoT Concept for Classical Manufacturing Systems</v>
      </c>
      <c r="C5">
        <f>'citations-it2-studies'!$C5</f>
        <v>2021</v>
      </c>
      <c r="D5">
        <f>'citations-it2-studies'!$H5</f>
        <v>12</v>
      </c>
      <c r="E5" t="s">
        <v>1398</v>
      </c>
      <c r="F5" s="10" t="s">
        <v>51</v>
      </c>
      <c r="G5" s="10" t="s">
        <v>51</v>
      </c>
      <c r="H5" s="10" t="s">
        <v>51</v>
      </c>
      <c r="I5" s="10" t="s">
        <v>51</v>
      </c>
      <c r="J5" s="10" t="s">
        <v>51</v>
      </c>
      <c r="K5" s="10" t="s">
        <v>51</v>
      </c>
      <c r="L5" s="10" t="s">
        <v>1397</v>
      </c>
      <c r="M5" s="10" t="s">
        <v>1397</v>
      </c>
      <c r="N5" t="str">
        <f t="shared" si="1"/>
        <v>Exclude</v>
      </c>
      <c r="O5" t="s">
        <v>5378</v>
      </c>
    </row>
    <row r="6" spans="1:31">
      <c r="A6" t="s">
        <v>4274</v>
      </c>
      <c r="B6" s="39" t="str">
        <f>HYPERLINK('citations-it2-studies'!$D6,'citations-it2-studies'!$B6)</f>
        <v>Evaluation of OPC-UA communication in an autonomous advanced manufacturing cell implementation</v>
      </c>
      <c r="C6">
        <f>'citations-it2-studies'!$C6</f>
        <v>2020</v>
      </c>
      <c r="D6">
        <f>'citations-it2-studies'!$H6</f>
        <v>17</v>
      </c>
      <c r="E6" t="s">
        <v>1398</v>
      </c>
      <c r="F6" s="9" t="s">
        <v>51</v>
      </c>
      <c r="G6" s="9" t="s">
        <v>51</v>
      </c>
      <c r="H6" s="9" t="s">
        <v>51</v>
      </c>
      <c r="I6" s="9" t="s">
        <v>51</v>
      </c>
      <c r="J6" s="9" t="s">
        <v>51</v>
      </c>
      <c r="K6" s="9" t="s">
        <v>51</v>
      </c>
      <c r="L6" s="9" t="s">
        <v>1397</v>
      </c>
      <c r="M6" s="9" t="s">
        <v>1397</v>
      </c>
      <c r="N6" t="str">
        <f t="shared" si="1"/>
        <v>Exclude</v>
      </c>
      <c r="O6" t="s">
        <v>5378</v>
      </c>
    </row>
    <row r="7" spans="1:31">
      <c r="A7" t="s">
        <v>4274</v>
      </c>
      <c r="B7" s="39" t="str">
        <f>HYPERLINK('citations-it2-studies'!$D7,'citations-it2-studies'!$B7)</f>
        <v>IC2E - A Comprehensive Performance Evaluation of Different Kubernetes CNI Plugins for Edge-based and Containerized Publish/Subscribe Applications.</v>
      </c>
      <c r="C7">
        <f>'citations-it2-studies'!$C7</f>
        <v>2021</v>
      </c>
      <c r="D7">
        <f>'citations-it2-studies'!$H7</f>
        <v>12</v>
      </c>
      <c r="E7" t="s">
        <v>1398</v>
      </c>
      <c r="F7" s="9"/>
      <c r="G7" s="9" t="s">
        <v>51</v>
      </c>
      <c r="H7" s="9" t="s">
        <v>51</v>
      </c>
      <c r="I7" s="9" t="s">
        <v>51</v>
      </c>
      <c r="J7" s="9" t="s">
        <v>51</v>
      </c>
      <c r="K7" s="9" t="s">
        <v>51</v>
      </c>
      <c r="L7" s="9" t="s">
        <v>1397</v>
      </c>
      <c r="M7" s="9"/>
      <c r="N7" t="str">
        <f t="shared" si="1"/>
        <v>Exclude</v>
      </c>
      <c r="O7" t="s">
        <v>5378</v>
      </c>
      <c r="U7" s="2" t="s">
        <v>1522</v>
      </c>
      <c r="V7" t="s">
        <v>1406</v>
      </c>
      <c r="W7" t="s">
        <v>1407</v>
      </c>
      <c r="Y7" s="2" t="s">
        <v>1523</v>
      </c>
      <c r="Z7" t="s">
        <v>1406</v>
      </c>
      <c r="AA7" t="s">
        <v>1407</v>
      </c>
      <c r="AC7" s="23" t="s">
        <v>1524</v>
      </c>
      <c r="AD7" s="18" t="s">
        <v>1406</v>
      </c>
      <c r="AE7" s="21" t="s">
        <v>1407</v>
      </c>
    </row>
    <row r="8" spans="1:31">
      <c r="A8" t="s">
        <v>4274</v>
      </c>
      <c r="B8" s="39" t="str">
        <f>HYPERLINK('citations-it2-studies'!$D8,'citations-it2-studies'!$B8)</f>
        <v>Smartspectrometer—embedded optical spectroscopy for applications in agriculture and industry</v>
      </c>
      <c r="C8">
        <f>'citations-it2-studies'!$C8</f>
        <v>2021</v>
      </c>
      <c r="D8">
        <f>'citations-it2-studies'!$H8</f>
        <v>0</v>
      </c>
      <c r="E8" t="s">
        <v>1398</v>
      </c>
      <c r="F8" s="9" t="s">
        <v>51</v>
      </c>
      <c r="G8" s="9" t="s">
        <v>51</v>
      </c>
      <c r="H8" s="9" t="s">
        <v>51</v>
      </c>
      <c r="I8" s="9" t="s">
        <v>51</v>
      </c>
      <c r="J8" s="9" t="s">
        <v>51</v>
      </c>
      <c r="K8" s="9" t="s">
        <v>51</v>
      </c>
      <c r="L8" s="9" t="s">
        <v>1397</v>
      </c>
      <c r="M8" s="9" t="s">
        <v>1397</v>
      </c>
      <c r="N8" t="str">
        <f t="shared" si="1"/>
        <v>Exclude</v>
      </c>
      <c r="O8" t="s">
        <v>5378</v>
      </c>
      <c r="U8" t="s">
        <v>1403</v>
      </c>
      <c r="V8" s="1">
        <f>COUNTIF(A2:A1778,"&lt;&gt;")</f>
        <v>169</v>
      </c>
      <c r="Y8" t="s">
        <v>1403</v>
      </c>
      <c r="Z8" s="1">
        <f>COUNTIF($A2:$A1778,"&lt;&gt;")</f>
        <v>169</v>
      </c>
      <c r="AC8" s="19" t="s">
        <v>1403</v>
      </c>
      <c r="AD8" s="24">
        <f>Z10</f>
        <v>34</v>
      </c>
      <c r="AE8" s="22"/>
    </row>
    <row r="9" spans="1:31">
      <c r="A9" t="s">
        <v>4274</v>
      </c>
      <c r="B9" s="39" t="str">
        <f>HYPERLINK('citations-it2-studies'!$D9,'citations-it2-studies'!$B9)</f>
        <v>Internet of Things (IoT) Protocols, Communication Technologies, and Services in Industry</v>
      </c>
      <c r="C9">
        <f>'citations-it2-studies'!$C9</f>
        <v>2021</v>
      </c>
      <c r="D9">
        <f>'citations-it2-studies'!$H9</f>
        <v>7</v>
      </c>
      <c r="E9" t="s">
        <v>1398</v>
      </c>
      <c r="F9" s="9" t="s">
        <v>51</v>
      </c>
      <c r="G9" s="9" t="s">
        <v>51</v>
      </c>
      <c r="H9" s="9" t="s">
        <v>51</v>
      </c>
      <c r="I9" s="9" t="s">
        <v>51</v>
      </c>
      <c r="J9" s="9" t="s">
        <v>51</v>
      </c>
      <c r="K9" s="9" t="s">
        <v>51</v>
      </c>
      <c r="L9" s="9" t="s">
        <v>1397</v>
      </c>
      <c r="M9" s="9" t="s">
        <v>1397</v>
      </c>
      <c r="N9" t="str">
        <f t="shared" si="1"/>
        <v>Exclude</v>
      </c>
      <c r="O9" t="s">
        <v>5378</v>
      </c>
      <c r="U9" t="s">
        <v>1404</v>
      </c>
      <c r="V9">
        <f>COUNTIF(N2:N1778,"Exclude")</f>
        <v>157</v>
      </c>
      <c r="W9" s="15">
        <f>((V9/V8))</f>
        <v>0.92899408284023666</v>
      </c>
      <c r="Y9" t="s">
        <v>1404</v>
      </c>
      <c r="Z9">
        <f>COUNTIFS($N2:$N1778,"Exclude",$M2:$M1778,"X")</f>
        <v>133</v>
      </c>
      <c r="AA9" s="15">
        <f>((Z9/Z8))</f>
        <v>0.78698224852071008</v>
      </c>
      <c r="AC9" s="19" t="s">
        <v>1404</v>
      </c>
      <c r="AD9" s="20">
        <f>COUNTIFS($N2:$N1778,"Exclude",$M2:$M1778,"&lt;&gt;X")</f>
        <v>24</v>
      </c>
      <c r="AE9" s="25">
        <f>((AD9/AD8))</f>
        <v>0.70588235294117652</v>
      </c>
    </row>
    <row r="10" spans="1:31">
      <c r="A10" t="s">
        <v>4274</v>
      </c>
      <c r="B10" s="39" t="str">
        <f>HYPERLINK('citations-it2-studies'!$D10,'citations-it2-studies'!$B10)</f>
        <v>Towards Digital Twin for Biopharmaceutical Processes: Concept and Progress</v>
      </c>
      <c r="C10">
        <f>'citations-it2-studies'!$C10</f>
        <v>2023</v>
      </c>
      <c r="D10">
        <f>'citations-it2-studies'!$H10</f>
        <v>33</v>
      </c>
      <c r="E10" t="s">
        <v>1398</v>
      </c>
      <c r="F10" s="10" t="s">
        <v>51</v>
      </c>
      <c r="G10" s="10" t="s">
        <v>51</v>
      </c>
      <c r="H10" s="10" t="s">
        <v>51</v>
      </c>
      <c r="I10" s="10" t="s">
        <v>51</v>
      </c>
      <c r="J10" s="10" t="s">
        <v>51</v>
      </c>
      <c r="K10" s="10" t="s">
        <v>51</v>
      </c>
      <c r="L10" s="10" t="s">
        <v>1397</v>
      </c>
      <c r="M10" s="10" t="s">
        <v>1397</v>
      </c>
      <c r="N10" t="str">
        <f t="shared" si="1"/>
        <v>Exclude</v>
      </c>
      <c r="O10" t="s">
        <v>5378</v>
      </c>
      <c r="U10" t="s">
        <v>1405</v>
      </c>
      <c r="V10">
        <f>COUNTIF(N2:N1778,"Include")</f>
        <v>12</v>
      </c>
      <c r="W10" s="15">
        <f>((V10/V8))</f>
        <v>7.1005917159763315E-2</v>
      </c>
      <c r="Y10" t="s">
        <v>1405</v>
      </c>
      <c r="Z10">
        <f>COUNTIFS($M2:$M1778,"&lt;&gt;X",$E2:$E1778,"O")</f>
        <v>34</v>
      </c>
      <c r="AA10" s="15">
        <f>((Z10/Z8))</f>
        <v>0.20118343195266272</v>
      </c>
      <c r="AC10" s="19" t="s">
        <v>1405</v>
      </c>
      <c r="AD10" s="20">
        <f>COUNTIFS($N2:$N1778,"Include", $M2:$M1778,"&lt;&gt;X")</f>
        <v>12</v>
      </c>
      <c r="AE10" s="25">
        <f>((AD10/AD8))</f>
        <v>0.35294117647058826</v>
      </c>
    </row>
    <row r="11" spans="1:31">
      <c r="A11" t="s">
        <v>4274</v>
      </c>
      <c r="B11" s="39" t="str">
        <f>HYPERLINK('citations-it2-studies'!$D12,'citations-it2-studies'!$B12)</f>
        <v>Investigating Messaging Protocols for the Internet of Things (IoT)</v>
      </c>
      <c r="C11">
        <f>'citations-it2-studies'!$C12</f>
        <v>2020</v>
      </c>
      <c r="D11">
        <f>'citations-it2-studies'!$H12</f>
        <v>32</v>
      </c>
      <c r="E11" t="s">
        <v>1398</v>
      </c>
      <c r="F11" s="10" t="s">
        <v>51</v>
      </c>
      <c r="G11" s="10" t="s">
        <v>51</v>
      </c>
      <c r="H11" s="10" t="s">
        <v>51</v>
      </c>
      <c r="I11" s="10" t="s">
        <v>51</v>
      </c>
      <c r="J11" s="10" t="s">
        <v>51</v>
      </c>
      <c r="K11" s="10" t="s">
        <v>51</v>
      </c>
      <c r="L11" s="10" t="s">
        <v>1397</v>
      </c>
      <c r="M11" s="10" t="s">
        <v>1397</v>
      </c>
      <c r="N11" t="str">
        <f t="shared" si="1"/>
        <v>Exclude</v>
      </c>
      <c r="O11" t="s">
        <v>5378</v>
      </c>
      <c r="U11" s="2" t="s">
        <v>1408</v>
      </c>
      <c r="Y11" s="2" t="s">
        <v>1408</v>
      </c>
      <c r="AC11" s="26" t="s">
        <v>1408</v>
      </c>
      <c r="AD11" s="20"/>
      <c r="AE11" s="22"/>
    </row>
    <row r="12" spans="1:31">
      <c r="A12" t="s">
        <v>4274</v>
      </c>
      <c r="B12" s="39" t="str">
        <f>HYPERLINK('citations-it2-studies'!$D14,'citations-it2-studies'!$B14)</f>
        <v>ESORICS (2) - Towards Post-Quantum Security for Cyber-Physical Systems: Integrating PQC into Industrial M2M Communication.</v>
      </c>
      <c r="C12">
        <f>'citations-it2-studies'!$C14</f>
        <v>2020</v>
      </c>
      <c r="D12">
        <f>'citations-it2-studies'!$H14</f>
        <v>22</v>
      </c>
      <c r="E12" t="s">
        <v>1398</v>
      </c>
      <c r="F12" s="10" t="s">
        <v>51</v>
      </c>
      <c r="G12" s="10" t="s">
        <v>51</v>
      </c>
      <c r="H12" s="10" t="s">
        <v>51</v>
      </c>
      <c r="I12" s="10" t="s">
        <v>51</v>
      </c>
      <c r="J12" s="10" t="s">
        <v>51</v>
      </c>
      <c r="K12" s="10" t="s">
        <v>51</v>
      </c>
      <c r="L12" s="10" t="s">
        <v>1397</v>
      </c>
      <c r="M12" s="10" t="s">
        <v>1397</v>
      </c>
      <c r="N12" t="str">
        <f t="shared" si="1"/>
        <v>Exclude</v>
      </c>
      <c r="O12" t="s">
        <v>5378</v>
      </c>
      <c r="U12" t="s">
        <v>3</v>
      </c>
      <c r="V12">
        <f>COUNTIF($F$2:$F$1778,"X")</f>
        <v>1</v>
      </c>
      <c r="W12" s="15">
        <f t="shared" ref="W12:W19" si="2">((V12/V$8))</f>
        <v>5.9171597633136093E-3</v>
      </c>
      <c r="Y12" t="s">
        <v>3</v>
      </c>
      <c r="Z12">
        <f>COUNTIFS($F2:$F1778,"X", $M2:$M1778,"X")</f>
        <v>0</v>
      </c>
      <c r="AA12" s="15">
        <f t="shared" ref="AA12:AA18" si="3">((Z12/Z$8))</f>
        <v>0</v>
      </c>
      <c r="AC12" s="19" t="s">
        <v>3</v>
      </c>
      <c r="AD12" s="20">
        <f>COUNTIFS($F2:$F1778,"X", $M2:$M1778,"&lt;&gt;X")</f>
        <v>1</v>
      </c>
      <c r="AE12" s="25">
        <f t="shared" ref="AE12:AE18" si="4">((AD12/AD$8))</f>
        <v>2.9411764705882353E-2</v>
      </c>
    </row>
    <row r="13" spans="1:31">
      <c r="A13" t="s">
        <v>4274</v>
      </c>
      <c r="B13" s="39" t="str">
        <f>HYPERLINK('citations-it2-studies'!$D15,'citations-it2-studies'!$B15)</f>
        <v>An Autonomous Edge Box System Architecture for Industrial IoT Applications</v>
      </c>
      <c r="C13">
        <f>'citations-it2-studies'!$C15</f>
        <v>2024</v>
      </c>
      <c r="D13">
        <f>'citations-it2-studies'!$H15</f>
        <v>6</v>
      </c>
      <c r="E13" t="s">
        <v>1398</v>
      </c>
      <c r="F13" s="9" t="s">
        <v>51</v>
      </c>
      <c r="G13" s="9" t="s">
        <v>51</v>
      </c>
      <c r="H13" s="9" t="s">
        <v>51</v>
      </c>
      <c r="I13" s="9" t="s">
        <v>51</v>
      </c>
      <c r="J13" s="9" t="s">
        <v>51</v>
      </c>
      <c r="K13" s="9" t="s">
        <v>51</v>
      </c>
      <c r="L13" s="9" t="s">
        <v>1397</v>
      </c>
      <c r="M13" s="9" t="s">
        <v>1397</v>
      </c>
      <c r="N13" t="str">
        <f t="shared" si="1"/>
        <v>Exclude</v>
      </c>
      <c r="O13" t="s">
        <v>5378</v>
      </c>
      <c r="U13" t="s">
        <v>4</v>
      </c>
      <c r="V13">
        <f>COUNTIF($G$2:$G$1778,"X")</f>
        <v>3</v>
      </c>
      <c r="W13" s="15">
        <f t="shared" si="2"/>
        <v>1.7751479289940829E-2</v>
      </c>
      <c r="Y13" t="s">
        <v>4</v>
      </c>
      <c r="Z13">
        <f>COUNTIFS($G2:$G1778,"X", $M2:$M1778,"X")</f>
        <v>3</v>
      </c>
      <c r="AA13" s="15">
        <f t="shared" si="3"/>
        <v>1.7751479289940829E-2</v>
      </c>
      <c r="AC13" s="19" t="s">
        <v>4</v>
      </c>
      <c r="AD13" s="20">
        <f>COUNTIFS($G2:$G1778,"X", $M2:$M1778,"&lt;&gt;X")</f>
        <v>0</v>
      </c>
      <c r="AE13" s="25">
        <f t="shared" si="4"/>
        <v>0</v>
      </c>
    </row>
    <row r="14" spans="1:31">
      <c r="A14" t="s">
        <v>4274</v>
      </c>
      <c r="B14" s="39" t="str">
        <f>HYPERLINK('citations-it2-studies'!$D16,'citations-it2-studies'!$B16)</f>
        <v>Methodology for Plant Specific Cultivation through a Plant Identification pipeline</v>
      </c>
      <c r="C14">
        <f>'citations-it2-studies'!$C16</f>
        <v>2020</v>
      </c>
      <c r="D14">
        <f>'citations-it2-studies'!$H16</f>
        <v>5</v>
      </c>
      <c r="E14" t="s">
        <v>1398</v>
      </c>
      <c r="F14" s="9" t="s">
        <v>51</v>
      </c>
      <c r="G14" s="9" t="s">
        <v>51</v>
      </c>
      <c r="H14" s="9" t="s">
        <v>51</v>
      </c>
      <c r="I14" s="9" t="s">
        <v>51</v>
      </c>
      <c r="J14" s="9" t="s">
        <v>51</v>
      </c>
      <c r="K14" s="9" t="s">
        <v>51</v>
      </c>
      <c r="L14" s="9" t="s">
        <v>1397</v>
      </c>
      <c r="M14" s="9" t="s">
        <v>1397</v>
      </c>
      <c r="N14" t="str">
        <f t="shared" si="1"/>
        <v>Exclude</v>
      </c>
      <c r="O14" t="s">
        <v>5378</v>
      </c>
      <c r="U14" t="s">
        <v>328</v>
      </c>
      <c r="V14">
        <f>COUNTIF($H$2:$H$1778,"X")</f>
        <v>23</v>
      </c>
      <c r="W14" s="15">
        <f t="shared" si="2"/>
        <v>0.13609467455621302</v>
      </c>
      <c r="Y14" t="s">
        <v>328</v>
      </c>
      <c r="Z14">
        <f>COUNTIFS($H2:$H1778,"X", $M2:$M1778,"X")</f>
        <v>14</v>
      </c>
      <c r="AA14" s="15">
        <f t="shared" si="3"/>
        <v>8.2840236686390539E-2</v>
      </c>
      <c r="AC14" s="19" t="s">
        <v>328</v>
      </c>
      <c r="AD14" s="20">
        <f>COUNTIFS($H2:$H1778,"X", $M2:$M1778,"&lt;&gt;X")</f>
        <v>9</v>
      </c>
      <c r="AE14" s="25">
        <f t="shared" si="4"/>
        <v>0.26470588235294118</v>
      </c>
    </row>
    <row r="15" spans="1:31">
      <c r="A15" t="s">
        <v>4274</v>
      </c>
      <c r="B15" s="39" t="str">
        <f>HYPERLINK('citations-it2-studies'!$D17,'citations-it2-studies'!$B17)</f>
        <v>Data Science on Industrial Data—Today’s Challenges in Brown Field Applications</v>
      </c>
      <c r="C15">
        <f>'citations-it2-studies'!$C17</f>
        <v>2021</v>
      </c>
      <c r="D15">
        <f>'citations-it2-studies'!$H17</f>
        <v>0</v>
      </c>
      <c r="E15" t="s">
        <v>1398</v>
      </c>
      <c r="F15" s="10" t="s">
        <v>51</v>
      </c>
      <c r="G15" s="10" t="s">
        <v>51</v>
      </c>
      <c r="H15" s="10" t="s">
        <v>51</v>
      </c>
      <c r="I15" s="10" t="s">
        <v>51</v>
      </c>
      <c r="J15" s="10" t="s">
        <v>51</v>
      </c>
      <c r="K15" s="10" t="s">
        <v>51</v>
      </c>
      <c r="L15" s="10" t="s">
        <v>1397</v>
      </c>
      <c r="M15" s="10" t="s">
        <v>1397</v>
      </c>
      <c r="N15" t="str">
        <f t="shared" si="1"/>
        <v>Exclude</v>
      </c>
      <c r="O15" t="s">
        <v>5378</v>
      </c>
      <c r="U15" t="s">
        <v>329</v>
      </c>
      <c r="V15">
        <f>COUNTIF($I$2:$I$1778,"X")</f>
        <v>2</v>
      </c>
      <c r="W15" s="15">
        <f t="shared" si="2"/>
        <v>1.1834319526627219E-2</v>
      </c>
      <c r="Y15" t="s">
        <v>329</v>
      </c>
      <c r="Z15">
        <f>COUNTIFS($I2:$I1778,"X", $M2:$M1778,"X")</f>
        <v>1</v>
      </c>
      <c r="AA15" s="15">
        <f t="shared" si="3"/>
        <v>5.9171597633136093E-3</v>
      </c>
      <c r="AC15" s="19" t="s">
        <v>329</v>
      </c>
      <c r="AD15" s="20">
        <f>COUNTIFS($I2:$I1778,"X", $M2:$M1778,"&lt;&gt;X")</f>
        <v>1</v>
      </c>
      <c r="AE15" s="25">
        <f t="shared" si="4"/>
        <v>2.9411764705882353E-2</v>
      </c>
    </row>
    <row r="16" spans="1:31">
      <c r="A16" t="s">
        <v>4274</v>
      </c>
      <c r="B16" s="39" t="str">
        <f>HYPERLINK('citations-it2-studies'!$D18,'citations-it2-studies'!$B18)</f>
        <v>Towards post-quantum security for cyber-physical systems: Integrating PQC into industrial M2M communication</v>
      </c>
      <c r="C16">
        <f>'citations-it2-studies'!$C18</f>
        <v>2021</v>
      </c>
      <c r="D16">
        <f>'citations-it2-studies'!$H18</f>
        <v>31</v>
      </c>
      <c r="E16" t="s">
        <v>1398</v>
      </c>
      <c r="F16" s="9" t="s">
        <v>51</v>
      </c>
      <c r="G16" s="9" t="s">
        <v>51</v>
      </c>
      <c r="H16" s="9" t="s">
        <v>51</v>
      </c>
      <c r="I16" s="9" t="s">
        <v>51</v>
      </c>
      <c r="J16" s="9" t="s">
        <v>51</v>
      </c>
      <c r="K16" s="9" t="s">
        <v>51</v>
      </c>
      <c r="L16" s="9" t="s">
        <v>1397</v>
      </c>
      <c r="M16" s="9" t="s">
        <v>1397</v>
      </c>
      <c r="N16" t="str">
        <f t="shared" si="1"/>
        <v>Exclude</v>
      </c>
      <c r="O16" t="s">
        <v>5378</v>
      </c>
      <c r="U16" t="s">
        <v>330</v>
      </c>
      <c r="V16">
        <f>COUNTIF(J$2:J$1778,"X")</f>
        <v>15</v>
      </c>
      <c r="W16" s="15">
        <f t="shared" si="2"/>
        <v>8.8757396449704137E-2</v>
      </c>
      <c r="Y16" t="s">
        <v>330</v>
      </c>
      <c r="Z16">
        <f>COUNTIFS($J2:$J1778,"X", $M2:$M1778,"X")</f>
        <v>14</v>
      </c>
      <c r="AA16" s="15">
        <f t="shared" si="3"/>
        <v>8.2840236686390539E-2</v>
      </c>
      <c r="AC16" s="19" t="s">
        <v>330</v>
      </c>
      <c r="AD16" s="20">
        <f>COUNTIFS($J2:$J1778,"X", $M2:$M1778,"&lt;&gt;X")</f>
        <v>1</v>
      </c>
      <c r="AE16" s="25">
        <f t="shared" si="4"/>
        <v>2.9411764705882353E-2</v>
      </c>
    </row>
    <row r="17" spans="1:31">
      <c r="A17" t="s">
        <v>4274</v>
      </c>
      <c r="B17" s="39" t="str">
        <f>HYPERLINK('citations-it2-studies'!$D19,'citations-it2-studies'!$B19)</f>
        <v>MES-integrated digital twin frameworks</v>
      </c>
      <c r="C17">
        <f>'citations-it2-studies'!$C19</f>
        <v>2020</v>
      </c>
      <c r="D17">
        <f>'citations-it2-studies'!$H19</f>
        <v>14</v>
      </c>
      <c r="E17" t="s">
        <v>1398</v>
      </c>
      <c r="F17" s="9" t="s">
        <v>51</v>
      </c>
      <c r="G17" s="9" t="s">
        <v>51</v>
      </c>
      <c r="H17" s="9" t="s">
        <v>51</v>
      </c>
      <c r="I17" s="9" t="s">
        <v>51</v>
      </c>
      <c r="J17" s="9" t="s">
        <v>51</v>
      </c>
      <c r="K17" s="9" t="s">
        <v>51</v>
      </c>
      <c r="L17" s="9" t="s">
        <v>1397</v>
      </c>
      <c r="M17" s="9" t="s">
        <v>1397</v>
      </c>
      <c r="N17" t="str">
        <f t="shared" si="1"/>
        <v>Exclude</v>
      </c>
      <c r="O17" t="s">
        <v>5378</v>
      </c>
      <c r="U17" t="s">
        <v>331</v>
      </c>
      <c r="V17">
        <f>COUNTIF($K$2:$K$1778,"X")</f>
        <v>1</v>
      </c>
      <c r="W17" s="15">
        <f t="shared" si="2"/>
        <v>5.9171597633136093E-3</v>
      </c>
      <c r="Y17" t="s">
        <v>331</v>
      </c>
      <c r="Z17">
        <f>COUNTIFS($K2:$K1778,"X", $M2:$M1778,"X")</f>
        <v>0</v>
      </c>
      <c r="AA17" s="15">
        <f t="shared" si="3"/>
        <v>0</v>
      </c>
      <c r="AC17" s="19" t="s">
        <v>331</v>
      </c>
      <c r="AD17" s="20">
        <f>COUNTIFS($K2:$K1778,"X", $M2:$M1778,"&lt;&gt;X")</f>
        <v>1</v>
      </c>
      <c r="AE17" s="25">
        <f t="shared" si="4"/>
        <v>2.9411764705882353E-2</v>
      </c>
    </row>
    <row r="18" spans="1:31">
      <c r="A18" t="s">
        <v>4274</v>
      </c>
      <c r="B18" s="39" t="str">
        <f>HYPERLINK('citations-it2-studies'!$D21,'citations-it2-studies'!$B21)</f>
        <v>&lt;i&gt;SCOPE&lt;/i&gt; : Performance Testing for Serverless Computing</v>
      </c>
      <c r="C18">
        <f>'citations-it2-studies'!$C21</f>
        <v>2025</v>
      </c>
      <c r="D18">
        <f>'citations-it2-studies'!$H21</f>
        <v>30</v>
      </c>
      <c r="E18" t="s">
        <v>1398</v>
      </c>
      <c r="F18" s="9" t="s">
        <v>51</v>
      </c>
      <c r="G18" s="9" t="s">
        <v>51</v>
      </c>
      <c r="H18" s="9" t="s">
        <v>51</v>
      </c>
      <c r="I18" s="9" t="s">
        <v>51</v>
      </c>
      <c r="J18" s="9" t="s">
        <v>51</v>
      </c>
      <c r="K18" s="9" t="s">
        <v>51</v>
      </c>
      <c r="L18" s="9" t="s">
        <v>1397</v>
      </c>
      <c r="M18" s="9" t="s">
        <v>1397</v>
      </c>
      <c r="N18" t="str">
        <f t="shared" si="1"/>
        <v>Exclude</v>
      </c>
      <c r="O18" t="s">
        <v>5378</v>
      </c>
      <c r="U18" t="s">
        <v>332</v>
      </c>
      <c r="V18">
        <f>COUNTIF($L$2:$L$1778,"X")</f>
        <v>112</v>
      </c>
      <c r="W18" s="15">
        <f t="shared" si="2"/>
        <v>0.66272189349112431</v>
      </c>
      <c r="Y18" t="s">
        <v>332</v>
      </c>
      <c r="Z18">
        <f>COUNTIFS($L2:$L1778,"X", $M2:$M1778,"X")</f>
        <v>98</v>
      </c>
      <c r="AA18" s="15">
        <f t="shared" si="3"/>
        <v>0.57988165680473369</v>
      </c>
      <c r="AC18" s="27" t="s">
        <v>332</v>
      </c>
      <c r="AD18" s="28">
        <f>COUNTIFS($L2:$L1778,"X", $M2:$M1778,"&lt;&gt;X")</f>
        <v>14</v>
      </c>
      <c r="AE18" s="29">
        <f t="shared" si="4"/>
        <v>0.41176470588235292</v>
      </c>
    </row>
    <row r="19" spans="1:31">
      <c r="A19" t="s">
        <v>4274</v>
      </c>
      <c r="B19" s="39" t="str">
        <f>HYPERLINK('citations-it2-studies'!$D22,'citations-it2-studies'!$B22)</f>
        <v>A digital twin approach for online reconfiguration of robotic manufacturing systems toward plug-and-produce</v>
      </c>
      <c r="C19">
        <f>'citations-it2-studies'!$C22</f>
        <v>2025</v>
      </c>
      <c r="D19">
        <f>'citations-it2-studies'!$H22</f>
        <v>27</v>
      </c>
      <c r="E19" t="s">
        <v>1398</v>
      </c>
      <c r="F19" s="10" t="s">
        <v>51</v>
      </c>
      <c r="G19" s="10" t="s">
        <v>51</v>
      </c>
      <c r="H19" s="10" t="s">
        <v>51</v>
      </c>
      <c r="I19" s="10" t="s">
        <v>51</v>
      </c>
      <c r="J19" s="10" t="s">
        <v>51</v>
      </c>
      <c r="K19" s="10" t="s">
        <v>51</v>
      </c>
      <c r="L19" s="10" t="s">
        <v>1397</v>
      </c>
      <c r="M19" s="10" t="s">
        <v>1397</v>
      </c>
      <c r="N19" t="str">
        <f t="shared" ref="N19:N32" si="5">IF(COUNTIF(F19:M19,"X")&gt;0,"Exclude",IF(UPPER(TRIM(E19))="O","Include",""))</f>
        <v>Exclude</v>
      </c>
      <c r="O19" t="s">
        <v>5378</v>
      </c>
      <c r="U19" t="s">
        <v>1432</v>
      </c>
      <c r="V19">
        <f>COUNTIF($M$2:$M$1778,"X")</f>
        <v>133</v>
      </c>
      <c r="W19" s="15">
        <f t="shared" si="2"/>
        <v>0.78698224852071008</v>
      </c>
      <c r="AA19" s="30"/>
      <c r="AE19" s="15"/>
    </row>
    <row r="20" spans="1:31">
      <c r="A20" t="s">
        <v>4274</v>
      </c>
      <c r="B20" s="39" t="str">
        <f>HYPERLINK('citations-it2-studies'!$D23,'citations-it2-studies'!$B23)</f>
        <v>IIoT Protocols for Edge/Fog and Cloud Computing in Industrial AI</v>
      </c>
      <c r="C20">
        <f>'citations-it2-studies'!$C23</f>
        <v>2024</v>
      </c>
      <c r="D20">
        <f>'citations-it2-studies'!$H23</f>
        <v>30</v>
      </c>
      <c r="E20" t="s">
        <v>1398</v>
      </c>
      <c r="F20" s="10" t="s">
        <v>51</v>
      </c>
      <c r="G20" s="10" t="s">
        <v>51</v>
      </c>
      <c r="H20" s="10" t="s">
        <v>51</v>
      </c>
      <c r="I20" s="10" t="s">
        <v>51</v>
      </c>
      <c r="J20" s="10" t="s">
        <v>51</v>
      </c>
      <c r="K20" s="10" t="s">
        <v>51</v>
      </c>
      <c r="L20" s="10" t="s">
        <v>1397</v>
      </c>
      <c r="M20" s="10" t="s">
        <v>1397</v>
      </c>
      <c r="N20" t="str">
        <f t="shared" si="5"/>
        <v>Exclude</v>
      </c>
      <c r="O20" t="s">
        <v>5378</v>
      </c>
    </row>
    <row r="21" spans="1:31">
      <c r="A21" t="s">
        <v>4274</v>
      </c>
      <c r="B21" s="39" t="str">
        <f>HYPERLINK('citations-it2-studies'!$D24,'citations-it2-studies'!$B24)</f>
        <v>Unified Multi-Modal Data Aggregation for Complementary Sensor Networks Applied for Localization</v>
      </c>
      <c r="C21">
        <f>'citations-it2-studies'!$C24</f>
        <v>2022</v>
      </c>
      <c r="D21">
        <f>'citations-it2-studies'!$H24</f>
        <v>7</v>
      </c>
      <c r="E21" t="s">
        <v>1398</v>
      </c>
      <c r="F21" s="9" t="s">
        <v>51</v>
      </c>
      <c r="G21" s="9" t="s">
        <v>51</v>
      </c>
      <c r="H21" s="9" t="s">
        <v>51</v>
      </c>
      <c r="I21" s="9" t="s">
        <v>51</v>
      </c>
      <c r="J21" s="9" t="s">
        <v>51</v>
      </c>
      <c r="K21" s="9" t="s">
        <v>51</v>
      </c>
      <c r="L21" s="9" t="s">
        <v>1397</v>
      </c>
      <c r="M21" s="9" t="s">
        <v>1397</v>
      </c>
      <c r="N21" t="str">
        <f t="shared" si="5"/>
        <v>Exclude</v>
      </c>
      <c r="O21" t="s">
        <v>5378</v>
      </c>
    </row>
    <row r="22" spans="1:31">
      <c r="A22" t="s">
        <v>4274</v>
      </c>
      <c r="B22" s="39" t="str">
        <f>HYPERLINK('citations-it2-studies'!$D25,'citations-it2-studies'!$B25)</f>
        <v>Leveraging Hybrid Information Centric Networking for Broker-Free Publish/Subscribe in IoT</v>
      </c>
      <c r="C22">
        <f>'citations-it2-studies'!$C25</f>
        <v>2023</v>
      </c>
      <c r="D22">
        <f>'citations-it2-studies'!$H25</f>
        <v>7</v>
      </c>
      <c r="E22" t="s">
        <v>1398</v>
      </c>
      <c r="F22" s="10" t="s">
        <v>51</v>
      </c>
      <c r="G22" s="10" t="s">
        <v>51</v>
      </c>
      <c r="H22" s="10" t="s">
        <v>1397</v>
      </c>
      <c r="I22" s="10" t="s">
        <v>51</v>
      </c>
      <c r="J22" s="10" t="s">
        <v>51</v>
      </c>
      <c r="K22" s="10" t="s">
        <v>51</v>
      </c>
      <c r="L22" s="10" t="s">
        <v>51</v>
      </c>
      <c r="M22" s="10"/>
      <c r="N22" t="str">
        <f t="shared" si="5"/>
        <v>Exclude</v>
      </c>
      <c r="O22" t="s">
        <v>5384</v>
      </c>
    </row>
    <row r="23" spans="1:31">
      <c r="A23" t="s">
        <v>4274</v>
      </c>
      <c r="B23" s="39" t="str">
        <f>HYPERLINK('citations-it2-studies'!$D26,'citations-it2-studies'!$B26)</f>
        <v>General Evaluation of EtherCAT-Based Techniques in Various Industrial Systems: Review and Applications</v>
      </c>
      <c r="C23">
        <f>'citations-it2-studies'!$C26</f>
        <v>2024</v>
      </c>
      <c r="D23">
        <f>'citations-it2-studies'!$H26</f>
        <v>13</v>
      </c>
      <c r="E23" t="s">
        <v>1398</v>
      </c>
      <c r="F23" s="9" t="s">
        <v>51</v>
      </c>
      <c r="G23" s="9" t="s">
        <v>51</v>
      </c>
      <c r="H23" s="9" t="s">
        <v>51</v>
      </c>
      <c r="I23" s="9" t="s">
        <v>51</v>
      </c>
      <c r="J23" s="9" t="s">
        <v>1397</v>
      </c>
      <c r="K23" s="9" t="s">
        <v>51</v>
      </c>
      <c r="L23" s="9" t="s">
        <v>51</v>
      </c>
      <c r="M23" s="9" t="s">
        <v>1397</v>
      </c>
      <c r="N23" t="str">
        <f t="shared" si="5"/>
        <v>Exclude</v>
      </c>
      <c r="O23" t="s">
        <v>5382</v>
      </c>
    </row>
    <row r="24" spans="1:31">
      <c r="A24" t="s">
        <v>4274</v>
      </c>
      <c r="B24" s="39" t="str">
        <f>HYPERLINK('citations-it2-studies'!$D27,'citations-it2-studies'!$B27)</f>
        <v>ACHORD: Communication-Aware Multi-Robot Coordination With Intermittent Connectivity</v>
      </c>
      <c r="C24">
        <f>'citations-it2-studies'!$C27</f>
        <v>2022</v>
      </c>
      <c r="D24">
        <f>'citations-it2-studies'!$H27</f>
        <v>8</v>
      </c>
      <c r="E24" t="s">
        <v>1398</v>
      </c>
      <c r="F24" s="9" t="s">
        <v>51</v>
      </c>
      <c r="G24" s="9" t="s">
        <v>51</v>
      </c>
      <c r="H24" s="9" t="s">
        <v>51</v>
      </c>
      <c r="I24" s="9" t="s">
        <v>51</v>
      </c>
      <c r="J24" s="9" t="s">
        <v>51</v>
      </c>
      <c r="K24" s="9" t="s">
        <v>51</v>
      </c>
      <c r="L24" s="9" t="s">
        <v>1397</v>
      </c>
      <c r="M24" s="9" t="s">
        <v>1397</v>
      </c>
      <c r="N24" t="str">
        <f t="shared" si="5"/>
        <v>Exclude</v>
      </c>
      <c r="O24" t="s">
        <v>5378</v>
      </c>
    </row>
    <row r="25" spans="1:31">
      <c r="A25" t="s">
        <v>4274</v>
      </c>
      <c r="B25" s="39" t="str">
        <f>HYPERLINK('citations-it2-studies'!$D28,'citations-it2-studies'!$B28)</f>
        <v>A Solution to the Generalized ROS Hardware IO Problem - A Generic Modbus/TCP Device Driver for PLCs, Sensors and Actuators</v>
      </c>
      <c r="C25">
        <f>'citations-it2-studies'!$C28</f>
        <v>2021</v>
      </c>
      <c r="D25">
        <f>'citations-it2-studies'!$H28</f>
        <v>8</v>
      </c>
      <c r="E25" t="s">
        <v>1398</v>
      </c>
      <c r="F25" s="9" t="s">
        <v>51</v>
      </c>
      <c r="G25" s="9" t="s">
        <v>51</v>
      </c>
      <c r="H25" s="9" t="s">
        <v>51</v>
      </c>
      <c r="I25" s="9" t="s">
        <v>51</v>
      </c>
      <c r="J25" s="9" t="s">
        <v>51</v>
      </c>
      <c r="K25" s="9" t="s">
        <v>51</v>
      </c>
      <c r="L25" s="9" t="s">
        <v>1397</v>
      </c>
      <c r="M25" s="9"/>
      <c r="N25" t="str">
        <f t="shared" si="5"/>
        <v>Exclude</v>
      </c>
      <c r="O25" t="s">
        <v>5383</v>
      </c>
    </row>
    <row r="26" spans="1:31">
      <c r="A26" t="s">
        <v>4274</v>
      </c>
      <c r="B26" s="39" t="str">
        <f>HYPERLINK('citations-it2-studies'!$D29,'citations-it2-studies'!$B29)</f>
        <v>ATLAS - A Generic Framework for Generation of Skill-Based Control Logic and Simulation Models for Intralogistics Applications</v>
      </c>
      <c r="C26">
        <f>'citations-it2-studies'!$C29</f>
        <v>2021</v>
      </c>
      <c r="D26">
        <f>'citations-it2-studies'!$H29</f>
        <v>8</v>
      </c>
      <c r="E26" t="s">
        <v>1398</v>
      </c>
      <c r="F26" s="9" t="s">
        <v>51</v>
      </c>
      <c r="G26" s="9" t="s">
        <v>51</v>
      </c>
      <c r="H26" s="9" t="s">
        <v>51</v>
      </c>
      <c r="I26" s="9" t="s">
        <v>51</v>
      </c>
      <c r="J26" s="9" t="s">
        <v>51</v>
      </c>
      <c r="K26" s="9" t="s">
        <v>51</v>
      </c>
      <c r="L26" s="9" t="s">
        <v>1397</v>
      </c>
      <c r="M26" s="9" t="s">
        <v>1397</v>
      </c>
      <c r="N26" t="str">
        <f t="shared" si="5"/>
        <v>Exclude</v>
      </c>
      <c r="O26" t="s">
        <v>5378</v>
      </c>
    </row>
    <row r="27" spans="1:31">
      <c r="A27" t="s">
        <v>4274</v>
      </c>
      <c r="B27" s="39" t="str">
        <f>HYPERLINK('citations-it2-studies'!$D30,'citations-it2-studies'!$B30)</f>
        <v>DDS and OPC UA Protocol Coexistence Solution in Real-Time and Industry 4.0 Context Using Non-Ideal Infrastructure.</v>
      </c>
      <c r="C27">
        <f>'citations-it2-studies'!$C30</f>
        <v>2021</v>
      </c>
      <c r="D27">
        <f>'citations-it2-studies'!$H30</f>
        <v>0</v>
      </c>
      <c r="E27" t="s">
        <v>1398</v>
      </c>
      <c r="F27" s="10" t="s">
        <v>51</v>
      </c>
      <c r="G27" s="10" t="s">
        <v>51</v>
      </c>
      <c r="H27" s="10" t="s">
        <v>51</v>
      </c>
      <c r="I27" s="10" t="s">
        <v>51</v>
      </c>
      <c r="J27" s="10" t="s">
        <v>51</v>
      </c>
      <c r="K27" s="10" t="s">
        <v>51</v>
      </c>
      <c r="L27" s="10" t="s">
        <v>51</v>
      </c>
      <c r="M27" s="10"/>
      <c r="N27" t="str">
        <f t="shared" si="5"/>
        <v>Include</v>
      </c>
      <c r="O27" t="s">
        <v>5381</v>
      </c>
    </row>
    <row r="28" spans="1:31">
      <c r="A28" t="s">
        <v>4274</v>
      </c>
      <c r="B28" s="39" t="str">
        <f>HYPERLINK('citations-it2-studies'!$D31,'citations-it2-studies'!$B31)</f>
        <v>An Intelligent Product-Driven Manufacturing System Using Data Distribution Service</v>
      </c>
      <c r="C28">
        <f>'citations-it2-studies'!$C31</f>
        <v>2024</v>
      </c>
      <c r="D28">
        <f>'citations-it2-studies'!$H31</f>
        <v>15</v>
      </c>
      <c r="E28" t="s">
        <v>1398</v>
      </c>
      <c r="F28" s="9" t="s">
        <v>51</v>
      </c>
      <c r="G28" s="9" t="s">
        <v>51</v>
      </c>
      <c r="H28" s="9" t="s">
        <v>51</v>
      </c>
      <c r="I28" s="9" t="s">
        <v>51</v>
      </c>
      <c r="J28" s="9" t="s">
        <v>51</v>
      </c>
      <c r="K28" s="9" t="s">
        <v>51</v>
      </c>
      <c r="L28" s="9" t="s">
        <v>1397</v>
      </c>
      <c r="M28" s="9" t="s">
        <v>1397</v>
      </c>
      <c r="N28" t="str">
        <f t="shared" si="5"/>
        <v>Exclude</v>
      </c>
      <c r="O28" t="s">
        <v>5378</v>
      </c>
    </row>
    <row r="29" spans="1:31">
      <c r="A29" t="s">
        <v>4274</v>
      </c>
      <c r="B29" s="39" t="str">
        <f>HYPERLINK('citations-it2-studies'!$D33,'citations-it2-studies'!$B33)</f>
        <v>A Review on SECS/GEM: A Machine-to-Machine (M2M) Communication Protocol for Industry 4.0</v>
      </c>
      <c r="C29">
        <f>'citations-it2-studies'!$C33</f>
        <v>2021</v>
      </c>
      <c r="D29">
        <f>'citations-it2-studies'!$H33</f>
        <v>10</v>
      </c>
      <c r="E29" t="s">
        <v>1398</v>
      </c>
      <c r="F29" s="10" t="s">
        <v>51</v>
      </c>
      <c r="G29" s="10" t="s">
        <v>51</v>
      </c>
      <c r="H29" s="10" t="s">
        <v>51</v>
      </c>
      <c r="I29" s="10" t="s">
        <v>51</v>
      </c>
      <c r="J29" s="10" t="s">
        <v>1397</v>
      </c>
      <c r="K29" s="10" t="s">
        <v>51</v>
      </c>
      <c r="L29" s="10" t="s">
        <v>51</v>
      </c>
      <c r="M29" s="10" t="s">
        <v>1397</v>
      </c>
      <c r="N29" t="str">
        <f t="shared" si="5"/>
        <v>Exclude</v>
      </c>
      <c r="O29" t="s">
        <v>5382</v>
      </c>
    </row>
    <row r="30" spans="1:31">
      <c r="A30" t="s">
        <v>4274</v>
      </c>
      <c r="B30" s="39" t="str">
        <f>HYPERLINK('citations-it2-studies'!$D35,'citations-it2-studies'!$B35)</f>
        <v>Fostering End-of-Life Utilization by Information-driven Robotic Disassembly</v>
      </c>
      <c r="C30">
        <f>'citations-it2-studies'!$C35</f>
        <v>2021</v>
      </c>
      <c r="D30">
        <f>'citations-it2-studies'!$H35</f>
        <v>6</v>
      </c>
      <c r="E30" t="s">
        <v>1398</v>
      </c>
      <c r="F30" s="9" t="s">
        <v>51</v>
      </c>
      <c r="G30" s="9" t="s">
        <v>51</v>
      </c>
      <c r="H30" s="9" t="s">
        <v>51</v>
      </c>
      <c r="I30" s="9" t="s">
        <v>51</v>
      </c>
      <c r="J30" s="9" t="s">
        <v>51</v>
      </c>
      <c r="K30" s="9" t="s">
        <v>51</v>
      </c>
      <c r="L30" s="9" t="s">
        <v>1397</v>
      </c>
      <c r="M30" s="9" t="s">
        <v>1397</v>
      </c>
      <c r="N30" t="str">
        <f t="shared" si="5"/>
        <v>Exclude</v>
      </c>
      <c r="O30" t="s">
        <v>5378</v>
      </c>
    </row>
    <row r="31" spans="1:31">
      <c r="A31" t="s">
        <v>4274</v>
      </c>
      <c r="B31" s="39" t="str">
        <f>HYPERLINK('citations-it2-studies'!$D36,'citations-it2-studies'!$B36)</f>
        <v>ComBench: A Benchmarking Framework for Publish/Subscribe Communication Protocols Under Network Limitations</v>
      </c>
      <c r="C31">
        <f>'citations-it2-studies'!$C36</f>
        <v>2021</v>
      </c>
      <c r="D31">
        <f>'citations-it2-studies'!$H36</f>
        <v>21</v>
      </c>
      <c r="E31" t="s">
        <v>1398</v>
      </c>
      <c r="F31" s="10"/>
      <c r="G31" s="10" t="s">
        <v>51</v>
      </c>
      <c r="H31" s="10" t="s">
        <v>1397</v>
      </c>
      <c r="I31" s="10" t="s">
        <v>51</v>
      </c>
      <c r="J31" s="10" t="s">
        <v>51</v>
      </c>
      <c r="K31" s="10" t="s">
        <v>51</v>
      </c>
      <c r="L31" s="10" t="s">
        <v>51</v>
      </c>
      <c r="M31" s="10"/>
      <c r="N31" t="str">
        <f t="shared" si="5"/>
        <v>Exclude</v>
      </c>
      <c r="O31" t="s">
        <v>5681</v>
      </c>
    </row>
    <row r="32" spans="1:31">
      <c r="A32" t="s">
        <v>4274</v>
      </c>
      <c r="B32" s="39" t="str">
        <f>HYPERLINK('citations-it2-studies'!$D37,'citations-it2-studies'!$B37)</f>
        <v>Utilising unsupervised machine learning and IoT for cost-effective anomaly detection in multi-layer wire arc additive manufacturing</v>
      </c>
      <c r="C32">
        <f>'citations-it2-studies'!$C37</f>
        <v>2024</v>
      </c>
      <c r="D32">
        <f>'citations-it2-studies'!$H37</f>
        <v>18</v>
      </c>
      <c r="E32" t="s">
        <v>1398</v>
      </c>
      <c r="F32" s="9" t="s">
        <v>51</v>
      </c>
      <c r="G32" s="9" t="s">
        <v>51</v>
      </c>
      <c r="H32" s="9" t="s">
        <v>51</v>
      </c>
      <c r="I32" s="9" t="s">
        <v>51</v>
      </c>
      <c r="J32" s="9" t="s">
        <v>51</v>
      </c>
      <c r="K32" s="9" t="s">
        <v>51</v>
      </c>
      <c r="L32" s="9" t="s">
        <v>1397</v>
      </c>
      <c r="M32" s="9" t="s">
        <v>1397</v>
      </c>
      <c r="N32" t="str">
        <f t="shared" si="5"/>
        <v>Exclude</v>
      </c>
      <c r="O32" t="s">
        <v>5378</v>
      </c>
    </row>
    <row r="33" spans="1:15">
      <c r="A33" t="s">
        <v>4274</v>
      </c>
      <c r="B33" s="39" t="str">
        <f>HYPERLINK('citations-it2-studies'!$D38,'citations-it2-studies'!$B38)</f>
        <v>ICPS - Evaluation and Extension of OPC UA Publish/Subscribe MQTT Binding</v>
      </c>
      <c r="C33">
        <f>'citations-it2-studies'!$C38</f>
        <v>2020</v>
      </c>
      <c r="D33">
        <f>'citations-it2-studies'!$H38</f>
        <v>6</v>
      </c>
      <c r="E33" t="s">
        <v>1398</v>
      </c>
      <c r="F33" s="10"/>
      <c r="G33" s="10" t="s">
        <v>51</v>
      </c>
      <c r="H33" s="10" t="s">
        <v>51</v>
      </c>
      <c r="I33" s="10"/>
      <c r="J33" s="10" t="s">
        <v>51</v>
      </c>
      <c r="K33" s="10"/>
      <c r="L33" s="10" t="s">
        <v>1397</v>
      </c>
      <c r="M33" s="10"/>
      <c r="N33" t="str">
        <f t="shared" ref="N33:N69" si="6">IF(COUNTIF(F33:M33,"X")&gt;0,"Exclude",IF(UPPER(TRIM(E33))="O","Include",""))</f>
        <v>Exclude</v>
      </c>
      <c r="O33" t="s">
        <v>5378</v>
      </c>
    </row>
    <row r="34" spans="1:15">
      <c r="A34" t="s">
        <v>4274</v>
      </c>
      <c r="B34" s="39" t="str">
        <f>HYPERLINK('citations-it2-studies'!$D39,'citations-it2-studies'!$B39)</f>
        <v>Innovation Meets Accessibility in Melt Electrowriting 3D Printer Design: Continuous Process Monitoring and Automation via Modular Software and Hardware</v>
      </c>
      <c r="C34">
        <f>'citations-it2-studies'!$C39</f>
        <v>2026</v>
      </c>
      <c r="D34">
        <f>'citations-it2-studies'!$H39</f>
        <v>0</v>
      </c>
      <c r="E34" t="s">
        <v>1398</v>
      </c>
      <c r="F34" s="10" t="s">
        <v>51</v>
      </c>
      <c r="G34" s="10" t="s">
        <v>51</v>
      </c>
      <c r="H34" s="10" t="s">
        <v>51</v>
      </c>
      <c r="I34" s="10" t="s">
        <v>51</v>
      </c>
      <c r="J34" s="10" t="s">
        <v>51</v>
      </c>
      <c r="K34" s="10" t="s">
        <v>51</v>
      </c>
      <c r="L34" s="10" t="s">
        <v>1397</v>
      </c>
      <c r="M34" s="10" t="s">
        <v>1397</v>
      </c>
      <c r="N34" t="str">
        <f t="shared" si="6"/>
        <v>Exclude</v>
      </c>
      <c r="O34" t="s">
        <v>5378</v>
      </c>
    </row>
    <row r="35" spans="1:15">
      <c r="A35" t="s">
        <v>4274</v>
      </c>
      <c r="B35" s="39" t="str">
        <f>HYPERLINK('citations-it2-studies'!$D40,'citations-it2-studies'!$B40)</f>
        <v>ANT/EDI40 - An Investigation on Database Connections in OPC UA Applications</v>
      </c>
      <c r="C35">
        <f>'citations-it2-studies'!$C40</f>
        <v>2020</v>
      </c>
      <c r="D35">
        <f>'citations-it2-studies'!$H40</f>
        <v>8</v>
      </c>
      <c r="E35" t="s">
        <v>1398</v>
      </c>
      <c r="F35" s="9" t="s">
        <v>51</v>
      </c>
      <c r="G35" s="9" t="s">
        <v>51</v>
      </c>
      <c r="H35" s="9" t="s">
        <v>51</v>
      </c>
      <c r="I35" s="9" t="s">
        <v>51</v>
      </c>
      <c r="J35" s="9" t="s">
        <v>51</v>
      </c>
      <c r="K35" s="9" t="s">
        <v>51</v>
      </c>
      <c r="L35" s="9" t="s">
        <v>51</v>
      </c>
      <c r="M35" s="9" t="s">
        <v>1397</v>
      </c>
      <c r="N35" t="str">
        <f t="shared" si="6"/>
        <v>Exclude</v>
      </c>
      <c r="O35" t="s">
        <v>5379</v>
      </c>
    </row>
    <row r="36" spans="1:15">
      <c r="A36" t="s">
        <v>4274</v>
      </c>
      <c r="B36" s="39" t="str">
        <f>HYPERLINK('citations-it2-studies'!$D41,'citations-it2-studies'!$B41)</f>
        <v>A Generic Plug &amp; Produce System Composed of Semantic OPC UA Skills</v>
      </c>
      <c r="C36">
        <f>'citations-it2-studies'!$C41</f>
        <v>2021</v>
      </c>
      <c r="D36">
        <f>'citations-it2-studies'!$H41</f>
        <v>14</v>
      </c>
      <c r="E36" t="s">
        <v>1398</v>
      </c>
      <c r="F36" s="10" t="s">
        <v>51</v>
      </c>
      <c r="G36" s="10" t="s">
        <v>51</v>
      </c>
      <c r="H36" s="10" t="s">
        <v>51</v>
      </c>
      <c r="I36" s="10" t="s">
        <v>51</v>
      </c>
      <c r="J36" s="10" t="s">
        <v>51</v>
      </c>
      <c r="K36" s="10" t="s">
        <v>51</v>
      </c>
      <c r="L36" s="10" t="s">
        <v>51</v>
      </c>
      <c r="M36" s="10" t="s">
        <v>1397</v>
      </c>
      <c r="N36" t="str">
        <f t="shared" si="6"/>
        <v>Exclude</v>
      </c>
      <c r="O36" t="s">
        <v>5379</v>
      </c>
    </row>
    <row r="37" spans="1:15">
      <c r="A37" t="s">
        <v>4274</v>
      </c>
      <c r="B37" s="39" t="str">
        <f>HYPERLINK('citations-it2-studies'!$D42,'citations-it2-studies'!$B42)</f>
        <v>CASE - A Novel Architecture for Cyber-Physical Production Systems in Industry 4.0</v>
      </c>
      <c r="C37">
        <f>'citations-it2-studies'!$C42</f>
        <v>2021</v>
      </c>
      <c r="D37">
        <f>'citations-it2-studies'!$H42</f>
        <v>6</v>
      </c>
      <c r="E37" t="s">
        <v>1398</v>
      </c>
      <c r="F37" s="9" t="s">
        <v>51</v>
      </c>
      <c r="G37" s="9" t="s">
        <v>51</v>
      </c>
      <c r="H37" s="9" t="s">
        <v>51</v>
      </c>
      <c r="I37" s="9" t="s">
        <v>51</v>
      </c>
      <c r="J37" s="9" t="s">
        <v>51</v>
      </c>
      <c r="K37" s="9" t="s">
        <v>51</v>
      </c>
      <c r="L37" s="9" t="s">
        <v>1397</v>
      </c>
      <c r="M37" s="9" t="s">
        <v>1397</v>
      </c>
      <c r="N37" t="str">
        <f t="shared" si="6"/>
        <v>Exclude</v>
      </c>
      <c r="O37" t="s">
        <v>5378</v>
      </c>
    </row>
    <row r="38" spans="1:15">
      <c r="A38" t="s">
        <v>4274</v>
      </c>
      <c r="B38" s="39" t="str">
        <f>HYPERLINK('citations-it2-studies'!$D43,'citations-it2-studies'!$B43)</f>
        <v>A Service-Oriented Real-Time Communication Scheme for AUTOSAR Adaptive Using OPC UA and Time-Sensitive Networking.</v>
      </c>
      <c r="C38">
        <f>'citations-it2-studies'!$C43</f>
        <v>2021</v>
      </c>
      <c r="D38">
        <f>'citations-it2-studies'!$H43</f>
        <v>0</v>
      </c>
      <c r="E38" t="s">
        <v>1398</v>
      </c>
      <c r="F38" s="10" t="s">
        <v>51</v>
      </c>
      <c r="G38" s="10" t="s">
        <v>51</v>
      </c>
      <c r="H38" s="10" t="s">
        <v>51</v>
      </c>
      <c r="I38" s="10" t="s">
        <v>51</v>
      </c>
      <c r="J38" s="10" t="s">
        <v>51</v>
      </c>
      <c r="K38" s="10" t="s">
        <v>51</v>
      </c>
      <c r="L38" s="10" t="s">
        <v>51</v>
      </c>
      <c r="M38" s="10"/>
      <c r="N38" t="str">
        <f t="shared" si="6"/>
        <v>Include</v>
      </c>
      <c r="O38" t="s">
        <v>5381</v>
      </c>
    </row>
    <row r="39" spans="1:15">
      <c r="A39" t="s">
        <v>4274</v>
      </c>
      <c r="B39" s="39" t="str">
        <f>HYPERLINK('citations-it2-studies'!$D45,'citations-it2-studies'!$B45)</f>
        <v>REAM: A Framework for Resource Efficient Adaptive Monitoring of Community Spaces</v>
      </c>
      <c r="C39">
        <f>'citations-it2-studies'!$C45</f>
        <v>2021</v>
      </c>
      <c r="D39">
        <f>'citations-it2-studies'!$H45</f>
        <v>0</v>
      </c>
      <c r="E39" t="s">
        <v>1398</v>
      </c>
      <c r="F39" s="10" t="s">
        <v>51</v>
      </c>
      <c r="G39" s="10" t="s">
        <v>51</v>
      </c>
      <c r="H39" s="10" t="s">
        <v>51</v>
      </c>
      <c r="I39" s="10" t="s">
        <v>51</v>
      </c>
      <c r="J39" s="10" t="s">
        <v>51</v>
      </c>
      <c r="K39" s="10" t="s">
        <v>51</v>
      </c>
      <c r="L39" s="10" t="s">
        <v>1397</v>
      </c>
      <c r="M39" s="10" t="s">
        <v>1397</v>
      </c>
      <c r="N39" t="str">
        <f t="shared" si="6"/>
        <v>Exclude</v>
      </c>
      <c r="O39" t="s">
        <v>5378</v>
      </c>
    </row>
    <row r="40" spans="1:15">
      <c r="A40" t="s">
        <v>4274</v>
      </c>
      <c r="B40" s="39" t="str">
        <f>HYPERLINK('citations-it2-studies'!$D46,'citations-it2-studies'!$B46)</f>
        <v>ETFA - A generic Approach for the Industrial Application of Skill-based Engineering using OPC UA</v>
      </c>
      <c r="C40">
        <f>'citations-it2-studies'!$C46</f>
        <v>2020</v>
      </c>
      <c r="D40">
        <f>'citations-it2-studies'!$H46</f>
        <v>8</v>
      </c>
      <c r="E40" t="s">
        <v>1398</v>
      </c>
      <c r="F40" s="9" t="s">
        <v>51</v>
      </c>
      <c r="G40" s="9" t="s">
        <v>51</v>
      </c>
      <c r="H40" s="9" t="s">
        <v>51</v>
      </c>
      <c r="I40" s="9" t="s">
        <v>51</v>
      </c>
      <c r="J40" s="9" t="s">
        <v>51</v>
      </c>
      <c r="K40" s="9" t="s">
        <v>51</v>
      </c>
      <c r="L40" s="9" t="s">
        <v>51</v>
      </c>
      <c r="M40" s="9" t="s">
        <v>1397</v>
      </c>
      <c r="N40" t="str">
        <f t="shared" si="6"/>
        <v>Exclude</v>
      </c>
      <c r="O40" t="s">
        <v>5379</v>
      </c>
    </row>
    <row r="41" spans="1:15">
      <c r="A41" t="s">
        <v>4274</v>
      </c>
      <c r="B41" s="39" t="str">
        <f>HYPERLINK('citations-it2-studies'!$D47,'citations-it2-studies'!$B47)</f>
        <v>An OPC UA PubSub Implementation Approach for Memory-Constrained Sensor Devices</v>
      </c>
      <c r="C41">
        <f>'citations-it2-studies'!$C47</f>
        <v>2022</v>
      </c>
      <c r="D41">
        <f>'citations-it2-studies'!$H47</f>
        <v>7</v>
      </c>
      <c r="E41" t="s">
        <v>1398</v>
      </c>
      <c r="F41" s="9" t="s">
        <v>51</v>
      </c>
      <c r="G41" s="9" t="s">
        <v>51</v>
      </c>
      <c r="H41" s="9" t="s">
        <v>51</v>
      </c>
      <c r="I41" s="9" t="s">
        <v>51</v>
      </c>
      <c r="J41" s="9" t="s">
        <v>51</v>
      </c>
      <c r="K41" s="9" t="s">
        <v>51</v>
      </c>
      <c r="L41" s="9" t="s">
        <v>1397</v>
      </c>
      <c r="M41" s="9"/>
      <c r="N41" t="str">
        <f t="shared" si="6"/>
        <v>Exclude</v>
      </c>
      <c r="O41" t="s">
        <v>5386</v>
      </c>
    </row>
    <row r="42" spans="1:15">
      <c r="A42" t="s">
        <v>4274</v>
      </c>
      <c r="B42" s="39" t="str">
        <f>HYPERLINK('citations-it2-studies'!$D49,'citations-it2-studies'!$B49)</f>
        <v>Fiber-Optic Sensing Technologies for Underground Pipeline Monitoring</v>
      </c>
      <c r="C42">
        <f>'citations-it2-studies'!$C49</f>
        <v>2025</v>
      </c>
      <c r="D42">
        <f>'citations-it2-studies'!$H49</f>
        <v>17</v>
      </c>
      <c r="E42" t="s">
        <v>1398</v>
      </c>
      <c r="F42" s="10" t="s">
        <v>51</v>
      </c>
      <c r="G42" s="10" t="s">
        <v>51</v>
      </c>
      <c r="H42" s="10" t="s">
        <v>51</v>
      </c>
      <c r="I42" s="10" t="s">
        <v>51</v>
      </c>
      <c r="J42" s="10" t="s">
        <v>51</v>
      </c>
      <c r="K42" s="10" t="s">
        <v>51</v>
      </c>
      <c r="L42" s="10" t="s">
        <v>1397</v>
      </c>
      <c r="M42" s="10" t="s">
        <v>1397</v>
      </c>
      <c r="N42" t="str">
        <f t="shared" si="6"/>
        <v>Exclude</v>
      </c>
      <c r="O42" t="s">
        <v>5378</v>
      </c>
    </row>
    <row r="43" spans="1:15">
      <c r="A43" t="s">
        <v>4274</v>
      </c>
      <c r="B43" s="39" t="str">
        <f>HYPERLINK('citations-it2-studies'!$D50,'citations-it2-studies'!$B50)</f>
        <v>ICSA - Towards Resilient IoT Messaging: An Experience Report Analyzing MQTT Brokers</v>
      </c>
      <c r="C43">
        <f>'citations-it2-studies'!$C50</f>
        <v>2021</v>
      </c>
      <c r="D43">
        <f>'citations-it2-studies'!$H50</f>
        <v>11</v>
      </c>
      <c r="E43" t="s">
        <v>1398</v>
      </c>
      <c r="F43" s="9" t="s">
        <v>51</v>
      </c>
      <c r="G43" s="9" t="s">
        <v>51</v>
      </c>
      <c r="H43" s="9" t="s">
        <v>1397</v>
      </c>
      <c r="I43" s="9" t="s">
        <v>51</v>
      </c>
      <c r="J43" s="9" t="s">
        <v>51</v>
      </c>
      <c r="K43" s="9" t="s">
        <v>51</v>
      </c>
      <c r="L43" s="9" t="s">
        <v>51</v>
      </c>
      <c r="M43" s="9"/>
      <c r="N43" t="str">
        <f t="shared" si="6"/>
        <v>Exclude</v>
      </c>
      <c r="O43" t="s">
        <v>5384</v>
      </c>
    </row>
    <row r="44" spans="1:15">
      <c r="A44" t="s">
        <v>4274</v>
      </c>
      <c r="B44" s="39" t="str">
        <f>HYPERLINK('citations-it2-studies'!$D51,'citations-it2-studies'!$B51)</f>
        <v>Plant-wide interoperability and decoupled, data-driven process control with message bus communication</v>
      </c>
      <c r="C44">
        <f>'citations-it2-studies'!$C51</f>
        <v>2022</v>
      </c>
      <c r="D44">
        <f>'citations-it2-studies'!$H51</f>
        <v>0</v>
      </c>
      <c r="E44" t="s">
        <v>1398</v>
      </c>
      <c r="F44" s="9" t="s">
        <v>51</v>
      </c>
      <c r="G44" s="9" t="s">
        <v>51</v>
      </c>
      <c r="H44" s="9" t="s">
        <v>51</v>
      </c>
      <c r="I44" s="9" t="s">
        <v>51</v>
      </c>
      <c r="J44" s="9" t="s">
        <v>51</v>
      </c>
      <c r="K44" s="9" t="s">
        <v>51</v>
      </c>
      <c r="L44" s="9" t="s">
        <v>1397</v>
      </c>
      <c r="M44" s="9" t="s">
        <v>1397</v>
      </c>
      <c r="N44" t="str">
        <f t="shared" si="6"/>
        <v>Exclude</v>
      </c>
      <c r="O44" t="s">
        <v>5378</v>
      </c>
    </row>
    <row r="45" spans="1:15">
      <c r="A45" t="s">
        <v>4274</v>
      </c>
      <c r="B45" s="39" t="str">
        <f>HYPERLINK('citations-it2-studies'!$D52,'citations-it2-studies'!$B52)</f>
        <v>Hyperconnected Architecture for High Cognitive Production Plants</v>
      </c>
      <c r="C45">
        <f>'citations-it2-studies'!$C52</f>
        <v>2021</v>
      </c>
      <c r="D45">
        <f>'citations-it2-studies'!$H52</f>
        <v>6</v>
      </c>
      <c r="E45" t="s">
        <v>1398</v>
      </c>
      <c r="F45" s="10" t="s">
        <v>51</v>
      </c>
      <c r="G45" s="10" t="s">
        <v>51</v>
      </c>
      <c r="H45" s="10" t="s">
        <v>51</v>
      </c>
      <c r="I45" s="10" t="s">
        <v>51</v>
      </c>
      <c r="J45" s="10" t="s">
        <v>51</v>
      </c>
      <c r="K45" s="10" t="s">
        <v>51</v>
      </c>
      <c r="L45" s="10" t="s">
        <v>1397</v>
      </c>
      <c r="M45" s="10" t="s">
        <v>1397</v>
      </c>
      <c r="N45" t="str">
        <f t="shared" si="6"/>
        <v>Exclude</v>
      </c>
      <c r="O45" t="s">
        <v>5378</v>
      </c>
    </row>
    <row r="46" spans="1:15">
      <c r="A46" t="s">
        <v>4274</v>
      </c>
      <c r="B46" s="39" t="str">
        <f>HYPERLINK('citations-it2-studies'!$D53,'citations-it2-studies'!$B53)</f>
        <v>Review Literature Performance: Quality of Service from Internet of Things for Transportation System</v>
      </c>
      <c r="C46">
        <f>'citations-it2-studies'!$C53</f>
        <v>2021</v>
      </c>
      <c r="D46">
        <f>'citations-it2-studies'!$H53</f>
        <v>7</v>
      </c>
      <c r="E46" t="s">
        <v>1398</v>
      </c>
      <c r="F46" s="9" t="s">
        <v>51</v>
      </c>
      <c r="G46" s="9" t="s">
        <v>51</v>
      </c>
      <c r="H46" s="9" t="s">
        <v>51</v>
      </c>
      <c r="I46" s="9" t="s">
        <v>51</v>
      </c>
      <c r="J46" s="9" t="s">
        <v>1397</v>
      </c>
      <c r="K46" s="9" t="s">
        <v>51</v>
      </c>
      <c r="L46" s="9" t="s">
        <v>51</v>
      </c>
      <c r="M46" s="9" t="s">
        <v>1397</v>
      </c>
      <c r="N46" t="str">
        <f t="shared" si="6"/>
        <v>Exclude</v>
      </c>
      <c r="O46" t="s">
        <v>5382</v>
      </c>
    </row>
    <row r="47" spans="1:15">
      <c r="A47" t="s">
        <v>4274</v>
      </c>
      <c r="B47" s="39" t="str">
        <f>HYPERLINK('citations-it2-studies'!$D54,'citations-it2-studies'!$B54)</f>
        <v>ETFA - Assessing Long Distance Communication Alternatives for the Remote Control of AGVs</v>
      </c>
      <c r="C47">
        <f>'citations-it2-studies'!$C54</f>
        <v>2020</v>
      </c>
      <c r="D47">
        <f>'citations-it2-studies'!$H54</f>
        <v>8</v>
      </c>
      <c r="E47" t="s">
        <v>1398</v>
      </c>
      <c r="F47" s="10" t="s">
        <v>51</v>
      </c>
      <c r="G47" s="10" t="s">
        <v>51</v>
      </c>
      <c r="H47" s="10" t="s">
        <v>51</v>
      </c>
      <c r="I47" s="10" t="s">
        <v>51</v>
      </c>
      <c r="J47" s="10" t="s">
        <v>51</v>
      </c>
      <c r="K47" s="10" t="s">
        <v>51</v>
      </c>
      <c r="L47" s="10" t="s">
        <v>1397</v>
      </c>
      <c r="M47" s="10" t="s">
        <v>1397</v>
      </c>
      <c r="N47" t="str">
        <f t="shared" si="6"/>
        <v>Exclude</v>
      </c>
      <c r="O47" t="s">
        <v>5378</v>
      </c>
    </row>
    <row r="48" spans="1:15">
      <c r="A48" t="s">
        <v>4274</v>
      </c>
      <c r="B48" s="39" t="str">
        <f>HYPERLINK('citations-it2-studies'!$D55,'citations-it2-studies'!$B55)</f>
        <v>AdaEdge: A Dynamic Compression Selection Framework for Resource Constrained Devices</v>
      </c>
      <c r="C48">
        <f>'citations-it2-studies'!$C55</f>
        <v>2024</v>
      </c>
      <c r="D48">
        <f>'citations-it2-studies'!$H55</f>
        <v>14</v>
      </c>
      <c r="E48" t="s">
        <v>1398</v>
      </c>
      <c r="F48" s="9" t="s">
        <v>51</v>
      </c>
      <c r="G48" s="9" t="s">
        <v>51</v>
      </c>
      <c r="H48" s="9" t="s">
        <v>51</v>
      </c>
      <c r="I48" s="9" t="s">
        <v>51</v>
      </c>
      <c r="J48" s="9" t="s">
        <v>51</v>
      </c>
      <c r="K48" s="9" t="s">
        <v>51</v>
      </c>
      <c r="L48" s="9" t="s">
        <v>1397</v>
      </c>
      <c r="M48" s="9" t="s">
        <v>1397</v>
      </c>
      <c r="N48" t="str">
        <f t="shared" si="6"/>
        <v>Exclude</v>
      </c>
      <c r="O48" t="s">
        <v>5378</v>
      </c>
    </row>
    <row r="49" spans="1:15">
      <c r="A49" t="s">
        <v>4274</v>
      </c>
      <c r="B49" s="39" t="str">
        <f>HYPERLINK('citations-it2-studies'!$D56,'citations-it2-studies'!$B56)</f>
        <v>IOT Companion - AI Approaches to Optimize Human-Machine Collaboration in Manufacturing Facilities with IoT-Ready Machinery</v>
      </c>
      <c r="C49">
        <f>'citations-it2-studies'!$C56</f>
        <v>2020</v>
      </c>
      <c r="D49">
        <f>'citations-it2-studies'!$H56</f>
        <v>5</v>
      </c>
      <c r="E49" t="s">
        <v>1398</v>
      </c>
      <c r="F49" s="10" t="s">
        <v>51</v>
      </c>
      <c r="G49" s="10" t="s">
        <v>51</v>
      </c>
      <c r="H49" s="10" t="s">
        <v>51</v>
      </c>
      <c r="I49" s="10" t="s">
        <v>51</v>
      </c>
      <c r="J49" s="10" t="s">
        <v>51</v>
      </c>
      <c r="K49" s="10" t="s">
        <v>51</v>
      </c>
      <c r="L49" s="10" t="s">
        <v>1397</v>
      </c>
      <c r="M49" s="10" t="s">
        <v>1397</v>
      </c>
      <c r="N49" t="str">
        <f t="shared" si="6"/>
        <v>Exclude</v>
      </c>
      <c r="O49" t="s">
        <v>5378</v>
      </c>
    </row>
    <row r="50" spans="1:15">
      <c r="A50" t="s">
        <v>4274</v>
      </c>
      <c r="B50" s="39" t="str">
        <f>HYPERLINK('citations-it2-studies'!$D57,'citations-it2-studies'!$B57)</f>
        <v>Recent Development Techniques on Digital Twins for Manufacturing: State of the Art</v>
      </c>
      <c r="C50">
        <f>'citations-it2-studies'!$C57</f>
        <v>2022</v>
      </c>
      <c r="D50">
        <f>'citations-it2-studies'!$H57</f>
        <v>6</v>
      </c>
      <c r="E50" t="s">
        <v>1398</v>
      </c>
      <c r="F50" s="9" t="s">
        <v>51</v>
      </c>
      <c r="G50" s="9" t="s">
        <v>51</v>
      </c>
      <c r="H50" s="9" t="s">
        <v>51</v>
      </c>
      <c r="I50" s="9" t="s">
        <v>51</v>
      </c>
      <c r="J50" s="9" t="s">
        <v>1397</v>
      </c>
      <c r="K50" s="9" t="s">
        <v>51</v>
      </c>
      <c r="L50" s="9" t="s">
        <v>51</v>
      </c>
      <c r="M50" s="9" t="s">
        <v>1397</v>
      </c>
      <c r="N50" t="str">
        <f t="shared" si="6"/>
        <v>Exclude</v>
      </c>
      <c r="O50" t="s">
        <v>5382</v>
      </c>
    </row>
    <row r="51" spans="1:15">
      <c r="A51" t="s">
        <v>4274</v>
      </c>
      <c r="B51" s="39" t="str">
        <f>HYPERLINK('citations-it2-studies'!$D58,'citations-it2-studies'!$B58)</f>
        <v>Level of automation (LOA) in aerospace composite manufacturing: Present status and future directions towards industry 4.0</v>
      </c>
      <c r="C51">
        <f>'citations-it2-studies'!$C58</f>
        <v>2022</v>
      </c>
      <c r="D51">
        <f>'citations-it2-studies'!$H58</f>
        <v>18</v>
      </c>
      <c r="E51" t="s">
        <v>1398</v>
      </c>
      <c r="F51" s="10" t="s">
        <v>51</v>
      </c>
      <c r="G51" s="10" t="s">
        <v>51</v>
      </c>
      <c r="H51" s="10" t="s">
        <v>51</v>
      </c>
      <c r="I51" s="10" t="s">
        <v>51</v>
      </c>
      <c r="J51" s="10" t="s">
        <v>51</v>
      </c>
      <c r="K51" s="10" t="s">
        <v>51</v>
      </c>
      <c r="L51" s="10" t="s">
        <v>1397</v>
      </c>
      <c r="M51" s="10" t="s">
        <v>1397</v>
      </c>
      <c r="N51" t="str">
        <f t="shared" si="6"/>
        <v>Exclude</v>
      </c>
      <c r="O51" t="s">
        <v>5378</v>
      </c>
    </row>
    <row r="52" spans="1:15">
      <c r="A52" t="s">
        <v>4274</v>
      </c>
      <c r="B52" s="39" t="str">
        <f>HYPERLINK('citations-it2-studies'!$D59,'citations-it2-studies'!$B59)</f>
        <v>Towards Wireless ADAS - Retrofitting IoT for Increased Safety</v>
      </c>
      <c r="C52">
        <f>'citations-it2-studies'!$C59</f>
        <v>2019</v>
      </c>
      <c r="D52">
        <f>'citations-it2-studies'!$H59</f>
        <v>0</v>
      </c>
      <c r="E52" t="s">
        <v>1398</v>
      </c>
      <c r="F52" s="10" t="s">
        <v>51</v>
      </c>
      <c r="G52" s="10" t="s">
        <v>51</v>
      </c>
      <c r="H52" s="10" t="s">
        <v>51</v>
      </c>
      <c r="I52" s="10" t="s">
        <v>51</v>
      </c>
      <c r="J52" s="10" t="s">
        <v>51</v>
      </c>
      <c r="K52" s="10" t="s">
        <v>51</v>
      </c>
      <c r="L52" s="10" t="s">
        <v>1397</v>
      </c>
      <c r="M52" s="10" t="s">
        <v>1397</v>
      </c>
      <c r="N52" t="str">
        <f t="shared" si="6"/>
        <v>Exclude</v>
      </c>
      <c r="O52" t="s">
        <v>5378</v>
      </c>
    </row>
    <row r="53" spans="1:15">
      <c r="A53" t="s">
        <v>4274</v>
      </c>
      <c r="B53" s="39" t="str">
        <f>HYPERLINK('citations-it2-studies'!$D60,'citations-it2-studies'!$B60)</f>
        <v>ECSA - Dynamic Updates of Virtual PLCs Deployed as Kubernetes Microservices</v>
      </c>
      <c r="C53">
        <f>'citations-it2-studies'!$C60</f>
        <v>2021</v>
      </c>
      <c r="D53">
        <f>'citations-it2-studies'!$H60</f>
        <v>17</v>
      </c>
      <c r="E53" t="s">
        <v>1398</v>
      </c>
      <c r="F53" s="9" t="s">
        <v>51</v>
      </c>
      <c r="G53" s="9" t="s">
        <v>51</v>
      </c>
      <c r="H53" s="9" t="s">
        <v>51</v>
      </c>
      <c r="I53" s="9" t="s">
        <v>51</v>
      </c>
      <c r="J53" s="9" t="s">
        <v>51</v>
      </c>
      <c r="K53" s="9" t="s">
        <v>51</v>
      </c>
      <c r="L53" s="9" t="s">
        <v>1397</v>
      </c>
      <c r="M53" s="9" t="s">
        <v>1397</v>
      </c>
      <c r="N53" t="str">
        <f t="shared" si="6"/>
        <v>Exclude</v>
      </c>
      <c r="O53" t="s">
        <v>5378</v>
      </c>
    </row>
    <row r="54" spans="1:15">
      <c r="A54" t="s">
        <v>4274</v>
      </c>
      <c r="B54" s="39" t="str">
        <f>HYPERLINK('citations-it2-studies'!$D61,'citations-it2-studies'!$B61)</f>
        <v>Industrial Messaging Middleware: Standards and Performance Evaluation</v>
      </c>
      <c r="C54">
        <f>'citations-it2-studies'!$C61</f>
        <v>2020</v>
      </c>
      <c r="D54">
        <f>'citations-it2-studies'!$H61</f>
        <v>6</v>
      </c>
      <c r="E54" t="s">
        <v>1398</v>
      </c>
      <c r="F54" s="10" t="s">
        <v>51</v>
      </c>
      <c r="G54" s="10" t="s">
        <v>51</v>
      </c>
      <c r="H54" s="10" t="s">
        <v>51</v>
      </c>
      <c r="I54" s="10" t="s">
        <v>51</v>
      </c>
      <c r="J54" s="10" t="s">
        <v>51</v>
      </c>
      <c r="K54" s="10" t="s">
        <v>51</v>
      </c>
      <c r="L54" s="10" t="s">
        <v>51</v>
      </c>
      <c r="M54" s="10"/>
      <c r="N54" t="str">
        <f t="shared" si="6"/>
        <v>Include</v>
      </c>
      <c r="O54" t="s">
        <v>5387</v>
      </c>
    </row>
    <row r="55" spans="1:15">
      <c r="A55" t="s">
        <v>4274</v>
      </c>
      <c r="B55" s="39" t="str">
        <f>HYPERLINK('citations-it2-studies'!$D62,'citations-it2-studies'!$B62)</f>
        <v>Hardware Implementation of an OPC UA Server for Industrial Field Devices</v>
      </c>
      <c r="C55">
        <f>'citations-it2-studies'!$C62</f>
        <v>2021</v>
      </c>
      <c r="D55">
        <f>'citations-it2-studies'!$H62</f>
        <v>5</v>
      </c>
      <c r="E55" t="s">
        <v>1398</v>
      </c>
      <c r="F55" s="10" t="s">
        <v>51</v>
      </c>
      <c r="G55" s="10" t="s">
        <v>51</v>
      </c>
      <c r="H55" s="10" t="s">
        <v>51</v>
      </c>
      <c r="I55" s="10" t="s">
        <v>51</v>
      </c>
      <c r="J55" s="10" t="s">
        <v>51</v>
      </c>
      <c r="K55" s="10" t="s">
        <v>51</v>
      </c>
      <c r="L55" s="10" t="s">
        <v>51</v>
      </c>
      <c r="M55" s="10"/>
      <c r="N55" t="str">
        <f t="shared" si="6"/>
        <v>Include</v>
      </c>
      <c r="O55" t="s">
        <v>5381</v>
      </c>
    </row>
    <row r="56" spans="1:15">
      <c r="A56" t="s">
        <v>4274</v>
      </c>
      <c r="B56" s="39" t="str">
        <f>HYPERLINK('citations-it2-studies'!$D64,'citations-it2-studies'!$B64)</f>
        <v>ECSA - A Comparison of MQTT Brokers for Distributed IoT Edge Computing</v>
      </c>
      <c r="C56">
        <f>'citations-it2-studies'!$C64</f>
        <v>2020</v>
      </c>
      <c r="D56">
        <f>'citations-it2-studies'!$H64</f>
        <v>17</v>
      </c>
      <c r="E56" t="s">
        <v>1398</v>
      </c>
      <c r="F56" s="10" t="s">
        <v>51</v>
      </c>
      <c r="G56" s="10" t="s">
        <v>51</v>
      </c>
      <c r="H56" s="10" t="s">
        <v>51</v>
      </c>
      <c r="I56" s="10" t="s">
        <v>51</v>
      </c>
      <c r="J56" s="10" t="s">
        <v>51</v>
      </c>
      <c r="K56" s="10" t="s">
        <v>51</v>
      </c>
      <c r="L56" s="10" t="s">
        <v>51</v>
      </c>
      <c r="M56" s="10"/>
      <c r="N56" t="str">
        <f t="shared" si="6"/>
        <v>Include</v>
      </c>
      <c r="O56" t="s">
        <v>5388</v>
      </c>
    </row>
    <row r="57" spans="1:15">
      <c r="A57" t="s">
        <v>4274</v>
      </c>
      <c r="B57" s="39" t="str">
        <f>HYPERLINK('citations-it2-studies'!$D65,'citations-it2-studies'!$B65)</f>
        <v>Exoskeletons Towards Industrie 4.0: Benefits and Challenges of the IoT Communication Architecture</v>
      </c>
      <c r="C57">
        <f>'citations-it2-studies'!$C65</f>
        <v>2020</v>
      </c>
      <c r="D57">
        <f>'citations-it2-studies'!$H65</f>
        <v>8</v>
      </c>
      <c r="E57" t="s">
        <v>1398</v>
      </c>
      <c r="F57" s="9" t="s">
        <v>51</v>
      </c>
      <c r="G57" s="9" t="s">
        <v>51</v>
      </c>
      <c r="H57" s="9" t="s">
        <v>51</v>
      </c>
      <c r="I57" s="9" t="s">
        <v>51</v>
      </c>
      <c r="J57" s="9" t="s">
        <v>51</v>
      </c>
      <c r="K57" s="9" t="s">
        <v>51</v>
      </c>
      <c r="L57" s="9" t="s">
        <v>1397</v>
      </c>
      <c r="M57" s="9" t="s">
        <v>1397</v>
      </c>
      <c r="N57" t="str">
        <f t="shared" si="6"/>
        <v>Exclude</v>
      </c>
      <c r="O57" t="s">
        <v>5378</v>
      </c>
    </row>
    <row r="58" spans="1:15">
      <c r="A58" t="s">
        <v>4274</v>
      </c>
      <c r="B58" s="39" t="str">
        <f>HYPERLINK('citations-it2-studies'!$D67,'citations-it2-studies'!$B67)</f>
        <v>ICCCI (2) - Some Solutions for Improving OPC UA Performance</v>
      </c>
      <c r="C58">
        <f>'citations-it2-studies'!$C67</f>
        <v>2019</v>
      </c>
      <c r="D58">
        <f>'citations-it2-studies'!$H67</f>
        <v>10</v>
      </c>
      <c r="E58" t="s">
        <v>1398</v>
      </c>
      <c r="F58" s="10"/>
      <c r="G58" s="10" t="s">
        <v>51</v>
      </c>
      <c r="H58" s="10" t="s">
        <v>51</v>
      </c>
      <c r="I58" s="10" t="s">
        <v>51</v>
      </c>
      <c r="J58" s="10" t="s">
        <v>51</v>
      </c>
      <c r="K58" s="10" t="s">
        <v>51</v>
      </c>
      <c r="L58" s="10" t="s">
        <v>1397</v>
      </c>
      <c r="M58" s="10"/>
      <c r="N58" t="str">
        <f t="shared" si="6"/>
        <v>Exclude</v>
      </c>
      <c r="O58" t="s">
        <v>5389</v>
      </c>
    </row>
    <row r="59" spans="1:15">
      <c r="A59" t="s">
        <v>4274</v>
      </c>
      <c r="B59" s="39" t="str">
        <f>HYPERLINK('citations-it2-studies'!$D68,'citations-it2-studies'!$B68)</f>
        <v>Challenges of modeling and analysis in cybermanufacturing: a review from a machine learning and computation perspective.</v>
      </c>
      <c r="C59">
        <f>'citations-it2-studies'!$C68</f>
        <v>2021</v>
      </c>
      <c r="D59">
        <f>'citations-it2-studies'!$H68</f>
        <v>14</v>
      </c>
      <c r="E59" t="s">
        <v>1398</v>
      </c>
      <c r="F59" s="10" t="s">
        <v>51</v>
      </c>
      <c r="G59" s="10" t="s">
        <v>51</v>
      </c>
      <c r="H59" s="10" t="s">
        <v>51</v>
      </c>
      <c r="I59" s="10"/>
      <c r="J59" s="10" t="s">
        <v>1397</v>
      </c>
      <c r="K59" s="10" t="s">
        <v>51</v>
      </c>
      <c r="L59" s="10" t="s">
        <v>51</v>
      </c>
      <c r="M59" s="10" t="s">
        <v>1397</v>
      </c>
      <c r="N59" t="str">
        <f t="shared" si="6"/>
        <v>Exclude</v>
      </c>
      <c r="O59" t="s">
        <v>5382</v>
      </c>
    </row>
    <row r="60" spans="1:15">
      <c r="A60" t="s">
        <v>4274</v>
      </c>
      <c r="B60" s="39" t="str">
        <f>HYPERLINK('citations-it2-studies'!$D69,'citations-it2-studies'!$B69)</f>
        <v>»Relationships are Key« A Semantic Relationship Awareness Framework for Operational Technology Monitoring</v>
      </c>
      <c r="C60">
        <f>'citations-it2-studies'!$C69</f>
        <v>2024</v>
      </c>
      <c r="D60">
        <f>'citations-it2-studies'!$H69</f>
        <v>0</v>
      </c>
      <c r="E60" t="s">
        <v>1398</v>
      </c>
      <c r="F60" s="10" t="s">
        <v>51</v>
      </c>
      <c r="G60" s="10" t="s">
        <v>51</v>
      </c>
      <c r="H60" s="10" t="s">
        <v>51</v>
      </c>
      <c r="I60" s="10" t="s">
        <v>51</v>
      </c>
      <c r="J60" s="10" t="s">
        <v>51</v>
      </c>
      <c r="K60" s="10" t="s">
        <v>51</v>
      </c>
      <c r="L60" s="10" t="s">
        <v>1397</v>
      </c>
      <c r="M60" s="10" t="s">
        <v>1397</v>
      </c>
      <c r="N60" t="str">
        <f t="shared" si="6"/>
        <v>Exclude</v>
      </c>
      <c r="O60" t="s">
        <v>5378</v>
      </c>
    </row>
    <row r="61" spans="1:15">
      <c r="A61" t="s">
        <v>4274</v>
      </c>
      <c r="B61" s="39" t="str">
        <f>HYPERLINK('citations-it2-studies'!$D71,'citations-it2-studies'!$B71)</f>
        <v>Towards a scalable implementation of digital twins - A generic method to acquire shopfloor data</v>
      </c>
      <c r="C61">
        <f>'citations-it2-studies'!$C71</f>
        <v>2021</v>
      </c>
      <c r="D61">
        <f>'citations-it2-studies'!$H71</f>
        <v>6</v>
      </c>
      <c r="E61" t="s">
        <v>1398</v>
      </c>
      <c r="F61" s="10" t="s">
        <v>51</v>
      </c>
      <c r="G61" s="10" t="s">
        <v>51</v>
      </c>
      <c r="H61" s="10" t="s">
        <v>51</v>
      </c>
      <c r="I61" s="10" t="s">
        <v>51</v>
      </c>
      <c r="J61" s="10" t="s">
        <v>51</v>
      </c>
      <c r="K61" s="10" t="s">
        <v>51</v>
      </c>
      <c r="L61" s="10" t="s">
        <v>1397</v>
      </c>
      <c r="M61" s="10" t="s">
        <v>1397</v>
      </c>
      <c r="N61" t="str">
        <f t="shared" si="6"/>
        <v>Exclude</v>
      </c>
      <c r="O61" t="s">
        <v>5378</v>
      </c>
    </row>
    <row r="62" spans="1:15">
      <c r="A62" t="s">
        <v>4274</v>
      </c>
      <c r="B62" s="39" t="str">
        <f>HYPERLINK('citations-it2-studies'!$D72,'citations-it2-studies'!$B72)</f>
        <v>Automated industrial IoT‐device integration using the OpenPnP reference architecture</v>
      </c>
      <c r="C62">
        <f>'citations-it2-studies'!$C72</f>
        <v>2019</v>
      </c>
      <c r="D62">
        <f>'citations-it2-studies'!$H72</f>
        <v>29</v>
      </c>
      <c r="E62" t="s">
        <v>1398</v>
      </c>
      <c r="F62" s="10" t="s">
        <v>51</v>
      </c>
      <c r="G62" s="10" t="s">
        <v>51</v>
      </c>
      <c r="H62" s="10" t="s">
        <v>51</v>
      </c>
      <c r="I62" s="10" t="s">
        <v>51</v>
      </c>
      <c r="J62" s="10" t="s">
        <v>51</v>
      </c>
      <c r="K62" s="10" t="s">
        <v>51</v>
      </c>
      <c r="L62" s="10" t="s">
        <v>1397</v>
      </c>
      <c r="M62" s="10" t="s">
        <v>1397</v>
      </c>
      <c r="N62" t="str">
        <f t="shared" si="6"/>
        <v>Exclude</v>
      </c>
      <c r="O62" t="s">
        <v>5378</v>
      </c>
    </row>
    <row r="63" spans="1:15">
      <c r="A63" t="s">
        <v>4274</v>
      </c>
      <c r="B63" s="39" t="str">
        <f>HYPERLINK('citations-it2-studies'!$D73,'citations-it2-studies'!$B73)</f>
        <v>Towards Automating Semantic Relationship Awareness in Operational Technology Monitoring</v>
      </c>
      <c r="C63">
        <f>'citations-it2-studies'!$C73</f>
        <v>2023</v>
      </c>
      <c r="D63">
        <f>'citations-it2-studies'!$H73</f>
        <v>11</v>
      </c>
      <c r="E63" t="s">
        <v>1398</v>
      </c>
      <c r="F63" s="10" t="s">
        <v>51</v>
      </c>
      <c r="G63" s="10" t="s">
        <v>51</v>
      </c>
      <c r="H63" s="10" t="s">
        <v>51</v>
      </c>
      <c r="I63" s="10" t="s">
        <v>51</v>
      </c>
      <c r="J63" s="10" t="s">
        <v>51</v>
      </c>
      <c r="K63" s="10" t="s">
        <v>51</v>
      </c>
      <c r="L63" s="10" t="s">
        <v>1397</v>
      </c>
      <c r="M63" s="10" t="s">
        <v>1397</v>
      </c>
      <c r="N63" t="str">
        <f t="shared" si="6"/>
        <v>Exclude</v>
      </c>
      <c r="O63" t="s">
        <v>5378</v>
      </c>
    </row>
    <row r="64" spans="1:15">
      <c r="A64" t="s">
        <v>4274</v>
      </c>
      <c r="B64" s="39" t="str">
        <f>HYPERLINK('citations-it2-studies'!$D74,'citations-it2-studies'!$B74)</f>
        <v>Universal energy information model for industrial communication</v>
      </c>
      <c r="C64">
        <f>'citations-it2-studies'!$C74</f>
        <v>2022</v>
      </c>
      <c r="D64">
        <f>'citations-it2-studies'!$H74</f>
        <v>8</v>
      </c>
      <c r="E64" t="s">
        <v>1398</v>
      </c>
      <c r="F64" s="9" t="s">
        <v>51</v>
      </c>
      <c r="G64" s="9" t="s">
        <v>51</v>
      </c>
      <c r="H64" s="9" t="s">
        <v>51</v>
      </c>
      <c r="I64" s="9" t="s">
        <v>51</v>
      </c>
      <c r="J64" s="9" t="s">
        <v>51</v>
      </c>
      <c r="K64" s="9" t="s">
        <v>51</v>
      </c>
      <c r="L64" s="9" t="s">
        <v>1397</v>
      </c>
      <c r="M64" s="9" t="s">
        <v>1397</v>
      </c>
      <c r="N64" t="str">
        <f t="shared" si="6"/>
        <v>Exclude</v>
      </c>
      <c r="O64" t="s">
        <v>5378</v>
      </c>
    </row>
    <row r="65" spans="1:15">
      <c r="A65" t="s">
        <v>4274</v>
      </c>
      <c r="B65" s="39" t="str">
        <f>HYPERLINK('citations-it2-studies'!$D75,'citations-it2-studies'!$B75)</f>
        <v>Novel Deep Packet Compression For Industrial Internet of Things</v>
      </c>
      <c r="C65">
        <f>'citations-it2-studies'!$C75</f>
        <v>2022</v>
      </c>
      <c r="D65">
        <f>'citations-it2-studies'!$H75</f>
        <v>6</v>
      </c>
      <c r="E65" t="s">
        <v>1398</v>
      </c>
      <c r="F65" s="9" t="s">
        <v>51</v>
      </c>
      <c r="G65" s="9" t="s">
        <v>51</v>
      </c>
      <c r="H65" s="9" t="s">
        <v>51</v>
      </c>
      <c r="I65" s="9" t="s">
        <v>51</v>
      </c>
      <c r="J65" s="9" t="s">
        <v>51</v>
      </c>
      <c r="K65" s="9" t="s">
        <v>51</v>
      </c>
      <c r="L65" s="9" t="s">
        <v>1397</v>
      </c>
      <c r="M65" s="9" t="s">
        <v>1397</v>
      </c>
      <c r="N65" t="str">
        <f t="shared" si="6"/>
        <v>Exclude</v>
      </c>
      <c r="O65" t="s">
        <v>5378</v>
      </c>
    </row>
    <row r="66" spans="1:15">
      <c r="A66" t="s">
        <v>4274</v>
      </c>
      <c r="B66" s="39" t="str">
        <f>HYPERLINK('citations-it2-studies'!$D76,'citations-it2-studies'!$B76)</f>
        <v>Machine OEE Monitoring and Analysis for a Complex Manufacturing Environment</v>
      </c>
      <c r="C66">
        <f>'citations-it2-studies'!$C76</f>
        <v>2020</v>
      </c>
      <c r="D66">
        <f>'citations-it2-studies'!$H76</f>
        <v>6</v>
      </c>
      <c r="E66" t="s">
        <v>1398</v>
      </c>
      <c r="F66" s="10" t="s">
        <v>51</v>
      </c>
      <c r="G66" s="10" t="s">
        <v>51</v>
      </c>
      <c r="H66" s="10" t="s">
        <v>51</v>
      </c>
      <c r="I66" s="10" t="s">
        <v>51</v>
      </c>
      <c r="J66" s="10" t="s">
        <v>51</v>
      </c>
      <c r="K66" s="10" t="s">
        <v>51</v>
      </c>
      <c r="L66" s="10" t="s">
        <v>1397</v>
      </c>
      <c r="M66" s="10" t="s">
        <v>1397</v>
      </c>
      <c r="N66" t="str">
        <f t="shared" si="6"/>
        <v>Exclude</v>
      </c>
      <c r="O66" t="s">
        <v>5378</v>
      </c>
    </row>
    <row r="67" spans="1:15">
      <c r="A67" t="s">
        <v>4274</v>
      </c>
      <c r="B67" s="39" t="str">
        <f>HYPERLINK('citations-it2-studies'!$D77,'citations-it2-studies'!$B77)</f>
        <v>Research the Traffic Characteristics of MQTT and DDS Protocols in Low-bandwidth Radio Networks</v>
      </c>
      <c r="C67">
        <f>'citations-it2-studies'!$C77</f>
        <v>2021</v>
      </c>
      <c r="D67">
        <f>'citations-it2-studies'!$H77</f>
        <v>5</v>
      </c>
      <c r="E67" t="s">
        <v>1398</v>
      </c>
      <c r="F67" s="9" t="s">
        <v>51</v>
      </c>
      <c r="G67" s="9" t="s">
        <v>51</v>
      </c>
      <c r="H67" s="9" t="s">
        <v>1397</v>
      </c>
      <c r="I67" s="9" t="s">
        <v>51</v>
      </c>
      <c r="J67" s="9" t="s">
        <v>51</v>
      </c>
      <c r="K67" s="9" t="s">
        <v>51</v>
      </c>
      <c r="L67" s="9" t="s">
        <v>51</v>
      </c>
      <c r="M67" s="9" t="s">
        <v>1397</v>
      </c>
      <c r="N67" t="str">
        <f t="shared" si="6"/>
        <v>Exclude</v>
      </c>
      <c r="O67" t="s">
        <v>5385</v>
      </c>
    </row>
    <row r="68" spans="1:15">
      <c r="A68" t="s">
        <v>4274</v>
      </c>
      <c r="B68" s="39" t="str">
        <f>HYPERLINK('citations-it2-studies'!$D78,'citations-it2-studies'!$B78)</f>
        <v>Andon System using Industrial IoT for Controlled Production Line by conventional PLC</v>
      </c>
      <c r="C68">
        <f>'citations-it2-studies'!$C78</f>
        <v>2020</v>
      </c>
      <c r="D68">
        <f>'citations-it2-studies'!$H78</f>
        <v>0</v>
      </c>
      <c r="E68" t="s">
        <v>1398</v>
      </c>
      <c r="F68" s="10" t="s">
        <v>51</v>
      </c>
      <c r="G68" s="10" t="s">
        <v>51</v>
      </c>
      <c r="H68" s="10" t="s">
        <v>51</v>
      </c>
      <c r="I68" s="10" t="s">
        <v>51</v>
      </c>
      <c r="J68" s="10" t="s">
        <v>51</v>
      </c>
      <c r="K68" s="10" t="s">
        <v>51</v>
      </c>
      <c r="L68" s="10" t="s">
        <v>1397</v>
      </c>
      <c r="M68" s="10" t="s">
        <v>1397</v>
      </c>
      <c r="N68" t="str">
        <f t="shared" si="6"/>
        <v>Exclude</v>
      </c>
      <c r="O68" t="s">
        <v>5378</v>
      </c>
    </row>
    <row r="69" spans="1:15">
      <c r="A69" t="s">
        <v>4274</v>
      </c>
      <c r="B69" s="39" t="str">
        <f>HYPERLINK('citations-it2-studies'!$D79,'citations-it2-studies'!$B79)</f>
        <v>Cloud Continuum Digital Twins: Architectures of Solution, Open Technical Challenges, and Lessons Learned</v>
      </c>
      <c r="C69">
        <f>'citations-it2-studies'!$C79</f>
        <v>2024</v>
      </c>
      <c r="D69">
        <f>'citations-it2-studies'!$H79</f>
        <v>16</v>
      </c>
      <c r="E69" t="s">
        <v>1398</v>
      </c>
      <c r="F69" s="10" t="s">
        <v>51</v>
      </c>
      <c r="G69" s="10" t="s">
        <v>51</v>
      </c>
      <c r="H69" s="10" t="s">
        <v>51</v>
      </c>
      <c r="I69" s="10" t="s">
        <v>51</v>
      </c>
      <c r="J69" s="10" t="s">
        <v>51</v>
      </c>
      <c r="K69" s="10" t="s">
        <v>51</v>
      </c>
      <c r="L69" s="10" t="s">
        <v>1397</v>
      </c>
      <c r="M69" s="10" t="s">
        <v>1397</v>
      </c>
      <c r="N69" t="str">
        <f t="shared" si="6"/>
        <v>Exclude</v>
      </c>
      <c r="O69" t="s">
        <v>5378</v>
      </c>
    </row>
    <row r="70" spans="1:15">
      <c r="A70" t="s">
        <v>4274</v>
      </c>
      <c r="B70" s="39" t="str">
        <f>HYPERLINK('citations-it2-studies'!$D81,'citations-it2-studies'!$B81)</f>
        <v>Industry 4.0: examples of the use of the robotic arm for digital manufacturing processes</v>
      </c>
      <c r="C70">
        <f>'citations-it2-studies'!$C81</f>
        <v>2020</v>
      </c>
      <c r="D70">
        <f>'citations-it2-studies'!$H81</f>
        <v>7</v>
      </c>
      <c r="E70" t="s">
        <v>1398</v>
      </c>
      <c r="F70" s="10" t="s">
        <v>51</v>
      </c>
      <c r="G70" s="10" t="s">
        <v>51</v>
      </c>
      <c r="H70" s="10" t="s">
        <v>51</v>
      </c>
      <c r="I70" s="10" t="s">
        <v>51</v>
      </c>
      <c r="J70" s="10" t="s">
        <v>51</v>
      </c>
      <c r="K70" s="10" t="s">
        <v>51</v>
      </c>
      <c r="L70" s="10" t="s">
        <v>1397</v>
      </c>
      <c r="M70" s="10" t="s">
        <v>1397</v>
      </c>
      <c r="N70" t="str">
        <f t="shared" ref="N70:N105" si="7">IF(COUNTIF(F70:M70,"X")&gt;0,"Exclude",IF(UPPER(TRIM(E70))="O","Include",""))</f>
        <v>Exclude</v>
      </c>
      <c r="O70" t="s">
        <v>5378</v>
      </c>
    </row>
    <row r="71" spans="1:15">
      <c r="A71" t="s">
        <v>4274</v>
      </c>
      <c r="B71" s="39" t="str">
        <f>HYPERLINK('citations-it2-studies'!$D82,'citations-it2-studies'!$B82)</f>
        <v>ICSTCC - Rule-based extension through IoT for a robotized application</v>
      </c>
      <c r="C71">
        <f>'citations-it2-studies'!$C82</f>
        <v>2020</v>
      </c>
      <c r="D71">
        <f>'citations-it2-studies'!$H82</f>
        <v>5</v>
      </c>
      <c r="E71" t="s">
        <v>1398</v>
      </c>
      <c r="F71" s="9" t="s">
        <v>51</v>
      </c>
      <c r="G71" s="9" t="s">
        <v>51</v>
      </c>
      <c r="H71" s="9" t="s">
        <v>51</v>
      </c>
      <c r="I71" s="9" t="s">
        <v>51</v>
      </c>
      <c r="J71" s="9" t="s">
        <v>51</v>
      </c>
      <c r="K71" s="9" t="s">
        <v>51</v>
      </c>
      <c r="L71" s="9" t="s">
        <v>1397</v>
      </c>
      <c r="M71" s="9" t="s">
        <v>1397</v>
      </c>
      <c r="N71" t="str">
        <f t="shared" si="7"/>
        <v>Exclude</v>
      </c>
      <c r="O71" t="s">
        <v>5378</v>
      </c>
    </row>
    <row r="72" spans="1:15">
      <c r="A72" t="s">
        <v>4274</v>
      </c>
      <c r="B72" s="39" t="str">
        <f>HYPERLINK('citations-it2-studies'!$D83,'citations-it2-studies'!$B83)</f>
        <v>Research of Automated Control Systems Development Based on "Publish-Subscribe" Technology Over Low-Bandwidth Radio Networks</v>
      </c>
      <c r="C72">
        <f>'citations-it2-studies'!$C83</f>
        <v>2022</v>
      </c>
      <c r="D72">
        <f>'citations-it2-studies'!$H83</f>
        <v>19</v>
      </c>
      <c r="E72" t="s">
        <v>1398</v>
      </c>
      <c r="F72" s="10" t="s">
        <v>51</v>
      </c>
      <c r="G72" s="10" t="s">
        <v>51</v>
      </c>
      <c r="H72" s="10" t="s">
        <v>1397</v>
      </c>
      <c r="I72" s="10" t="s">
        <v>51</v>
      </c>
      <c r="J72" s="10" t="s">
        <v>51</v>
      </c>
      <c r="K72" s="10" t="s">
        <v>51</v>
      </c>
      <c r="L72" s="10" t="s">
        <v>51</v>
      </c>
      <c r="M72" s="10" t="s">
        <v>1397</v>
      </c>
      <c r="N72" t="str">
        <f t="shared" si="7"/>
        <v>Exclude</v>
      </c>
      <c r="O72" t="s">
        <v>5385</v>
      </c>
    </row>
    <row r="73" spans="1:15">
      <c r="A73" t="s">
        <v>4274</v>
      </c>
      <c r="B73" s="39" t="str">
        <f>HYPERLINK('citations-it2-studies'!$D86,'citations-it2-studies'!$B86)</f>
        <v>Supporting the Requirements-Based Selection of Suitable Communication Protocols in Smart Grids</v>
      </c>
      <c r="C73">
        <f>'citations-it2-studies'!$C86</f>
        <v>2022</v>
      </c>
      <c r="D73">
        <f>'citations-it2-studies'!$H86</f>
        <v>5</v>
      </c>
      <c r="E73" t="s">
        <v>1398</v>
      </c>
      <c r="F73" s="9" t="s">
        <v>51</v>
      </c>
      <c r="G73" s="9" t="s">
        <v>51</v>
      </c>
      <c r="H73" s="9" t="s">
        <v>51</v>
      </c>
      <c r="I73" s="9" t="s">
        <v>51</v>
      </c>
      <c r="J73" s="9" t="s">
        <v>51</v>
      </c>
      <c r="K73" s="9" t="s">
        <v>51</v>
      </c>
      <c r="L73" s="9" t="s">
        <v>1397</v>
      </c>
      <c r="M73" s="9" t="s">
        <v>1397</v>
      </c>
      <c r="N73" t="str">
        <f t="shared" si="7"/>
        <v>Exclude</v>
      </c>
      <c r="O73" t="s">
        <v>5378</v>
      </c>
    </row>
    <row r="74" spans="1:15">
      <c r="A74" t="s">
        <v>4274</v>
      </c>
      <c r="B74" s="39" t="str">
        <f>HYPERLINK('citations-it2-studies'!$D88,'citations-it2-studies'!$B88)</f>
        <v>Ontology-Based Service Composition for Interoperable and Modular Medical Devices</v>
      </c>
      <c r="C74">
        <f>'citations-it2-studies'!$C88</f>
        <v>2023</v>
      </c>
      <c r="D74">
        <f>'citations-it2-studies'!$H88</f>
        <v>7</v>
      </c>
      <c r="E74" t="s">
        <v>1398</v>
      </c>
      <c r="F74" s="10" t="s">
        <v>51</v>
      </c>
      <c r="G74" s="10" t="s">
        <v>51</v>
      </c>
      <c r="H74" s="10" t="s">
        <v>51</v>
      </c>
      <c r="I74" s="10" t="s">
        <v>51</v>
      </c>
      <c r="J74" s="10" t="s">
        <v>51</v>
      </c>
      <c r="K74" s="10" t="s">
        <v>51</v>
      </c>
      <c r="L74" s="10" t="s">
        <v>1397</v>
      </c>
      <c r="M74" s="10" t="s">
        <v>1397</v>
      </c>
      <c r="N74" t="str">
        <f t="shared" si="7"/>
        <v>Exclude</v>
      </c>
      <c r="O74" t="s">
        <v>5378</v>
      </c>
    </row>
    <row r="75" spans="1:15">
      <c r="A75" t="s">
        <v>4274</v>
      </c>
      <c r="B75" s="39" t="str">
        <f>HYPERLINK('citations-it2-studies'!$D89,'citations-it2-studies'!$B89)</f>
        <v>Broker-Less OPC UA PubSub Communication Model Performance Analysis</v>
      </c>
      <c r="C75">
        <f>'citations-it2-studies'!$C89</f>
        <v>2024</v>
      </c>
      <c r="D75">
        <f>'citations-it2-studies'!$H89</f>
        <v>5</v>
      </c>
      <c r="E75" t="s">
        <v>1398</v>
      </c>
      <c r="F75" s="9"/>
      <c r="G75" s="9" t="s">
        <v>51</v>
      </c>
      <c r="H75" s="9" t="s">
        <v>51</v>
      </c>
      <c r="I75" s="9" t="s">
        <v>51</v>
      </c>
      <c r="J75" s="9" t="s">
        <v>51</v>
      </c>
      <c r="K75" s="9" t="s">
        <v>51</v>
      </c>
      <c r="L75" s="9" t="s">
        <v>1397</v>
      </c>
      <c r="M75" s="9"/>
      <c r="N75" t="str">
        <f t="shared" si="7"/>
        <v>Exclude</v>
      </c>
      <c r="O75" t="s">
        <v>5378</v>
      </c>
    </row>
    <row r="76" spans="1:15">
      <c r="A76" t="s">
        <v>4274</v>
      </c>
      <c r="B76" s="39" t="str">
        <f>HYPERLINK('citations-it2-studies'!$D90,'citations-it2-studies'!$B90)</f>
        <v>Hardware Acceleration of Data Distribution Service (DDS) for Automotive Communication and Computing</v>
      </c>
      <c r="C76">
        <f>'citations-it2-studies'!$C90</f>
        <v>2022</v>
      </c>
      <c r="D76">
        <f>'citations-it2-studies'!$H90</f>
        <v>26</v>
      </c>
      <c r="E76" t="s">
        <v>1398</v>
      </c>
      <c r="F76" s="10" t="s">
        <v>51</v>
      </c>
      <c r="G76" s="10" t="s">
        <v>51</v>
      </c>
      <c r="H76" s="10" t="s">
        <v>1397</v>
      </c>
      <c r="I76" s="10" t="s">
        <v>51</v>
      </c>
      <c r="J76" s="10" t="s">
        <v>51</v>
      </c>
      <c r="K76" s="10" t="s">
        <v>51</v>
      </c>
      <c r="L76" s="10" t="s">
        <v>51</v>
      </c>
      <c r="M76" s="10" t="s">
        <v>1397</v>
      </c>
      <c r="N76" t="str">
        <f t="shared" si="7"/>
        <v>Exclude</v>
      </c>
      <c r="O76" t="s">
        <v>5385</v>
      </c>
    </row>
    <row r="77" spans="1:15">
      <c r="A77" t="s">
        <v>4274</v>
      </c>
      <c r="B77" s="39" t="str">
        <f>HYPERLINK('citations-it2-studies'!$D91,'citations-it2-studies'!$B91)</f>
        <v>Sustainable Utilization of Industrial Robotic Systems by Facilitating Programming Through a Human and Process Centred Declarative Approach</v>
      </c>
      <c r="C77">
        <f>'citations-it2-studies'!$C91</f>
        <v>2023</v>
      </c>
      <c r="D77">
        <f>'citations-it2-studies'!$H91</f>
        <v>12</v>
      </c>
      <c r="E77" t="s">
        <v>1398</v>
      </c>
      <c r="F77" s="9" t="s">
        <v>51</v>
      </c>
      <c r="G77" s="9" t="s">
        <v>51</v>
      </c>
      <c r="H77" s="9" t="s">
        <v>51</v>
      </c>
      <c r="I77" s="9" t="s">
        <v>51</v>
      </c>
      <c r="J77" s="9" t="s">
        <v>51</v>
      </c>
      <c r="K77" s="9" t="s">
        <v>51</v>
      </c>
      <c r="L77" s="9" t="s">
        <v>1397</v>
      </c>
      <c r="M77" s="9" t="s">
        <v>1397</v>
      </c>
      <c r="N77" t="str">
        <f t="shared" si="7"/>
        <v>Exclude</v>
      </c>
      <c r="O77" t="s">
        <v>5378</v>
      </c>
    </row>
    <row r="78" spans="1:15">
      <c r="A78" t="s">
        <v>4274</v>
      </c>
      <c r="B78" s="39" t="str">
        <f>HYPERLINK('citations-it2-studies'!$D92,'citations-it2-studies'!$B92)</f>
        <v>SECS/GEMsec: A Mechanism for Detection and Prevention of Cyber-Attacks on SECS/GEM Communications in Industry 4.0 Landscape</v>
      </c>
      <c r="C78">
        <f>'citations-it2-studies'!$C92</f>
        <v>2021</v>
      </c>
      <c r="D78">
        <f>'citations-it2-studies'!$H92</f>
        <v>15</v>
      </c>
      <c r="E78" t="s">
        <v>1398</v>
      </c>
      <c r="F78" s="9" t="s">
        <v>51</v>
      </c>
      <c r="G78" s="9" t="s">
        <v>51</v>
      </c>
      <c r="H78" s="9" t="s">
        <v>51</v>
      </c>
      <c r="I78" s="9" t="s">
        <v>51</v>
      </c>
      <c r="J78" s="9" t="s">
        <v>51</v>
      </c>
      <c r="K78" s="9" t="s">
        <v>51</v>
      </c>
      <c r="L78" s="9" t="s">
        <v>1397</v>
      </c>
      <c r="M78" s="9"/>
      <c r="N78" t="str">
        <f t="shared" si="7"/>
        <v>Exclude</v>
      </c>
      <c r="O78" t="s">
        <v>5383</v>
      </c>
    </row>
    <row r="79" spans="1:15">
      <c r="A79" t="s">
        <v>4274</v>
      </c>
      <c r="B79" s="39" t="str">
        <f>HYPERLINK('citations-it2-studies'!$D93,'citations-it2-studies'!$B93)</f>
        <v>IoT Architecture for Interoperability and Monitoring of Industrial Nodes</v>
      </c>
      <c r="C79">
        <f>'citations-it2-studies'!$C93</f>
        <v>2020</v>
      </c>
      <c r="D79">
        <f>'citations-it2-studies'!$H93</f>
        <v>6</v>
      </c>
      <c r="E79" t="s">
        <v>1398</v>
      </c>
      <c r="F79" s="10" t="s">
        <v>51</v>
      </c>
      <c r="G79" s="10" t="s">
        <v>51</v>
      </c>
      <c r="H79" s="10" t="s">
        <v>51</v>
      </c>
      <c r="I79" s="10" t="s">
        <v>51</v>
      </c>
      <c r="J79" s="10" t="s">
        <v>51</v>
      </c>
      <c r="K79" s="10" t="s">
        <v>51</v>
      </c>
      <c r="L79" s="10" t="s">
        <v>1397</v>
      </c>
      <c r="M79" s="10" t="s">
        <v>1397</v>
      </c>
      <c r="N79" t="str">
        <f t="shared" si="7"/>
        <v>Exclude</v>
      </c>
      <c r="O79" t="s">
        <v>5378</v>
      </c>
    </row>
    <row r="80" spans="1:15">
      <c r="A80" t="s">
        <v>4274</v>
      </c>
      <c r="B80" s="39" t="str">
        <f>HYPERLINK('citations-it2-studies'!$D94,'citations-it2-studies'!$B94)</f>
        <v>Konfigurierbare Arbeitsräume und Robotik als Basis der Automatisierung in der Vorfertigung des Bauwesens</v>
      </c>
      <c r="C80">
        <f>'citations-it2-studies'!$C94</f>
        <v>2024</v>
      </c>
      <c r="D80">
        <f>'citations-it2-studies'!$H94</f>
        <v>32</v>
      </c>
      <c r="E80" t="s">
        <v>1398</v>
      </c>
      <c r="F80" s="9" t="s">
        <v>51</v>
      </c>
      <c r="G80" s="9" t="s">
        <v>1397</v>
      </c>
      <c r="H80" s="9" t="s">
        <v>51</v>
      </c>
      <c r="I80" s="9" t="s">
        <v>51</v>
      </c>
      <c r="J80" s="9" t="s">
        <v>51</v>
      </c>
      <c r="K80" s="9" t="s">
        <v>51</v>
      </c>
      <c r="L80" s="9" t="s">
        <v>51</v>
      </c>
      <c r="M80" s="9" t="s">
        <v>1397</v>
      </c>
      <c r="N80" t="str">
        <f t="shared" si="7"/>
        <v>Exclude</v>
      </c>
      <c r="O80" t="s">
        <v>5390</v>
      </c>
    </row>
    <row r="81" spans="1:15">
      <c r="A81" t="s">
        <v>4274</v>
      </c>
      <c r="B81" s="39" t="str">
        <f>HYPERLINK('citations-it2-studies'!$D95,'citations-it2-studies'!$B95)</f>
        <v>Development of Industry 4.0 predictive maintenance architecture for broadcasting chain</v>
      </c>
      <c r="C81">
        <f>'citations-it2-studies'!$C95</f>
        <v>2021</v>
      </c>
      <c r="D81">
        <f>'citations-it2-studies'!$H95</f>
        <v>0</v>
      </c>
      <c r="E81" t="s">
        <v>1398</v>
      </c>
      <c r="F81" s="10" t="s">
        <v>51</v>
      </c>
      <c r="G81" s="10" t="s">
        <v>51</v>
      </c>
      <c r="H81" s="10" t="s">
        <v>51</v>
      </c>
      <c r="I81" s="10" t="s">
        <v>51</v>
      </c>
      <c r="J81" s="10" t="s">
        <v>51</v>
      </c>
      <c r="K81" s="10" t="s">
        <v>51</v>
      </c>
      <c r="L81" s="10" t="s">
        <v>1397</v>
      </c>
      <c r="M81" s="10" t="s">
        <v>1397</v>
      </c>
      <c r="N81" t="str">
        <f t="shared" si="7"/>
        <v>Exclude</v>
      </c>
      <c r="O81" t="s">
        <v>5378</v>
      </c>
    </row>
    <row r="82" spans="1:15">
      <c r="A82" t="s">
        <v>4274</v>
      </c>
      <c r="B82" s="39" t="str">
        <f>HYPERLINK('citations-it2-studies'!$D96,'citations-it2-studies'!$B96)</f>
        <v>Manufacturing big data ecosystem: A systematic literature review</v>
      </c>
      <c r="C82">
        <f>'citations-it2-studies'!$C96</f>
        <v>2020</v>
      </c>
      <c r="D82">
        <f>'citations-it2-studies'!$H96</f>
        <v>0</v>
      </c>
      <c r="E82" t="s">
        <v>1398</v>
      </c>
      <c r="F82" s="9" t="s">
        <v>51</v>
      </c>
      <c r="G82" s="9" t="s">
        <v>51</v>
      </c>
      <c r="H82" s="9" t="s">
        <v>51</v>
      </c>
      <c r="I82" s="9" t="s">
        <v>51</v>
      </c>
      <c r="J82" s="9" t="s">
        <v>1397</v>
      </c>
      <c r="K82" s="9" t="s">
        <v>51</v>
      </c>
      <c r="L82" s="9" t="s">
        <v>51</v>
      </c>
      <c r="M82" s="9" t="s">
        <v>1397</v>
      </c>
      <c r="N82" t="str">
        <f t="shared" si="7"/>
        <v>Exclude</v>
      </c>
      <c r="O82" t="s">
        <v>5382</v>
      </c>
    </row>
    <row r="83" spans="1:15">
      <c r="A83" t="s">
        <v>4274</v>
      </c>
      <c r="B83" s="39" t="str">
        <f>HYPERLINK('citations-it2-studies'!$D97,'citations-it2-studies'!$B97)</f>
        <v>A Comprehensive Review on IoT Protocols’ Features in Smart Grid Communication</v>
      </c>
      <c r="C83">
        <f>'citations-it2-studies'!$C97</f>
        <v>2020</v>
      </c>
      <c r="D83">
        <f>'citations-it2-studies'!$H97</f>
        <v>0</v>
      </c>
      <c r="E83" t="s">
        <v>1398</v>
      </c>
      <c r="F83" s="10" t="s">
        <v>51</v>
      </c>
      <c r="G83" s="10" t="s">
        <v>51</v>
      </c>
      <c r="H83" s="10" t="s">
        <v>51</v>
      </c>
      <c r="I83" s="10" t="s">
        <v>51</v>
      </c>
      <c r="J83" s="10" t="s">
        <v>1397</v>
      </c>
      <c r="K83" s="10" t="s">
        <v>51</v>
      </c>
      <c r="L83" s="10" t="s">
        <v>51</v>
      </c>
      <c r="M83" s="10" t="s">
        <v>1397</v>
      </c>
      <c r="N83" t="str">
        <f t="shared" si="7"/>
        <v>Exclude</v>
      </c>
      <c r="O83" t="s">
        <v>5382</v>
      </c>
    </row>
    <row r="84" spans="1:15">
      <c r="A84" t="s">
        <v>4274</v>
      </c>
      <c r="B84" s="39" t="str">
        <f>HYPERLINK('citations-it2-studies'!$D98,'citations-it2-studies'!$B98)</f>
        <v>VAIDS: A Hybrid Deep Learning Model to Detect Intrusions in MQTT Protocol Enabled Networks</v>
      </c>
      <c r="C84">
        <f>'citations-it2-studies'!$C98</f>
        <v>2024</v>
      </c>
      <c r="D84">
        <f>'citations-it2-studies'!$H98</f>
        <v>14</v>
      </c>
      <c r="E84" t="s">
        <v>1398</v>
      </c>
      <c r="F84" s="9" t="s">
        <v>51</v>
      </c>
      <c r="G84" s="9" t="s">
        <v>51</v>
      </c>
      <c r="H84" s="9" t="s">
        <v>1397</v>
      </c>
      <c r="I84" s="9" t="s">
        <v>51</v>
      </c>
      <c r="J84" s="9" t="s">
        <v>51</v>
      </c>
      <c r="K84" s="9" t="s">
        <v>51</v>
      </c>
      <c r="L84" s="9" t="s">
        <v>51</v>
      </c>
      <c r="M84" s="9" t="s">
        <v>1397</v>
      </c>
      <c r="N84" t="str">
        <f t="shared" si="7"/>
        <v>Exclude</v>
      </c>
      <c r="O84" t="s">
        <v>5385</v>
      </c>
    </row>
    <row r="85" spans="1:15">
      <c r="A85" t="s">
        <v>4274</v>
      </c>
      <c r="B85" s="39" t="str">
        <f>HYPERLINK('citations-it2-studies'!$D99,'citations-it2-studies'!$B99)</f>
        <v>ETFA - Hybrid OPC UA: Enabling Post-Quantum Security for the Industrial Internet of Things</v>
      </c>
      <c r="C85">
        <f>'citations-it2-studies'!$C99</f>
        <v>2020</v>
      </c>
      <c r="D85">
        <f>'citations-it2-studies'!$H99</f>
        <v>8</v>
      </c>
      <c r="E85" t="s">
        <v>1398</v>
      </c>
      <c r="F85" s="9" t="s">
        <v>51</v>
      </c>
      <c r="G85" s="9" t="s">
        <v>51</v>
      </c>
      <c r="H85" s="9" t="s">
        <v>51</v>
      </c>
      <c r="I85" s="9" t="s">
        <v>51</v>
      </c>
      <c r="J85" s="9" t="s">
        <v>51</v>
      </c>
      <c r="K85" s="9" t="s">
        <v>51</v>
      </c>
      <c r="L85" s="9" t="s">
        <v>51</v>
      </c>
      <c r="M85" s="9"/>
      <c r="N85" t="str">
        <f t="shared" si="7"/>
        <v>Include</v>
      </c>
      <c r="O85" t="s">
        <v>5381</v>
      </c>
    </row>
    <row r="86" spans="1:15">
      <c r="A86" t="s">
        <v>4274</v>
      </c>
      <c r="B86" s="39" t="str">
        <f>HYPERLINK('citations-it2-studies'!$D100,'citations-it2-studies'!$B100)</f>
        <v>Voraussagende Instandhaltung an einer Kaltumformpresse auf Basis eines nachgerüsteten Zustandsüberwachungskonzepts</v>
      </c>
      <c r="C86">
        <f>'citations-it2-studies'!$C100</f>
        <v>2025</v>
      </c>
      <c r="D86">
        <f>'citations-it2-studies'!$H100</f>
        <v>18</v>
      </c>
      <c r="E86" t="s">
        <v>1398</v>
      </c>
      <c r="F86" s="9" t="s">
        <v>51</v>
      </c>
      <c r="G86" s="9" t="s">
        <v>1397</v>
      </c>
      <c r="H86" s="9" t="s">
        <v>51</v>
      </c>
      <c r="I86" s="9" t="s">
        <v>51</v>
      </c>
      <c r="J86" s="9" t="s">
        <v>51</v>
      </c>
      <c r="K86" s="9" t="s">
        <v>51</v>
      </c>
      <c r="L86" s="9" t="s">
        <v>51</v>
      </c>
      <c r="M86" s="9" t="s">
        <v>1397</v>
      </c>
      <c r="N86" t="str">
        <f t="shared" si="7"/>
        <v>Exclude</v>
      </c>
      <c r="O86" t="s">
        <v>5390</v>
      </c>
    </row>
    <row r="87" spans="1:15">
      <c r="A87" t="s">
        <v>4274</v>
      </c>
      <c r="B87" s="39" t="str">
        <f>HYPERLINK('citations-it2-studies'!$D101,'citations-it2-studies'!$B101)</f>
        <v>SOLA: A Decentralized Communication Middleware Developed with ns-3</v>
      </c>
      <c r="C87">
        <f>'citations-it2-studies'!$C101</f>
        <v>2023</v>
      </c>
      <c r="D87">
        <f>'citations-it2-studies'!$H101</f>
        <v>8</v>
      </c>
      <c r="E87" t="s">
        <v>1398</v>
      </c>
      <c r="F87" s="9" t="s">
        <v>51</v>
      </c>
      <c r="G87" s="9" t="s">
        <v>51</v>
      </c>
      <c r="H87" s="9" t="s">
        <v>51</v>
      </c>
      <c r="I87" s="9" t="s">
        <v>51</v>
      </c>
      <c r="J87" s="9" t="s">
        <v>51</v>
      </c>
      <c r="K87" s="9" t="s">
        <v>51</v>
      </c>
      <c r="L87" s="9" t="s">
        <v>1397</v>
      </c>
      <c r="M87" s="9" t="s">
        <v>1397</v>
      </c>
      <c r="N87" t="str">
        <f t="shared" si="7"/>
        <v>Exclude</v>
      </c>
      <c r="O87" t="s">
        <v>5378</v>
      </c>
    </row>
    <row r="88" spans="1:15">
      <c r="A88" t="s">
        <v>4274</v>
      </c>
      <c r="B88" s="39" t="str">
        <f>HYPERLINK('citations-it2-studies'!$D102,'citations-it2-studies'!$B102)</f>
        <v>Real-Time Performance Evaluation of Containerized Virtual PLCs: A Comparative Study of Docker and Podman for Industrial Automation</v>
      </c>
      <c r="C88">
        <f>'citations-it2-studies'!$C102</f>
        <v>2025</v>
      </c>
      <c r="D88">
        <f>'citations-it2-studies'!$H102</f>
        <v>6</v>
      </c>
      <c r="E88" t="s">
        <v>1398</v>
      </c>
      <c r="F88" s="10" t="s">
        <v>51</v>
      </c>
      <c r="G88" s="10" t="s">
        <v>51</v>
      </c>
      <c r="H88" s="10" t="s">
        <v>51</v>
      </c>
      <c r="I88" s="10" t="s">
        <v>51</v>
      </c>
      <c r="J88" s="10" t="s">
        <v>51</v>
      </c>
      <c r="K88" s="10" t="s">
        <v>51</v>
      </c>
      <c r="L88" s="10" t="s">
        <v>1397</v>
      </c>
      <c r="M88" s="10" t="s">
        <v>1397</v>
      </c>
      <c r="N88" t="str">
        <f t="shared" si="7"/>
        <v>Exclude</v>
      </c>
      <c r="O88" t="s">
        <v>5378</v>
      </c>
    </row>
    <row r="89" spans="1:15">
      <c r="A89" t="s">
        <v>4274</v>
      </c>
      <c r="B89" s="39" t="str">
        <f>HYPERLINK('citations-it2-studies'!$D104,'citations-it2-studies'!$B104)</f>
        <v>Predictive Maintenance Model for IIoT-Based Manufacturing: A Transferable Deep Reinforcement Learning Approach</v>
      </c>
      <c r="C89">
        <f>'citations-it2-studies'!$C104</f>
        <v>2022</v>
      </c>
      <c r="D89">
        <f>'citations-it2-studies'!$H104</f>
        <v>17</v>
      </c>
      <c r="E89" t="s">
        <v>1398</v>
      </c>
      <c r="F89" s="9" t="s">
        <v>51</v>
      </c>
      <c r="G89" s="9" t="s">
        <v>51</v>
      </c>
      <c r="H89" s="9" t="s">
        <v>51</v>
      </c>
      <c r="I89" s="9" t="s">
        <v>51</v>
      </c>
      <c r="J89" s="9" t="s">
        <v>51</v>
      </c>
      <c r="K89" s="9" t="s">
        <v>51</v>
      </c>
      <c r="L89" s="9" t="s">
        <v>1397</v>
      </c>
      <c r="M89" s="9" t="s">
        <v>1397</v>
      </c>
      <c r="N89" t="str">
        <f t="shared" si="7"/>
        <v>Exclude</v>
      </c>
      <c r="O89" t="s">
        <v>5378</v>
      </c>
    </row>
    <row r="90" spans="1:15">
      <c r="A90" t="s">
        <v>4274</v>
      </c>
      <c r="B90" s="39" t="str">
        <f>HYPERLINK('citations-it2-studies'!$D107,'citations-it2-studies'!$B107)</f>
        <v>Cyber-physical twins - definition, conception and benefit</v>
      </c>
      <c r="C90">
        <f>'citations-it2-studies'!$C107</f>
        <v>2020</v>
      </c>
      <c r="D90">
        <f>'citations-it2-studies'!$H107</f>
        <v>5</v>
      </c>
      <c r="E90" t="s">
        <v>1398</v>
      </c>
      <c r="F90" s="9" t="s">
        <v>51</v>
      </c>
      <c r="G90" s="9" t="s">
        <v>51</v>
      </c>
      <c r="H90" s="9" t="s">
        <v>51</v>
      </c>
      <c r="I90" s="9" t="s">
        <v>51</v>
      </c>
      <c r="J90" s="9" t="s">
        <v>51</v>
      </c>
      <c r="K90" s="9" t="s">
        <v>51</v>
      </c>
      <c r="L90" s="9" t="s">
        <v>1397</v>
      </c>
      <c r="M90" s="9" t="s">
        <v>1397</v>
      </c>
      <c r="N90" t="str">
        <f t="shared" si="7"/>
        <v>Exclude</v>
      </c>
      <c r="O90" t="s">
        <v>5378</v>
      </c>
    </row>
    <row r="91" spans="1:15">
      <c r="A91" t="s">
        <v>4274</v>
      </c>
      <c r="B91" s="39" t="str">
        <f>HYPERLINK('citations-it2-studies'!$D108,'citations-it2-studies'!$B108)</f>
        <v>ETFA - A Hardware-Agnostic OPC UA Skill Model for Robot Manipulators and Tools</v>
      </c>
      <c r="C91">
        <f>'citations-it2-studies'!$C108</f>
        <v>2019</v>
      </c>
      <c r="D91">
        <f>'citations-it2-studies'!$H108</f>
        <v>8</v>
      </c>
      <c r="E91" t="s">
        <v>1398</v>
      </c>
      <c r="F91" s="10" t="s">
        <v>51</v>
      </c>
      <c r="G91" s="10" t="s">
        <v>51</v>
      </c>
      <c r="H91" s="10" t="s">
        <v>51</v>
      </c>
      <c r="I91" s="10" t="s">
        <v>51</v>
      </c>
      <c r="J91" s="10" t="s">
        <v>51</v>
      </c>
      <c r="K91" s="10" t="s">
        <v>51</v>
      </c>
      <c r="L91" s="10" t="s">
        <v>51</v>
      </c>
      <c r="M91" s="10" t="s">
        <v>1397</v>
      </c>
      <c r="N91" t="str">
        <f t="shared" si="7"/>
        <v>Exclude</v>
      </c>
      <c r="O91" t="s">
        <v>5379</v>
      </c>
    </row>
    <row r="92" spans="1:15">
      <c r="A92" t="s">
        <v>4274</v>
      </c>
      <c r="B92" s="39" t="str">
        <f>HYPERLINK('citations-it2-studies'!$D109,'citations-it2-studies'!$B109)</f>
        <v>End-to-End Encryption for Securing Communications in Industry 4.0</v>
      </c>
      <c r="C92">
        <f>'citations-it2-studies'!$C109</f>
        <v>2022</v>
      </c>
      <c r="D92">
        <f>'citations-it2-studies'!$H109</f>
        <v>6</v>
      </c>
      <c r="E92" t="s">
        <v>1398</v>
      </c>
      <c r="F92" s="9" t="s">
        <v>51</v>
      </c>
      <c r="G92" s="9" t="s">
        <v>51</v>
      </c>
      <c r="H92" s="9" t="s">
        <v>51</v>
      </c>
      <c r="I92" s="9" t="s">
        <v>51</v>
      </c>
      <c r="J92" s="9" t="s">
        <v>51</v>
      </c>
      <c r="K92" s="9" t="s">
        <v>51</v>
      </c>
      <c r="L92" s="9" t="s">
        <v>1397</v>
      </c>
      <c r="M92" s="9" t="s">
        <v>1397</v>
      </c>
      <c r="N92" t="str">
        <f t="shared" si="7"/>
        <v>Exclude</v>
      </c>
      <c r="O92" t="s">
        <v>5378</v>
      </c>
    </row>
    <row r="93" spans="1:15">
      <c r="A93" t="s">
        <v>4274</v>
      </c>
      <c r="B93" s="39" t="str">
        <f>HYPERLINK('citations-it2-studies'!$D110,'citations-it2-studies'!$B110)</f>
        <v>ICCCI (2) - Quality of Service in Real-Time OPC UA Applications</v>
      </c>
      <c r="C93">
        <f>'citations-it2-studies'!$C110</f>
        <v>2019</v>
      </c>
      <c r="D93">
        <f>'citations-it2-studies'!$H110</f>
        <v>10</v>
      </c>
      <c r="E93" t="s">
        <v>1398</v>
      </c>
      <c r="F93" s="9" t="s">
        <v>51</v>
      </c>
      <c r="G93" s="9" t="s">
        <v>51</v>
      </c>
      <c r="H93" s="9" t="s">
        <v>51</v>
      </c>
      <c r="I93" s="9" t="s">
        <v>51</v>
      </c>
      <c r="J93" s="9" t="s">
        <v>51</v>
      </c>
      <c r="K93" s="9" t="s">
        <v>51</v>
      </c>
      <c r="L93" s="9" t="s">
        <v>1397</v>
      </c>
      <c r="M93" s="9"/>
      <c r="N93" t="str">
        <f t="shared" si="7"/>
        <v>Exclude</v>
      </c>
      <c r="O93" t="s">
        <v>5391</v>
      </c>
    </row>
    <row r="94" spans="1:15">
      <c r="A94" t="s">
        <v>4274</v>
      </c>
      <c r="B94" s="39" t="str">
        <f>HYPERLINK('citations-it2-studies'!$D111,'citations-it2-studies'!$B111)</f>
        <v>Performance Evaluation of OPC UA and MQTT for ETAT Smart Lab (ESL)</v>
      </c>
      <c r="C94">
        <f>'citations-it2-studies'!$C111</f>
        <v>2023</v>
      </c>
      <c r="D94">
        <f>'citations-it2-studies'!$H111</f>
        <v>5</v>
      </c>
      <c r="E94" t="s">
        <v>1398</v>
      </c>
      <c r="F94" s="9" t="s">
        <v>51</v>
      </c>
      <c r="G94" s="9" t="s">
        <v>51</v>
      </c>
      <c r="H94" s="9" t="s">
        <v>51</v>
      </c>
      <c r="I94" s="9" t="s">
        <v>51</v>
      </c>
      <c r="J94" s="9" t="s">
        <v>51</v>
      </c>
      <c r="K94" s="9" t="s">
        <v>51</v>
      </c>
      <c r="L94" s="9" t="s">
        <v>51</v>
      </c>
      <c r="M94" s="9"/>
      <c r="N94" t="str">
        <f t="shared" si="7"/>
        <v>Include</v>
      </c>
      <c r="O94" t="s">
        <v>5392</v>
      </c>
    </row>
    <row r="95" spans="1:15">
      <c r="A95" t="s">
        <v>4274</v>
      </c>
      <c r="B95" s="39" t="str">
        <f>HYPERLINK('citations-it2-studies'!$D112,'citations-it2-studies'!$B112)</f>
        <v>A Human-Centered Assembly Workplace For Industry: Challenges and Lessons Learned</v>
      </c>
      <c r="C95">
        <f>'citations-it2-studies'!$C112</f>
        <v>2021</v>
      </c>
      <c r="D95">
        <f>'citations-it2-studies'!$H112</f>
        <v>11</v>
      </c>
      <c r="E95" t="s">
        <v>1398</v>
      </c>
      <c r="F95" s="10" t="s">
        <v>51</v>
      </c>
      <c r="G95" s="10" t="s">
        <v>51</v>
      </c>
      <c r="H95" s="10" t="s">
        <v>51</v>
      </c>
      <c r="I95" s="10" t="s">
        <v>51</v>
      </c>
      <c r="J95" s="10" t="s">
        <v>51</v>
      </c>
      <c r="K95" s="10" t="s">
        <v>51</v>
      </c>
      <c r="L95" s="10" t="s">
        <v>1397</v>
      </c>
      <c r="M95" s="10" t="s">
        <v>1397</v>
      </c>
      <c r="N95" t="str">
        <f t="shared" si="7"/>
        <v>Exclude</v>
      </c>
      <c r="O95" t="s">
        <v>5378</v>
      </c>
    </row>
    <row r="96" spans="1:15">
      <c r="A96" t="s">
        <v>4274</v>
      </c>
      <c r="B96" s="39" t="str">
        <f>HYPERLINK('citations-it2-studies'!$D113,'citations-it2-studies'!$B113)</f>
        <v>ETFA - Control components for Collaborative and Intelligent Automation Systems</v>
      </c>
      <c r="C96">
        <f>'citations-it2-studies'!$C113</f>
        <v>2019</v>
      </c>
      <c r="D96">
        <f>'citations-it2-studies'!$H113</f>
        <v>7</v>
      </c>
      <c r="E96" t="s">
        <v>1398</v>
      </c>
      <c r="F96" s="9" t="s">
        <v>51</v>
      </c>
      <c r="G96" s="9" t="s">
        <v>51</v>
      </c>
      <c r="H96" s="9" t="s">
        <v>51</v>
      </c>
      <c r="I96" s="9" t="s">
        <v>51</v>
      </c>
      <c r="J96" s="9" t="s">
        <v>51</v>
      </c>
      <c r="K96" s="9" t="s">
        <v>51</v>
      </c>
      <c r="L96" s="9" t="s">
        <v>1397</v>
      </c>
      <c r="M96" s="9" t="s">
        <v>1397</v>
      </c>
      <c r="N96" t="str">
        <f t="shared" si="7"/>
        <v>Exclude</v>
      </c>
      <c r="O96" t="s">
        <v>5378</v>
      </c>
    </row>
    <row r="97" spans="1:15">
      <c r="A97" t="s">
        <v>4274</v>
      </c>
      <c r="B97" s="39" t="str">
        <f>HYPERLINK('citations-it2-studies'!$D115,'citations-it2-studies'!$B115)</f>
        <v>Frame analysis based real time related indicators measurement of industrial ethernet Powerlink</v>
      </c>
      <c r="C97">
        <f>'citations-it2-studies'!$C115</f>
        <v>2022</v>
      </c>
      <c r="D97">
        <f>'citations-it2-studies'!$H115</f>
        <v>5</v>
      </c>
      <c r="E97" t="s">
        <v>1398</v>
      </c>
      <c r="F97" s="9"/>
      <c r="G97" s="9" t="s">
        <v>51</v>
      </c>
      <c r="H97" s="9" t="s">
        <v>51</v>
      </c>
      <c r="I97" s="9"/>
      <c r="J97" s="9" t="s">
        <v>51</v>
      </c>
      <c r="K97" s="9"/>
      <c r="L97" s="9" t="s">
        <v>1397</v>
      </c>
      <c r="M97" s="9" t="s">
        <v>1397</v>
      </c>
      <c r="N97" t="str">
        <f t="shared" si="7"/>
        <v>Exclude</v>
      </c>
      <c r="O97" t="s">
        <v>5378</v>
      </c>
    </row>
    <row r="98" spans="1:15">
      <c r="A98" t="s">
        <v>4274</v>
      </c>
      <c r="B98" s="39" t="str">
        <f>HYPERLINK('citations-it2-studies'!$D116,'citations-it2-studies'!$B116)</f>
        <v>OPC-UA in Digital Twins—A Performance Comparative Analysis</v>
      </c>
      <c r="C98">
        <f>'citations-it2-studies'!$C116</f>
        <v>2024</v>
      </c>
      <c r="D98">
        <f>'citations-it2-studies'!$H116</f>
        <v>11</v>
      </c>
      <c r="E98" t="s">
        <v>1398</v>
      </c>
      <c r="F98" s="10" t="s">
        <v>51</v>
      </c>
      <c r="G98" s="10" t="s">
        <v>51</v>
      </c>
      <c r="H98" s="10" t="s">
        <v>51</v>
      </c>
      <c r="I98" s="10" t="s">
        <v>51</v>
      </c>
      <c r="J98" s="10" t="s">
        <v>51</v>
      </c>
      <c r="K98" s="10" t="s">
        <v>51</v>
      </c>
      <c r="L98" s="10" t="s">
        <v>1397</v>
      </c>
      <c r="M98" s="10" t="s">
        <v>1397</v>
      </c>
      <c r="N98" t="str">
        <f t="shared" si="7"/>
        <v>Exclude</v>
      </c>
      <c r="O98" t="s">
        <v>5378</v>
      </c>
    </row>
    <row r="99" spans="1:15">
      <c r="A99" t="s">
        <v>4274</v>
      </c>
      <c r="B99" s="39" t="str">
        <f>HYPERLINK('citations-it2-studies'!$D117,'citations-it2-studies'!$B117)</f>
        <v>Systems of Digital Twins and Physical Systems: Interoperability, Decentralization, and Mobility in Robotic Applications</v>
      </c>
      <c r="C99">
        <f>'citations-it2-studies'!$C117</f>
        <v>2024</v>
      </c>
      <c r="D99">
        <f>'citations-it2-studies'!$H117</f>
        <v>6</v>
      </c>
      <c r="E99" t="s">
        <v>1398</v>
      </c>
      <c r="F99" s="9" t="s">
        <v>51</v>
      </c>
      <c r="G99" s="9" t="s">
        <v>51</v>
      </c>
      <c r="H99" s="9" t="s">
        <v>51</v>
      </c>
      <c r="I99" s="9" t="s">
        <v>51</v>
      </c>
      <c r="J99" s="9" t="s">
        <v>51</v>
      </c>
      <c r="K99" s="9" t="s">
        <v>51</v>
      </c>
      <c r="L99" s="9" t="s">
        <v>1397</v>
      </c>
      <c r="M99" s="9" t="s">
        <v>1397</v>
      </c>
      <c r="N99" t="str">
        <f t="shared" si="7"/>
        <v>Exclude</v>
      </c>
      <c r="O99" t="s">
        <v>5378</v>
      </c>
    </row>
    <row r="100" spans="1:15">
      <c r="A100" t="s">
        <v>4274</v>
      </c>
      <c r="B100" s="39" t="str">
        <f>HYPERLINK('citations-it2-studies'!$D118,'citations-it2-studies'!$B118)</f>
        <v>Image and Command Transmission Over the 5G Network for Teleoperation of Mobile Robots</v>
      </c>
      <c r="C100">
        <f>'citations-it2-studies'!$C118</f>
        <v>2024</v>
      </c>
      <c r="D100">
        <f>'citations-it2-studies'!$H118</f>
        <v>8</v>
      </c>
      <c r="E100" t="s">
        <v>1398</v>
      </c>
      <c r="F100" s="10" t="s">
        <v>51</v>
      </c>
      <c r="G100" s="10" t="s">
        <v>51</v>
      </c>
      <c r="H100" s="10" t="s">
        <v>1397</v>
      </c>
      <c r="I100" s="10" t="s">
        <v>51</v>
      </c>
      <c r="J100" s="10" t="s">
        <v>51</v>
      </c>
      <c r="K100" s="10" t="s">
        <v>51</v>
      </c>
      <c r="L100" s="10" t="s">
        <v>51</v>
      </c>
      <c r="M100" s="10" t="s">
        <v>1397</v>
      </c>
      <c r="N100" t="str">
        <f t="shared" si="7"/>
        <v>Exclude</v>
      </c>
      <c r="O100" t="s">
        <v>5385</v>
      </c>
    </row>
    <row r="101" spans="1:15">
      <c r="A101" t="s">
        <v>4274</v>
      </c>
      <c r="B101" s="39" t="str">
        <f>HYPERLINK('citations-it2-studies'!$D119,'citations-it2-studies'!$B119)</f>
        <v>A Study of Java Microbenchmark Tail Latencies</v>
      </c>
      <c r="C101">
        <f>'citations-it2-studies'!$C119</f>
        <v>2023</v>
      </c>
      <c r="D101">
        <f>'citations-it2-studies'!$H119</f>
        <v>5</v>
      </c>
      <c r="E101" t="s">
        <v>1398</v>
      </c>
      <c r="F101" s="9" t="s">
        <v>51</v>
      </c>
      <c r="G101" s="9" t="s">
        <v>51</v>
      </c>
      <c r="H101" s="9" t="s">
        <v>51</v>
      </c>
      <c r="I101" s="9" t="s">
        <v>51</v>
      </c>
      <c r="J101" s="9" t="s">
        <v>51</v>
      </c>
      <c r="K101" s="9" t="s">
        <v>51</v>
      </c>
      <c r="L101" s="9" t="s">
        <v>1397</v>
      </c>
      <c r="M101" s="9" t="s">
        <v>1397</v>
      </c>
      <c r="N101" t="str">
        <f t="shared" si="7"/>
        <v>Exclude</v>
      </c>
      <c r="O101" t="s">
        <v>5378</v>
      </c>
    </row>
    <row r="102" spans="1:15">
      <c r="A102" t="s">
        <v>4274</v>
      </c>
      <c r="B102" s="39" t="str">
        <f>HYPERLINK('citations-it2-studies'!$D120,'citations-it2-studies'!$B120)</f>
        <v>Adopting User-Space Networking for DDS Message-Oriented Middleware</v>
      </c>
      <c r="C102">
        <f>'citations-it2-studies'!$C120</f>
        <v>2024</v>
      </c>
      <c r="D102">
        <f>'citations-it2-studies'!$H120</f>
        <v>11</v>
      </c>
      <c r="E102" t="s">
        <v>1398</v>
      </c>
      <c r="F102" s="10" t="s">
        <v>51</v>
      </c>
      <c r="G102" s="10" t="s">
        <v>51</v>
      </c>
      <c r="H102" s="10" t="s">
        <v>1397</v>
      </c>
      <c r="I102" s="10" t="s">
        <v>51</v>
      </c>
      <c r="J102" s="10" t="s">
        <v>51</v>
      </c>
      <c r="K102" s="10" t="s">
        <v>51</v>
      </c>
      <c r="L102" s="10" t="s">
        <v>51</v>
      </c>
      <c r="M102" s="10" t="s">
        <v>1397</v>
      </c>
      <c r="N102" t="str">
        <f t="shared" si="7"/>
        <v>Exclude</v>
      </c>
      <c r="O102" t="s">
        <v>5385</v>
      </c>
    </row>
    <row r="103" spans="1:15">
      <c r="A103" t="s">
        <v>4274</v>
      </c>
      <c r="B103" s="39" t="str">
        <f>HYPERLINK('citations-it2-studies'!$D121,'citations-it2-studies'!$B121)</f>
        <v>WEA - Maintenance Management of an Additive Manufacturing System Based on the I4.0 Model.</v>
      </c>
      <c r="C103">
        <f>'citations-it2-studies'!$C121</f>
        <v>2021</v>
      </c>
      <c r="D103">
        <f>'citations-it2-studies'!$H121</f>
        <v>13</v>
      </c>
      <c r="E103" t="s">
        <v>1398</v>
      </c>
      <c r="F103" s="10" t="s">
        <v>51</v>
      </c>
      <c r="G103" s="10" t="s">
        <v>51</v>
      </c>
      <c r="H103" s="10" t="s">
        <v>51</v>
      </c>
      <c r="I103" s="10" t="s">
        <v>51</v>
      </c>
      <c r="J103" s="10" t="s">
        <v>51</v>
      </c>
      <c r="K103" s="10" t="s">
        <v>51</v>
      </c>
      <c r="L103" s="10" t="s">
        <v>1397</v>
      </c>
      <c r="M103" s="10" t="s">
        <v>1397</v>
      </c>
      <c r="N103" t="str">
        <f t="shared" si="7"/>
        <v>Exclude</v>
      </c>
      <c r="O103" t="s">
        <v>5378</v>
      </c>
    </row>
    <row r="104" spans="1:15">
      <c r="A104" t="s">
        <v>4274</v>
      </c>
      <c r="B104" s="39" t="str">
        <f>HYPERLINK('citations-it2-studies'!$D122,'citations-it2-studies'!$B122)</f>
        <v>Evaluation of an OPC UA-Based Access Control Enforcement Architecture</v>
      </c>
      <c r="C104">
        <f>'citations-it2-studies'!$C122</f>
        <v>2024</v>
      </c>
      <c r="D104">
        <f>'citations-it2-studies'!$H122</f>
        <v>21</v>
      </c>
      <c r="E104" t="s">
        <v>1398</v>
      </c>
      <c r="F104" s="9"/>
      <c r="G104" s="9" t="s">
        <v>51</v>
      </c>
      <c r="H104" s="9" t="s">
        <v>51</v>
      </c>
      <c r="I104" s="9" t="s">
        <v>51</v>
      </c>
      <c r="J104" s="9" t="s">
        <v>51</v>
      </c>
      <c r="K104" s="9" t="s">
        <v>51</v>
      </c>
      <c r="L104" s="10" t="s">
        <v>1397</v>
      </c>
      <c r="M104" s="9"/>
      <c r="N104" t="str">
        <f t="shared" si="7"/>
        <v>Exclude</v>
      </c>
      <c r="O104" t="s">
        <v>5378</v>
      </c>
    </row>
    <row r="105" spans="1:15">
      <c r="A105" t="s">
        <v>4274</v>
      </c>
      <c r="B105" s="39" t="str">
        <f>HYPERLINK('citations-it2-studies'!$D123,'citations-it2-studies'!$B123)</f>
        <v>A novel testbed for evaluating ROS 2 robot swarm wireless communications</v>
      </c>
      <c r="C105">
        <f>'citations-it2-studies'!$C123</f>
        <v>2024</v>
      </c>
      <c r="D105">
        <f>'citations-it2-studies'!$H123</f>
        <v>6</v>
      </c>
      <c r="E105" t="s">
        <v>1398</v>
      </c>
      <c r="F105" s="10"/>
      <c r="G105" s="10" t="s">
        <v>51</v>
      </c>
      <c r="H105" s="10" t="s">
        <v>51</v>
      </c>
      <c r="I105" s="10" t="s">
        <v>51</v>
      </c>
      <c r="J105" s="10" t="s">
        <v>51</v>
      </c>
      <c r="K105" s="10" t="s">
        <v>51</v>
      </c>
      <c r="L105" s="10" t="s">
        <v>1397</v>
      </c>
      <c r="M105" s="10"/>
      <c r="N105" t="str">
        <f t="shared" si="7"/>
        <v>Exclude</v>
      </c>
      <c r="O105" t="s">
        <v>5378</v>
      </c>
    </row>
    <row r="106" spans="1:15">
      <c r="A106" t="s">
        <v>4274</v>
      </c>
      <c r="B106" s="39" t="str">
        <f>HYPERLINK('citations-it2-studies'!$D124,'citations-it2-studies'!$B124)</f>
        <v>Generation of Critical Information and Sharing Mechanism for Multi-Robot Mission Success</v>
      </c>
      <c r="C106">
        <f>'citations-it2-studies'!$C124</f>
        <v>2025</v>
      </c>
      <c r="D106">
        <f>'citations-it2-studies'!$H124</f>
        <v>19</v>
      </c>
      <c r="E106" t="s">
        <v>1398</v>
      </c>
      <c r="F106" s="9" t="s">
        <v>51</v>
      </c>
      <c r="G106" s="9" t="s">
        <v>51</v>
      </c>
      <c r="H106" s="9" t="s">
        <v>51</v>
      </c>
      <c r="I106" s="9" t="s">
        <v>51</v>
      </c>
      <c r="J106" s="9" t="s">
        <v>51</v>
      </c>
      <c r="K106" s="9" t="s">
        <v>51</v>
      </c>
      <c r="L106" s="9" t="s">
        <v>1397</v>
      </c>
      <c r="M106" s="9" t="s">
        <v>1397</v>
      </c>
      <c r="N106" t="str">
        <f t="shared" ref="N106:N135" si="8">IF(COUNTIF(F106:M106,"X")&gt;0,"Exclude",IF(UPPER(TRIM(E106))="O","Include",""))</f>
        <v>Exclude</v>
      </c>
      <c r="O106" t="s">
        <v>5378</v>
      </c>
    </row>
    <row r="107" spans="1:15">
      <c r="A107" t="s">
        <v>4274</v>
      </c>
      <c r="B107" s="39" t="str">
        <f>HYPERLINK('citations-it2-studies'!$D125,'citations-it2-studies'!$B125)</f>
        <v>Performance Testing for Cloud Computing with Dependent Data Bootstrapping</v>
      </c>
      <c r="C107">
        <f>'citations-it2-studies'!$C125</f>
        <v>2021</v>
      </c>
      <c r="D107">
        <f>'citations-it2-studies'!$H125</f>
        <v>13</v>
      </c>
      <c r="E107" t="s">
        <v>1398</v>
      </c>
      <c r="F107" s="10" t="s">
        <v>51</v>
      </c>
      <c r="G107" s="10" t="s">
        <v>51</v>
      </c>
      <c r="H107" s="10" t="s">
        <v>51</v>
      </c>
      <c r="I107" s="10" t="s">
        <v>51</v>
      </c>
      <c r="J107" s="10" t="s">
        <v>51</v>
      </c>
      <c r="K107" s="10" t="s">
        <v>51</v>
      </c>
      <c r="L107" s="10" t="s">
        <v>1397</v>
      </c>
      <c r="M107" s="10" t="s">
        <v>1397</v>
      </c>
      <c r="N107" t="str">
        <f t="shared" si="8"/>
        <v>Exclude</v>
      </c>
      <c r="O107" t="s">
        <v>5378</v>
      </c>
    </row>
    <row r="108" spans="1:15">
      <c r="A108" t="s">
        <v>4274</v>
      </c>
      <c r="B108" s="39" t="str">
        <f>HYPERLINK('citations-it2-studies'!$D126,'citations-it2-studies'!$B126)</f>
        <v>HPCA - Eudoxus: Characterizing and Accelerating Localization in Autonomous Machines Industry Track Paper</v>
      </c>
      <c r="C108">
        <f>'citations-it2-studies'!$C126</f>
        <v>2021</v>
      </c>
      <c r="D108">
        <f>'citations-it2-studies'!$H126</f>
        <v>14</v>
      </c>
      <c r="E108" t="s">
        <v>1398</v>
      </c>
      <c r="F108" s="9" t="s">
        <v>51</v>
      </c>
      <c r="G108" s="9" t="s">
        <v>51</v>
      </c>
      <c r="H108" s="9" t="s">
        <v>51</v>
      </c>
      <c r="I108" s="9" t="s">
        <v>51</v>
      </c>
      <c r="J108" s="9" t="s">
        <v>51</v>
      </c>
      <c r="K108" s="9" t="s">
        <v>51</v>
      </c>
      <c r="L108" s="9" t="s">
        <v>1397</v>
      </c>
      <c r="M108" s="9" t="s">
        <v>1397</v>
      </c>
      <c r="N108" t="str">
        <f t="shared" si="8"/>
        <v>Exclude</v>
      </c>
      <c r="O108" t="s">
        <v>5378</v>
      </c>
    </row>
    <row r="109" spans="1:15">
      <c r="A109" t="s">
        <v>4274</v>
      </c>
      <c r="B109" s="39" t="str">
        <f>HYPERLINK('citations-it2-studies'!$D127,'citations-it2-studies'!$B127)</f>
        <v>Industrial Communication Based on MQTT and Modbus Communication Applied in a Meteorological Network</v>
      </c>
      <c r="C109">
        <f>'citations-it2-studies'!$C127</f>
        <v>2020</v>
      </c>
      <c r="D109">
        <f>'citations-it2-studies'!$H127</f>
        <v>13</v>
      </c>
      <c r="E109" t="s">
        <v>1398</v>
      </c>
      <c r="F109" s="10" t="s">
        <v>51</v>
      </c>
      <c r="G109" s="10" t="s">
        <v>51</v>
      </c>
      <c r="H109" s="10" t="s">
        <v>51</v>
      </c>
      <c r="I109" s="10" t="s">
        <v>51</v>
      </c>
      <c r="J109" s="10" t="s">
        <v>51</v>
      </c>
      <c r="K109" s="10" t="s">
        <v>51</v>
      </c>
      <c r="L109" s="10" t="s">
        <v>51</v>
      </c>
      <c r="M109" s="10" t="s">
        <v>1397</v>
      </c>
      <c r="N109" t="str">
        <f t="shared" si="8"/>
        <v>Exclude</v>
      </c>
      <c r="O109" t="s">
        <v>5379</v>
      </c>
    </row>
    <row r="110" spans="1:15">
      <c r="A110" t="s">
        <v>4274</v>
      </c>
      <c r="B110" s="39" t="str">
        <f>HYPERLINK('citations-it2-studies'!$D128,'citations-it2-studies'!$B128)</f>
        <v>A Reliability Assessment of an Industrial Communication Protocol on a Windows OS Embedded PC for an Oil Rig Control Application</v>
      </c>
      <c r="C110">
        <f>'citations-it2-studies'!$C128</f>
        <v>2021</v>
      </c>
      <c r="D110">
        <f>'citations-it2-studies'!$H128</f>
        <v>0</v>
      </c>
      <c r="E110" t="s">
        <v>1398</v>
      </c>
      <c r="F110" s="9" t="s">
        <v>51</v>
      </c>
      <c r="G110" s="9" t="s">
        <v>51</v>
      </c>
      <c r="H110" s="9" t="s">
        <v>51</v>
      </c>
      <c r="I110" s="9" t="s">
        <v>51</v>
      </c>
      <c r="J110" s="9" t="s">
        <v>51</v>
      </c>
      <c r="K110" s="9" t="s">
        <v>51</v>
      </c>
      <c r="L110" s="9" t="s">
        <v>1397</v>
      </c>
      <c r="M110" s="9" t="s">
        <v>1397</v>
      </c>
      <c r="N110" t="str">
        <f t="shared" si="8"/>
        <v>Exclude</v>
      </c>
      <c r="O110" t="s">
        <v>5378</v>
      </c>
    </row>
    <row r="111" spans="1:15">
      <c r="A111" t="s">
        <v>4274</v>
      </c>
      <c r="B111" s="39" t="str">
        <f>HYPERLINK('citations-it2-studies'!$D129,'citations-it2-studies'!$B129)</f>
        <v>ROS2-based Small-Scale Development Platform for CCAM Research Demonstrators</v>
      </c>
      <c r="C111">
        <f>'citations-it2-studies'!$C129</f>
        <v>2022</v>
      </c>
      <c r="D111">
        <f>'citations-it2-studies'!$H129</f>
        <v>6</v>
      </c>
      <c r="E111" t="s">
        <v>1398</v>
      </c>
      <c r="F111" s="10" t="s">
        <v>51</v>
      </c>
      <c r="G111" s="10" t="s">
        <v>51</v>
      </c>
      <c r="H111" s="10" t="s">
        <v>1397</v>
      </c>
      <c r="I111" s="10" t="s">
        <v>51</v>
      </c>
      <c r="J111" s="10" t="s">
        <v>51</v>
      </c>
      <c r="K111" s="10" t="s">
        <v>51</v>
      </c>
      <c r="L111" s="10" t="s">
        <v>51</v>
      </c>
      <c r="M111" s="10" t="s">
        <v>1397</v>
      </c>
      <c r="N111" t="str">
        <f t="shared" si="8"/>
        <v>Exclude</v>
      </c>
      <c r="O111" t="s">
        <v>5385</v>
      </c>
    </row>
    <row r="112" spans="1:15">
      <c r="A112" t="s">
        <v>4274</v>
      </c>
      <c r="B112" s="39" t="str">
        <f>HYPERLINK('citations-it2-studies'!$D130,'citations-it2-studies'!$B130)</f>
        <v>Advanced Analytics as a Service in Smart Factories</v>
      </c>
      <c r="C112">
        <f>'citations-it2-studies'!$C130</f>
        <v>2022</v>
      </c>
      <c r="D112">
        <f>'citations-it2-studies'!$H130</f>
        <v>6</v>
      </c>
      <c r="E112" t="s">
        <v>1398</v>
      </c>
      <c r="F112" s="9" t="s">
        <v>51</v>
      </c>
      <c r="G112" s="9" t="s">
        <v>51</v>
      </c>
      <c r="H112" s="9" t="s">
        <v>51</v>
      </c>
      <c r="I112" s="9" t="s">
        <v>51</v>
      </c>
      <c r="J112" s="9" t="s">
        <v>51</v>
      </c>
      <c r="K112" s="9" t="s">
        <v>51</v>
      </c>
      <c r="L112" s="9" t="s">
        <v>1397</v>
      </c>
      <c r="M112" s="9" t="s">
        <v>1397</v>
      </c>
      <c r="N112" t="str">
        <f t="shared" si="8"/>
        <v>Exclude</v>
      </c>
      <c r="O112" t="s">
        <v>5378</v>
      </c>
    </row>
    <row r="113" spans="1:15">
      <c r="A113" t="s">
        <v>4274</v>
      </c>
      <c r="B113" s="39" t="str">
        <f>HYPERLINK('citations-it2-studies'!$D132,'citations-it2-studies'!$B132)</f>
        <v>Towards post-quantum security for cyber-physical systems: Integrating PQC into industrial M2M communication1</v>
      </c>
      <c r="C113">
        <f>'citations-it2-studies'!$C132</f>
        <v>2021</v>
      </c>
      <c r="D113">
        <f>'citations-it2-studies'!$H132</f>
        <v>31</v>
      </c>
      <c r="E113" t="s">
        <v>1398</v>
      </c>
      <c r="F113" s="10" t="s">
        <v>51</v>
      </c>
      <c r="G113" s="10" t="s">
        <v>51</v>
      </c>
      <c r="H113" s="10" t="s">
        <v>51</v>
      </c>
      <c r="I113" s="10" t="s">
        <v>51</v>
      </c>
      <c r="J113" s="10" t="s">
        <v>51</v>
      </c>
      <c r="K113" s="10" t="s">
        <v>51</v>
      </c>
      <c r="L113" s="10" t="s">
        <v>1397</v>
      </c>
      <c r="M113" s="10" t="s">
        <v>1397</v>
      </c>
      <c r="N113" t="str">
        <f t="shared" si="8"/>
        <v>Exclude</v>
      </c>
      <c r="O113" t="s">
        <v>5378</v>
      </c>
    </row>
    <row r="114" spans="1:15">
      <c r="A114" t="s">
        <v>4274</v>
      </c>
      <c r="B114" s="39" t="str">
        <f>HYPERLINK('citations-it2-studies'!$D133,'citations-it2-studies'!$B133)</f>
        <v>A Study of Publish/Subscribe Middleware Under Different IoT Traffic Conditions</v>
      </c>
      <c r="C114">
        <f>'citations-it2-studies'!$C133</f>
        <v>2020</v>
      </c>
      <c r="D114">
        <f>'citations-it2-studies'!$H133</f>
        <v>6</v>
      </c>
      <c r="E114" t="s">
        <v>1398</v>
      </c>
      <c r="F114" s="10" t="s">
        <v>51</v>
      </c>
      <c r="G114" s="10" t="s">
        <v>51</v>
      </c>
      <c r="H114" s="10" t="s">
        <v>1397</v>
      </c>
      <c r="I114" s="10" t="s">
        <v>51</v>
      </c>
      <c r="J114" s="10" t="s">
        <v>51</v>
      </c>
      <c r="K114" s="10" t="s">
        <v>51</v>
      </c>
      <c r="L114" s="10" t="s">
        <v>51</v>
      </c>
      <c r="M114" s="10"/>
      <c r="N114" t="str">
        <f t="shared" si="8"/>
        <v>Exclude</v>
      </c>
      <c r="O114" t="s">
        <v>5384</v>
      </c>
    </row>
    <row r="115" spans="1:15">
      <c r="A115" t="s">
        <v>4274</v>
      </c>
      <c r="B115" s="39" t="str">
        <f>HYPERLINK('citations-it2-studies'!$D135,'citations-it2-studies'!$B135)</f>
        <v>An Operational 5G Edge Cloud-Controlled Robotic Cell Environment Based on MQTT and OPC UA</v>
      </c>
      <c r="C115">
        <f>'citations-it2-studies'!$C135</f>
        <v>2023</v>
      </c>
      <c r="D115">
        <f>'citations-it2-studies'!$H135</f>
        <v>8</v>
      </c>
      <c r="E115" t="s">
        <v>1398</v>
      </c>
      <c r="F115" s="9" t="s">
        <v>51</v>
      </c>
      <c r="G115" s="9" t="s">
        <v>51</v>
      </c>
      <c r="H115" s="9" t="s">
        <v>51</v>
      </c>
      <c r="I115" s="9" t="s">
        <v>51</v>
      </c>
      <c r="J115" s="9" t="s">
        <v>51</v>
      </c>
      <c r="K115" s="9" t="s">
        <v>51</v>
      </c>
      <c r="L115" s="9" t="s">
        <v>51</v>
      </c>
      <c r="M115" s="9" t="s">
        <v>1397</v>
      </c>
      <c r="N115" t="str">
        <f t="shared" si="8"/>
        <v>Exclude</v>
      </c>
      <c r="O115" t="s">
        <v>5379</v>
      </c>
    </row>
    <row r="116" spans="1:15">
      <c r="A116" t="s">
        <v>4274</v>
      </c>
      <c r="B116" s="39" t="str">
        <f>HYPERLINK('citations-it2-studies'!$D136,'citations-it2-studies'!$B136)</f>
        <v>Unified Namespace and Asset Administration Shell: A Winning Combination for Digital Production</v>
      </c>
      <c r="C116">
        <f>'citations-it2-studies'!$C136</f>
        <v>2024</v>
      </c>
      <c r="D116">
        <f>'citations-it2-studies'!$H136</f>
        <v>7</v>
      </c>
      <c r="E116" t="s">
        <v>1398</v>
      </c>
      <c r="F116" s="9" t="s">
        <v>51</v>
      </c>
      <c r="G116" s="9" t="s">
        <v>51</v>
      </c>
      <c r="H116" s="9" t="s">
        <v>51</v>
      </c>
      <c r="I116" s="9" t="s">
        <v>51</v>
      </c>
      <c r="J116" s="9" t="s">
        <v>51</v>
      </c>
      <c r="K116" s="9" t="s">
        <v>51</v>
      </c>
      <c r="L116" s="9" t="s">
        <v>1397</v>
      </c>
      <c r="M116" s="9" t="s">
        <v>1397</v>
      </c>
      <c r="N116" t="str">
        <f t="shared" si="8"/>
        <v>Exclude</v>
      </c>
      <c r="O116" t="s">
        <v>5378</v>
      </c>
    </row>
    <row r="117" spans="1:15">
      <c r="A117" t="s">
        <v>4274</v>
      </c>
      <c r="B117" s="39" t="str">
        <f>HYPERLINK('citations-it2-studies'!$D137,'citations-it2-studies'!$B137)</f>
        <v>Computation offloading for ground robotic systems communicating over WiFi – an empirical exploration on performance and energy trade-offs</v>
      </c>
      <c r="C117">
        <f>'citations-it2-studies'!$C137</f>
        <v>2023</v>
      </c>
      <c r="D117">
        <f>'citations-it2-studies'!$H137</f>
        <v>0</v>
      </c>
      <c r="E117" t="s">
        <v>1398</v>
      </c>
      <c r="F117" s="10" t="s">
        <v>51</v>
      </c>
      <c r="G117" s="10" t="s">
        <v>51</v>
      </c>
      <c r="H117" s="10" t="s">
        <v>1397</v>
      </c>
      <c r="I117" s="10" t="s">
        <v>51</v>
      </c>
      <c r="J117" s="10" t="s">
        <v>51</v>
      </c>
      <c r="K117" s="10" t="s">
        <v>51</v>
      </c>
      <c r="L117" s="10" t="s">
        <v>51</v>
      </c>
      <c r="M117" s="10"/>
      <c r="N117" t="str">
        <f t="shared" si="8"/>
        <v>Exclude</v>
      </c>
      <c r="O117" t="s">
        <v>5384</v>
      </c>
    </row>
    <row r="118" spans="1:15">
      <c r="A118" t="s">
        <v>4274</v>
      </c>
      <c r="B118" s="39" t="str">
        <f>HYPERLINK('citations-it2-studies'!$D138,'citations-it2-studies'!$B138)</f>
        <v>A Grassroots Network and Community Roadmap for Interconnected Autonomous Science Laboratories for Accelerated Discovery</v>
      </c>
      <c r="C118">
        <f>'citations-it2-studies'!$C138</f>
        <v>2025</v>
      </c>
      <c r="D118">
        <f>'citations-it2-studies'!$H138</f>
        <v>9</v>
      </c>
      <c r="E118" t="s">
        <v>1398</v>
      </c>
      <c r="F118" s="9" t="s">
        <v>51</v>
      </c>
      <c r="G118" s="9" t="s">
        <v>51</v>
      </c>
      <c r="H118" s="9" t="s">
        <v>51</v>
      </c>
      <c r="I118" s="9" t="s">
        <v>51</v>
      </c>
      <c r="J118" s="9" t="s">
        <v>51</v>
      </c>
      <c r="K118" s="9" t="s">
        <v>51</v>
      </c>
      <c r="L118" s="9" t="s">
        <v>1397</v>
      </c>
      <c r="M118" s="9" t="s">
        <v>1397</v>
      </c>
      <c r="N118" t="str">
        <f t="shared" si="8"/>
        <v>Exclude</v>
      </c>
      <c r="O118" t="s">
        <v>5378</v>
      </c>
    </row>
    <row r="119" spans="1:15">
      <c r="A119" t="s">
        <v>4274</v>
      </c>
      <c r="B119" s="39" t="str">
        <f>HYPERLINK('citations-it2-studies'!$D139,'citations-it2-studies'!$B139)</f>
        <v>Guidelines to develop demonstration models on industry 4.0 for engineering training</v>
      </c>
      <c r="C119">
        <f>'citations-it2-studies'!$C139</f>
        <v>2023</v>
      </c>
      <c r="D119">
        <f>'citations-it2-studies'!$H139</f>
        <v>17</v>
      </c>
      <c r="E119" t="s">
        <v>1398</v>
      </c>
      <c r="F119" s="10" t="s">
        <v>51</v>
      </c>
      <c r="G119" s="10" t="s">
        <v>51</v>
      </c>
      <c r="H119" s="10" t="s">
        <v>51</v>
      </c>
      <c r="I119" s="10" t="s">
        <v>51</v>
      </c>
      <c r="J119" s="10" t="s">
        <v>51</v>
      </c>
      <c r="K119" s="10" t="s">
        <v>51</v>
      </c>
      <c r="L119" s="10" t="s">
        <v>1397</v>
      </c>
      <c r="M119" s="10" t="s">
        <v>1397</v>
      </c>
      <c r="N119" t="str">
        <f t="shared" si="8"/>
        <v>Exclude</v>
      </c>
      <c r="O119" t="s">
        <v>5378</v>
      </c>
    </row>
    <row r="120" spans="1:15">
      <c r="A120" t="s">
        <v>4274</v>
      </c>
      <c r="B120" s="39" t="str">
        <f>HYPERLINK('citations-it2-studies'!$D140,'citations-it2-studies'!$B140)</f>
        <v>A next generation upgraded observing platform for the automated Birmingham Solar Oscillations Network (BiSON)</v>
      </c>
      <c r="C120">
        <f>'citations-it2-studies'!$C140</f>
        <v>2020</v>
      </c>
      <c r="D120">
        <f>'citations-it2-studies'!$H140</f>
        <v>0</v>
      </c>
      <c r="E120" t="s">
        <v>1398</v>
      </c>
      <c r="F120" s="10" t="s">
        <v>51</v>
      </c>
      <c r="G120" s="10" t="s">
        <v>51</v>
      </c>
      <c r="H120" s="10" t="s">
        <v>51</v>
      </c>
      <c r="I120" s="10" t="s">
        <v>51</v>
      </c>
      <c r="J120" s="10" t="s">
        <v>51</v>
      </c>
      <c r="K120" s="10" t="s">
        <v>51</v>
      </c>
      <c r="L120" s="10" t="s">
        <v>1397</v>
      </c>
      <c r="M120" s="10" t="s">
        <v>1397</v>
      </c>
      <c r="N120" t="str">
        <f t="shared" si="8"/>
        <v>Exclude</v>
      </c>
      <c r="O120" t="s">
        <v>5378</v>
      </c>
    </row>
    <row r="121" spans="1:15">
      <c r="A121" t="s">
        <v>4274</v>
      </c>
      <c r="B121" s="39" t="str">
        <f>HYPERLINK('citations-it2-studies'!$D141,'citations-it2-studies'!$B141)</f>
        <v>MQTT-I: Achieving End-to-End Data Flow Integrity in MQTT</v>
      </c>
      <c r="C121">
        <f>'citations-it2-studies'!$C141</f>
        <v>2024</v>
      </c>
      <c r="D121">
        <f>'citations-it2-studies'!$H141</f>
        <v>18</v>
      </c>
      <c r="E121" t="s">
        <v>1398</v>
      </c>
      <c r="F121" s="9" t="s">
        <v>51</v>
      </c>
      <c r="G121" s="9" t="s">
        <v>51</v>
      </c>
      <c r="H121" s="9" t="s">
        <v>1397</v>
      </c>
      <c r="I121" s="9" t="s">
        <v>51</v>
      </c>
      <c r="J121" s="9" t="s">
        <v>51</v>
      </c>
      <c r="K121" s="9" t="s">
        <v>51</v>
      </c>
      <c r="L121" s="9" t="s">
        <v>51</v>
      </c>
      <c r="M121" s="9" t="s">
        <v>1397</v>
      </c>
      <c r="N121" t="str">
        <f t="shared" si="8"/>
        <v>Exclude</v>
      </c>
      <c r="O121" t="s">
        <v>5385</v>
      </c>
    </row>
    <row r="122" spans="1:15">
      <c r="A122" t="s">
        <v>4274</v>
      </c>
      <c r="B122" s="39" t="str">
        <f>HYPERLINK('citations-it2-studies'!$D143,'citations-it2-studies'!$B143)</f>
        <v>Introduction to Sustainable Enterprise Resource Planning (S-ERP) in Industry 4.0</v>
      </c>
      <c r="C122">
        <f>'citations-it2-studies'!$C143</f>
        <v>2025</v>
      </c>
      <c r="D122">
        <f>'citations-it2-studies'!$H143</f>
        <v>27</v>
      </c>
      <c r="E122" t="s">
        <v>1398</v>
      </c>
      <c r="F122" s="9" t="s">
        <v>51</v>
      </c>
      <c r="G122" s="9" t="s">
        <v>51</v>
      </c>
      <c r="H122" s="9" t="s">
        <v>51</v>
      </c>
      <c r="I122" s="9" t="s">
        <v>51</v>
      </c>
      <c r="J122" s="9" t="s">
        <v>51</v>
      </c>
      <c r="K122" s="9" t="s">
        <v>51</v>
      </c>
      <c r="L122" s="9" t="s">
        <v>1397</v>
      </c>
      <c r="M122" s="9" t="s">
        <v>1397</v>
      </c>
      <c r="N122" t="str">
        <f t="shared" si="8"/>
        <v>Exclude</v>
      </c>
      <c r="O122" t="s">
        <v>5378</v>
      </c>
    </row>
    <row r="123" spans="1:15">
      <c r="A123" t="s">
        <v>4274</v>
      </c>
      <c r="B123" s="39" t="str">
        <f>HYPERLINK('citations-it2-studies'!$D144,'citations-it2-studies'!$B144)</f>
        <v>ICPS - An OPC UA-based Crane Model Using Time-Sensitive Networking Technology</v>
      </c>
      <c r="C123">
        <f>'citations-it2-studies'!$C144</f>
        <v>2020</v>
      </c>
      <c r="D123">
        <f>'citations-it2-studies'!$H144</f>
        <v>6</v>
      </c>
      <c r="E123" t="s">
        <v>1398</v>
      </c>
      <c r="F123" s="10" t="s">
        <v>51</v>
      </c>
      <c r="G123" s="10" t="s">
        <v>51</v>
      </c>
      <c r="H123" s="10" t="s">
        <v>51</v>
      </c>
      <c r="I123" s="10" t="s">
        <v>51</v>
      </c>
      <c r="J123" s="10" t="s">
        <v>51</v>
      </c>
      <c r="K123" s="10" t="s">
        <v>51</v>
      </c>
      <c r="L123" s="10" t="s">
        <v>51</v>
      </c>
      <c r="M123" s="10"/>
      <c r="N123" t="str">
        <f t="shared" si="8"/>
        <v>Include</v>
      </c>
      <c r="O123" t="s">
        <v>5393</v>
      </c>
    </row>
    <row r="124" spans="1:15">
      <c r="A124" t="s">
        <v>4274</v>
      </c>
      <c r="B124" s="39" t="str">
        <f>HYPERLINK('citations-it2-studies'!$D145,'citations-it2-studies'!$B145)</f>
        <v>MQTT-A: A Broker-Bridging P2P Architecture to Achieve Anonymity in MQTT</v>
      </c>
      <c r="C124">
        <f>'citations-it2-studies'!$C145</f>
        <v>2023</v>
      </c>
      <c r="D124">
        <f>'citations-it2-studies'!$H145</f>
        <v>21</v>
      </c>
      <c r="E124" t="s">
        <v>1398</v>
      </c>
      <c r="F124" s="10" t="s">
        <v>51</v>
      </c>
      <c r="G124" s="10" t="s">
        <v>51</v>
      </c>
      <c r="H124" s="10" t="s">
        <v>1397</v>
      </c>
      <c r="I124" s="10" t="s">
        <v>51</v>
      </c>
      <c r="J124" s="10" t="s">
        <v>51</v>
      </c>
      <c r="K124" s="10" t="s">
        <v>51</v>
      </c>
      <c r="L124" s="10" t="s">
        <v>51</v>
      </c>
      <c r="M124" s="10" t="s">
        <v>1397</v>
      </c>
      <c r="N124" t="str">
        <f t="shared" si="8"/>
        <v>Exclude</v>
      </c>
      <c r="O124" t="s">
        <v>5385</v>
      </c>
    </row>
    <row r="125" spans="1:15">
      <c r="A125" t="s">
        <v>4274</v>
      </c>
      <c r="B125" s="39" t="str">
        <f>HYPERLINK('citations-it2-studies'!$D146,'citations-it2-studies'!$B146)</f>
        <v>Digital Twin: A Comprehensive Survey of Security Threats</v>
      </c>
      <c r="C125">
        <f>'citations-it2-studies'!$C146</f>
        <v>2022</v>
      </c>
      <c r="D125">
        <f>'citations-it2-studies'!$H146</f>
        <v>29</v>
      </c>
      <c r="E125" t="s">
        <v>1398</v>
      </c>
      <c r="F125" s="9" t="s">
        <v>51</v>
      </c>
      <c r="G125" s="9" t="s">
        <v>51</v>
      </c>
      <c r="H125" s="9" t="s">
        <v>51</v>
      </c>
      <c r="I125" s="9" t="s">
        <v>51</v>
      </c>
      <c r="J125" s="9" t="s">
        <v>1397</v>
      </c>
      <c r="K125" s="9" t="s">
        <v>51</v>
      </c>
      <c r="L125" s="9" t="s">
        <v>51</v>
      </c>
      <c r="M125" s="9" t="s">
        <v>1397</v>
      </c>
      <c r="N125" t="str">
        <f t="shared" si="8"/>
        <v>Exclude</v>
      </c>
      <c r="O125" t="s">
        <v>5382</v>
      </c>
    </row>
    <row r="126" spans="1:15">
      <c r="A126" t="s">
        <v>4274</v>
      </c>
      <c r="B126" s="39" t="str">
        <f>HYPERLINK('citations-it2-studies'!$D147,'citations-it2-studies'!$B147)</f>
        <v>MQTT Implementations, Open Issues, and Challenges: A Detailed Comparison and Survey</v>
      </c>
      <c r="C126">
        <f>'citations-it2-studies'!$C147</f>
        <v>2022</v>
      </c>
      <c r="D126">
        <f>'citations-it2-studies'!$H147</f>
        <v>24</v>
      </c>
      <c r="E126" t="s">
        <v>1398</v>
      </c>
      <c r="F126" s="10" t="s">
        <v>51</v>
      </c>
      <c r="G126" s="10" t="s">
        <v>51</v>
      </c>
      <c r="H126" s="10" t="s">
        <v>51</v>
      </c>
      <c r="I126" s="10" t="s">
        <v>51</v>
      </c>
      <c r="J126" s="10" t="s">
        <v>1397</v>
      </c>
      <c r="K126" s="10" t="s">
        <v>51</v>
      </c>
      <c r="L126" s="10" t="s">
        <v>51</v>
      </c>
      <c r="M126" s="10" t="s">
        <v>1397</v>
      </c>
      <c r="N126" t="str">
        <f t="shared" si="8"/>
        <v>Exclude</v>
      </c>
      <c r="O126" t="s">
        <v>5382</v>
      </c>
    </row>
    <row r="127" spans="1:15">
      <c r="A127" t="s">
        <v>4274</v>
      </c>
      <c r="B127" s="39" t="str">
        <f>HYPERLINK('citations-it2-studies'!$D148,'citations-it2-studies'!$B148)</f>
        <v>Distributed Approach for Integration in Industrial Systems</v>
      </c>
      <c r="C127">
        <f>'citations-it2-studies'!$C148</f>
        <v>2023</v>
      </c>
      <c r="D127">
        <f>'citations-it2-studies'!$H148</f>
        <v>10</v>
      </c>
      <c r="E127" t="s">
        <v>1398</v>
      </c>
      <c r="F127" s="9" t="s">
        <v>51</v>
      </c>
      <c r="G127" s="9" t="s">
        <v>51</v>
      </c>
      <c r="H127" s="9" t="s">
        <v>51</v>
      </c>
      <c r="I127" s="9" t="s">
        <v>51</v>
      </c>
      <c r="J127" s="9" t="s">
        <v>51</v>
      </c>
      <c r="K127" s="9" t="s">
        <v>51</v>
      </c>
      <c r="L127" s="9" t="s">
        <v>1397</v>
      </c>
      <c r="M127" s="9" t="s">
        <v>1397</v>
      </c>
      <c r="N127" t="str">
        <f t="shared" si="8"/>
        <v>Exclude</v>
      </c>
      <c r="O127" t="s">
        <v>5378</v>
      </c>
    </row>
    <row r="128" spans="1:15">
      <c r="A128" t="s">
        <v>4274</v>
      </c>
      <c r="B128" s="39" t="str">
        <f>HYPERLINK('citations-it2-studies'!$D149,'citations-it2-studies'!$B149)</f>
        <v>DDS Implementations as Real-Time Middleware – A Systematic Evaluation</v>
      </c>
      <c r="C128">
        <f>'citations-it2-studies'!$C149</f>
        <v>2023</v>
      </c>
      <c r="D128">
        <f>'citations-it2-studies'!$H149</f>
        <v>10</v>
      </c>
      <c r="E128" t="s">
        <v>1398</v>
      </c>
      <c r="F128" s="10" t="s">
        <v>51</v>
      </c>
      <c r="G128" s="10" t="s">
        <v>51</v>
      </c>
      <c r="H128" s="10" t="s">
        <v>1397</v>
      </c>
      <c r="I128" s="10" t="s">
        <v>51</v>
      </c>
      <c r="J128" s="10" t="s">
        <v>51</v>
      </c>
      <c r="K128" s="10" t="s">
        <v>51</v>
      </c>
      <c r="L128" s="10" t="s">
        <v>51</v>
      </c>
      <c r="M128" s="10"/>
      <c r="N128" t="str">
        <f t="shared" si="8"/>
        <v>Exclude</v>
      </c>
      <c r="O128" t="s">
        <v>5384</v>
      </c>
    </row>
    <row r="129" spans="1:15">
      <c r="A129" t="s">
        <v>4274</v>
      </c>
      <c r="B129" s="39" t="str">
        <f>HYPERLINK('citations-it2-studies'!$D151,'citations-it2-studies'!$B151)</f>
        <v>An adaptive human sensor framework for human–robot collaboration</v>
      </c>
      <c r="C129">
        <f>'citations-it2-studies'!$C151</f>
        <v>2021</v>
      </c>
      <c r="D129">
        <f>'citations-it2-studies'!$H151</f>
        <v>16</v>
      </c>
      <c r="E129" t="s">
        <v>1398</v>
      </c>
      <c r="F129" s="9" t="s">
        <v>51</v>
      </c>
      <c r="G129" s="9" t="s">
        <v>51</v>
      </c>
      <c r="H129" s="9" t="s">
        <v>51</v>
      </c>
      <c r="I129" s="9" t="s">
        <v>51</v>
      </c>
      <c r="J129" s="9" t="s">
        <v>51</v>
      </c>
      <c r="K129" s="9" t="s">
        <v>51</v>
      </c>
      <c r="L129" s="9" t="s">
        <v>1397</v>
      </c>
      <c r="M129" s="9" t="s">
        <v>1397</v>
      </c>
      <c r="N129" t="str">
        <f t="shared" si="8"/>
        <v>Exclude</v>
      </c>
      <c r="O129" t="s">
        <v>5378</v>
      </c>
    </row>
    <row r="130" spans="1:15">
      <c r="A130" t="s">
        <v>4274</v>
      </c>
      <c r="B130" s="39" t="str">
        <f>HYPERLINK('citations-it2-studies'!$D152,'citations-it2-studies'!$B152)</f>
        <v>Artificial Intelligence on the Shop Floor: A Comprehensive Review of Literature</v>
      </c>
      <c r="C130">
        <f>'citations-it2-studies'!$C152</f>
        <v>2026</v>
      </c>
      <c r="D130">
        <f>'citations-it2-studies'!$H152</f>
        <v>0</v>
      </c>
      <c r="E130" t="s">
        <v>1398</v>
      </c>
      <c r="F130" s="10" t="s">
        <v>51</v>
      </c>
      <c r="G130" s="10" t="s">
        <v>51</v>
      </c>
      <c r="H130" s="10" t="s">
        <v>51</v>
      </c>
      <c r="I130" s="10" t="s">
        <v>51</v>
      </c>
      <c r="J130" s="10" t="s">
        <v>1397</v>
      </c>
      <c r="K130" s="10" t="s">
        <v>51</v>
      </c>
      <c r="L130" s="10" t="s">
        <v>51</v>
      </c>
      <c r="M130" s="10" t="s">
        <v>1397</v>
      </c>
      <c r="N130" t="str">
        <f t="shared" si="8"/>
        <v>Exclude</v>
      </c>
      <c r="O130" t="s">
        <v>5382</v>
      </c>
    </row>
    <row r="131" spans="1:15">
      <c r="A131" t="s">
        <v>4274</v>
      </c>
      <c r="B131" s="39" t="str">
        <f>HYPERLINK('citations-it2-studies'!$D155,'citations-it2-studies'!$B155)</f>
        <v>Toward Industrial IoT: Integrated Architecture of an OPC UA Synergy Platform</v>
      </c>
      <c r="C131">
        <f>'citations-it2-studies'!$C155</f>
        <v>2021</v>
      </c>
      <c r="D131">
        <f>'citations-it2-studies'!$H155</f>
        <v>12</v>
      </c>
      <c r="E131" t="s">
        <v>1398</v>
      </c>
      <c r="F131" s="9" t="s">
        <v>51</v>
      </c>
      <c r="G131" s="9" t="s">
        <v>51</v>
      </c>
      <c r="H131" s="9" t="s">
        <v>51</v>
      </c>
      <c r="I131" s="9" t="s">
        <v>51</v>
      </c>
      <c r="J131" s="9" t="s">
        <v>51</v>
      </c>
      <c r="K131" s="9" t="s">
        <v>51</v>
      </c>
      <c r="L131" s="9" t="s">
        <v>1397</v>
      </c>
      <c r="M131" s="9"/>
      <c r="N131" t="str">
        <f t="shared" si="8"/>
        <v>Exclude</v>
      </c>
      <c r="O131" t="s">
        <v>5386</v>
      </c>
    </row>
    <row r="132" spans="1:15">
      <c r="A132" t="s">
        <v>4274</v>
      </c>
      <c r="B132" s="39" t="str">
        <f>HYPERLINK('citations-it2-studies'!$D157,'citations-it2-studies'!$B157)</f>
        <v>Eudoxus: Characterizing and Accelerating Localization in Autonomous Machines.</v>
      </c>
      <c r="C132">
        <f>'citations-it2-studies'!$C157</f>
        <v>2020</v>
      </c>
      <c r="D132">
        <f>'citations-it2-studies'!$H157</f>
        <v>0</v>
      </c>
      <c r="E132" t="s">
        <v>1398</v>
      </c>
      <c r="F132" s="10" t="s">
        <v>51</v>
      </c>
      <c r="G132" s="10" t="s">
        <v>51</v>
      </c>
      <c r="H132" s="10" t="s">
        <v>51</v>
      </c>
      <c r="I132" s="10" t="s">
        <v>51</v>
      </c>
      <c r="J132" s="10" t="s">
        <v>51</v>
      </c>
      <c r="K132" s="10" t="s">
        <v>51</v>
      </c>
      <c r="L132" s="10" t="s">
        <v>1397</v>
      </c>
      <c r="M132" s="10" t="s">
        <v>1397</v>
      </c>
      <c r="N132" t="str">
        <f t="shared" si="8"/>
        <v>Exclude</v>
      </c>
      <c r="O132" t="s">
        <v>5378</v>
      </c>
    </row>
    <row r="133" spans="1:15">
      <c r="A133" t="s">
        <v>4274</v>
      </c>
      <c r="B133" s="39" t="str">
        <f>HYPERLINK('citations-it2-studies'!$D158,'citations-it2-studies'!$B158)</f>
        <v>Quantifying DDS-cerberus network control overhead</v>
      </c>
      <c r="C133">
        <f>'citations-it2-studies'!$C158</f>
        <v>2022</v>
      </c>
      <c r="D133">
        <f>'citations-it2-studies'!$H158</f>
        <v>27</v>
      </c>
      <c r="E133" t="s">
        <v>1398</v>
      </c>
      <c r="F133" s="10" t="s">
        <v>51</v>
      </c>
      <c r="G133" s="10" t="s">
        <v>51</v>
      </c>
      <c r="H133" s="10" t="s">
        <v>1397</v>
      </c>
      <c r="I133" s="10" t="s">
        <v>51</v>
      </c>
      <c r="J133" s="10" t="s">
        <v>51</v>
      </c>
      <c r="K133" s="10" t="s">
        <v>51</v>
      </c>
      <c r="L133" s="10" t="s">
        <v>51</v>
      </c>
      <c r="M133" s="10"/>
      <c r="N133" t="str">
        <f t="shared" si="8"/>
        <v>Exclude</v>
      </c>
      <c r="O133" t="s">
        <v>5384</v>
      </c>
    </row>
    <row r="134" spans="1:15">
      <c r="A134" t="s">
        <v>4274</v>
      </c>
      <c r="B134" s="39" t="str">
        <f>HYPERLINK('citations-it2-studies'!$D159,'citations-it2-studies'!$B159)</f>
        <v>Bare-Metal vs. Hypervisors and Containers: Performance Evaluation of Virtualization Technologies for Software-Defined Vehicles</v>
      </c>
      <c r="C134">
        <f>'citations-it2-studies'!$C159</f>
        <v>2023</v>
      </c>
      <c r="D134">
        <f>'citations-it2-studies'!$H159</f>
        <v>8</v>
      </c>
      <c r="E134" t="s">
        <v>1398</v>
      </c>
      <c r="F134" s="9" t="s">
        <v>51</v>
      </c>
      <c r="G134" s="9" t="s">
        <v>51</v>
      </c>
      <c r="H134" s="9" t="s">
        <v>51</v>
      </c>
      <c r="I134" s="9" t="s">
        <v>51</v>
      </c>
      <c r="J134" s="9" t="s">
        <v>51</v>
      </c>
      <c r="K134" s="9" t="s">
        <v>51</v>
      </c>
      <c r="L134" s="9" t="s">
        <v>1397</v>
      </c>
      <c r="M134" s="9" t="s">
        <v>1397</v>
      </c>
      <c r="N134" t="str">
        <f t="shared" si="8"/>
        <v>Exclude</v>
      </c>
      <c r="O134" t="s">
        <v>5378</v>
      </c>
    </row>
    <row r="135" spans="1:15">
      <c r="A135" t="s">
        <v>4274</v>
      </c>
      <c r="B135" s="39" t="str">
        <f>HYPERLINK('citations-it2-studies'!$D160,'citations-it2-studies'!$B160)</f>
        <v>Evaluating robot operating system's capabilities across distributed containerized systems</v>
      </c>
      <c r="C135">
        <f>'citations-it2-studies'!$C160</f>
        <v>2024</v>
      </c>
      <c r="D135">
        <f>'citations-it2-studies'!$H160</f>
        <v>0</v>
      </c>
      <c r="E135" t="s">
        <v>1398</v>
      </c>
      <c r="F135" s="10" t="s">
        <v>51</v>
      </c>
      <c r="G135" s="10" t="s">
        <v>51</v>
      </c>
      <c r="H135" s="10" t="s">
        <v>51</v>
      </c>
      <c r="I135" s="10" t="s">
        <v>51</v>
      </c>
      <c r="J135" s="10" t="s">
        <v>51</v>
      </c>
      <c r="K135" s="10" t="s">
        <v>51</v>
      </c>
      <c r="L135" s="10" t="s">
        <v>1397</v>
      </c>
      <c r="M135" s="10" t="s">
        <v>1397</v>
      </c>
      <c r="N135" t="str">
        <f t="shared" si="8"/>
        <v>Exclude</v>
      </c>
      <c r="O135" t="s">
        <v>5378</v>
      </c>
    </row>
    <row r="136" spans="1:15">
      <c r="A136" t="s">
        <v>4274</v>
      </c>
      <c r="B136" s="39" t="str">
        <f>HYPERLINK('citations-it2-studies'!$D161,'citations-it2-studies'!$B161)</f>
        <v>Applicability of OPC UA and REST in Edge Computing</v>
      </c>
      <c r="C136">
        <f>'citations-it2-studies'!$C161</f>
        <v>2022</v>
      </c>
      <c r="D136">
        <f>'citations-it2-studies'!$H161</f>
        <v>6</v>
      </c>
      <c r="E136" t="s">
        <v>1398</v>
      </c>
      <c r="F136" s="9" t="s">
        <v>51</v>
      </c>
      <c r="G136" s="9" t="s">
        <v>51</v>
      </c>
      <c r="H136" s="9" t="s">
        <v>51</v>
      </c>
      <c r="I136" s="9" t="s">
        <v>51</v>
      </c>
      <c r="J136" s="9" t="s">
        <v>51</v>
      </c>
      <c r="K136" s="9" t="s">
        <v>51</v>
      </c>
      <c r="L136" s="9" t="s">
        <v>51</v>
      </c>
      <c r="M136" s="9"/>
      <c r="N136" t="str">
        <f t="shared" ref="N136:N159" si="9">IF(COUNTIF(F136:M136,"X")&gt;0,"Exclude",IF(UPPER(TRIM(E136))="O","Include",""))</f>
        <v>Include</v>
      </c>
      <c r="O136" t="s">
        <v>5381</v>
      </c>
    </row>
    <row r="137" spans="1:15">
      <c r="A137" t="s">
        <v>4274</v>
      </c>
      <c r="B137" s="39" t="str">
        <f>HYPERLINK('citations-it2-studies'!$D163,'citations-it2-studies'!$B163)</f>
        <v>Digital Twin for Monitoring an Industrial Process Using Augmented Reality</v>
      </c>
      <c r="C137">
        <f>'citations-it2-studies'!$C163</f>
        <v>2022</v>
      </c>
      <c r="D137">
        <f>'citations-it2-studies'!$H163</f>
        <v>5</v>
      </c>
      <c r="E137" t="s">
        <v>1398</v>
      </c>
      <c r="F137" s="10" t="s">
        <v>51</v>
      </c>
      <c r="G137" s="10" t="s">
        <v>51</v>
      </c>
      <c r="H137" s="10" t="s">
        <v>51</v>
      </c>
      <c r="I137" s="10" t="s">
        <v>51</v>
      </c>
      <c r="J137" s="10" t="s">
        <v>51</v>
      </c>
      <c r="K137" s="10" t="s">
        <v>51</v>
      </c>
      <c r="L137" s="10" t="s">
        <v>1397</v>
      </c>
      <c r="M137" s="10" t="s">
        <v>1397</v>
      </c>
      <c r="N137" t="str">
        <f t="shared" si="9"/>
        <v>Exclude</v>
      </c>
      <c r="O137" t="s">
        <v>5378</v>
      </c>
    </row>
    <row r="138" spans="1:15">
      <c r="A138" t="s">
        <v>4274</v>
      </c>
      <c r="B138" s="39" t="str">
        <f>HYPERLINK('citations-it2-studies'!$D164,'citations-it2-studies'!$B164)</f>
        <v>Distributed Robotic Systems in the Edge-Cloud Continuum with ROS 2: a Review on Novel Architectures and Technology Readiness</v>
      </c>
      <c r="C138">
        <f>'citations-it2-studies'!$C164</f>
        <v>2022</v>
      </c>
      <c r="D138">
        <f>'citations-it2-studies'!$H164</f>
        <v>8</v>
      </c>
      <c r="E138" t="s">
        <v>1398</v>
      </c>
      <c r="F138" s="10" t="s">
        <v>51</v>
      </c>
      <c r="G138" s="10" t="s">
        <v>51</v>
      </c>
      <c r="H138" s="10" t="s">
        <v>51</v>
      </c>
      <c r="I138" s="10" t="s">
        <v>51</v>
      </c>
      <c r="J138" s="10" t="s">
        <v>1397</v>
      </c>
      <c r="K138" s="10" t="s">
        <v>51</v>
      </c>
      <c r="L138" s="10" t="s">
        <v>51</v>
      </c>
      <c r="M138" s="10" t="s">
        <v>1397</v>
      </c>
      <c r="N138" t="str">
        <f t="shared" si="9"/>
        <v>Exclude</v>
      </c>
      <c r="O138" t="s">
        <v>5382</v>
      </c>
    </row>
    <row r="139" spans="1:15">
      <c r="A139" t="s">
        <v>4274</v>
      </c>
      <c r="B139" s="39" t="str">
        <f>HYPERLINK('citations-it2-studies'!$D165,'citations-it2-studies'!$B165)</f>
        <v>Cloud-Native Fog Robotics: Model-Based Deployment and Evaluation of Real-Time Applications</v>
      </c>
      <c r="C139">
        <f>'citations-it2-studies'!$C165</f>
        <v>2025</v>
      </c>
      <c r="D139">
        <f>'citations-it2-studies'!$H165</f>
        <v>8</v>
      </c>
      <c r="E139" t="s">
        <v>1398</v>
      </c>
      <c r="F139" s="10" t="s">
        <v>51</v>
      </c>
      <c r="G139" s="10" t="s">
        <v>51</v>
      </c>
      <c r="H139" s="10" t="s">
        <v>51</v>
      </c>
      <c r="I139" s="10" t="s">
        <v>51</v>
      </c>
      <c r="J139" s="10" t="s">
        <v>51</v>
      </c>
      <c r="K139" s="10" t="s">
        <v>51</v>
      </c>
      <c r="L139" s="10" t="s">
        <v>1397</v>
      </c>
      <c r="M139" s="10" t="s">
        <v>1397</v>
      </c>
      <c r="N139" t="str">
        <f t="shared" si="9"/>
        <v>Exclude</v>
      </c>
      <c r="O139" t="s">
        <v>5378</v>
      </c>
    </row>
    <row r="140" spans="1:15">
      <c r="A140" t="s">
        <v>4274</v>
      </c>
      <c r="B140" s="39" t="str">
        <f>HYPERLINK('citations-it2-studies'!$D167,'citations-it2-studies'!$B167)</f>
        <v>A Survey and Comparison of Publish/Subscribe Protocols for the Industrial Internet of Things (IIoT)</v>
      </c>
      <c r="C140">
        <f>'citations-it2-studies'!$C167</f>
        <v>2022</v>
      </c>
      <c r="D140">
        <f>'citations-it2-studies'!$H167</f>
        <v>8</v>
      </c>
      <c r="E140" t="s">
        <v>1398</v>
      </c>
      <c r="F140" s="9" t="s">
        <v>51</v>
      </c>
      <c r="G140" s="9" t="s">
        <v>51</v>
      </c>
      <c r="H140" s="9" t="s">
        <v>51</v>
      </c>
      <c r="I140" s="9" t="s">
        <v>51</v>
      </c>
      <c r="J140" s="9" t="s">
        <v>1397</v>
      </c>
      <c r="K140" s="9" t="s">
        <v>51</v>
      </c>
      <c r="L140" s="9" t="s">
        <v>51</v>
      </c>
      <c r="M140" s="9" t="s">
        <v>1397</v>
      </c>
      <c r="N140" t="str">
        <f t="shared" si="9"/>
        <v>Exclude</v>
      </c>
      <c r="O140" t="s">
        <v>5382</v>
      </c>
    </row>
    <row r="141" spans="1:15">
      <c r="A141" t="s">
        <v>4274</v>
      </c>
      <c r="B141" s="39" t="str">
        <f>HYPERLINK('citations-it2-studies'!$D168,'citations-it2-studies'!$B168)</f>
        <v>Approaching Interoperability and Data-Related Processing Issues in a Human-Centric Industrial Scenario</v>
      </c>
      <c r="C141">
        <f>'citations-it2-studies'!$C168</f>
        <v>2025</v>
      </c>
      <c r="D141">
        <f>'citations-it2-studies'!$H168</f>
        <v>14</v>
      </c>
      <c r="H141" t="s">
        <v>1397</v>
      </c>
      <c r="L141" t="s">
        <v>1397</v>
      </c>
      <c r="N141" t="str">
        <f t="shared" si="9"/>
        <v>Exclude</v>
      </c>
      <c r="O141" t="s">
        <v>5624</v>
      </c>
    </row>
    <row r="142" spans="1:15">
      <c r="A142" t="s">
        <v>4274</v>
      </c>
      <c r="B142" s="39" t="str">
        <f>HYPERLINK('citations-it2-studies'!$D170,'citations-it2-studies'!$B170)</f>
        <v>New Can Bus Communication Modules for Digitizing Forest Machines Functionalities in the Context of Forestry 4.0</v>
      </c>
      <c r="C142">
        <f>'citations-it2-studies'!$C170</f>
        <v>2023</v>
      </c>
      <c r="D142">
        <f>'citations-it2-studies'!$H170</f>
        <v>9</v>
      </c>
      <c r="H142" t="s">
        <v>1397</v>
      </c>
      <c r="M142" s="42" t="s">
        <v>1397</v>
      </c>
      <c r="N142" t="str">
        <f t="shared" si="9"/>
        <v>Exclude</v>
      </c>
      <c r="O142" t="s">
        <v>5617</v>
      </c>
    </row>
    <row r="143" spans="1:15">
      <c r="A143" t="s">
        <v>4274</v>
      </c>
      <c r="B143" s="39" t="str">
        <f>HYPERLINK('citations-it2-studies'!$D171,'citations-it2-studies'!$B171)</f>
        <v>Design of an Operator Interface for Controlling the Installation of Ion-Plasma Deposition</v>
      </c>
      <c r="C143">
        <f>'citations-it2-studies'!$C171</f>
        <v>2023</v>
      </c>
      <c r="D143">
        <f>'citations-it2-studies'!$H171</f>
        <v>10</v>
      </c>
      <c r="G143" t="s">
        <v>1397</v>
      </c>
      <c r="H143" t="s">
        <v>1397</v>
      </c>
      <c r="I143" t="s">
        <v>1397</v>
      </c>
      <c r="L143" t="s">
        <v>1397</v>
      </c>
      <c r="M143" t="s">
        <v>1397</v>
      </c>
      <c r="N143" t="str">
        <f t="shared" si="9"/>
        <v>Exclude</v>
      </c>
      <c r="O143" t="s">
        <v>5618</v>
      </c>
    </row>
    <row r="144" spans="1:15">
      <c r="A144" t="s">
        <v>4274</v>
      </c>
      <c r="B144" s="39" t="str">
        <f>HYPERLINK('citations-it2-studies'!$D172,'citations-it2-studies'!$B172)</f>
        <v>Displaying Dispatching Systems on Android Devices with Assessment of Data Transfer Protocols</v>
      </c>
      <c r="C144">
        <f>'citations-it2-studies'!$C172</f>
        <v>2025</v>
      </c>
      <c r="D144">
        <f>'citations-it2-studies'!$H172</f>
        <v>5</v>
      </c>
      <c r="H144" t="s">
        <v>1397</v>
      </c>
      <c r="M144" s="42" t="s">
        <v>1397</v>
      </c>
      <c r="N144" t="str">
        <f t="shared" si="9"/>
        <v>Exclude</v>
      </c>
      <c r="O144" t="s">
        <v>5619</v>
      </c>
    </row>
    <row r="145" spans="1:15">
      <c r="A145" t="s">
        <v>4274</v>
      </c>
      <c r="B145" s="39" t="str">
        <f>HYPERLINK('citations-it2-studies'!$D173,'citations-it2-studies'!$B173)</f>
        <v>Event-based Framework for Digitalization of Value Stream Mapping</v>
      </c>
      <c r="C145">
        <f>'citations-it2-studies'!$C173</f>
        <v>2022</v>
      </c>
      <c r="D145">
        <f>'citations-it2-studies'!$H173</f>
        <v>6</v>
      </c>
      <c r="L145" t="s">
        <v>1397</v>
      </c>
      <c r="M145" t="s">
        <v>1397</v>
      </c>
      <c r="N145" t="str">
        <f t="shared" si="9"/>
        <v>Exclude</v>
      </c>
      <c r="O145" t="s">
        <v>5620</v>
      </c>
    </row>
    <row r="146" spans="1:15">
      <c r="A146" t="s">
        <v>4274</v>
      </c>
      <c r="B146" s="39" t="str">
        <f>HYPERLINK('citations-it2-studies'!$D174,'citations-it2-studies'!$B174)</f>
        <v>Open source container orchestration for Industry 4.0 – requirements and systematic feature analysis</v>
      </c>
      <c r="C146">
        <f>'citations-it2-studies'!$C174</f>
        <v>2024</v>
      </c>
      <c r="D146">
        <f>'citations-it2-studies'!$H174</f>
        <v>24</v>
      </c>
      <c r="J146" t="s">
        <v>1397</v>
      </c>
      <c r="N146" t="str">
        <f t="shared" si="9"/>
        <v>Exclude</v>
      </c>
      <c r="O146" t="s">
        <v>5621</v>
      </c>
    </row>
    <row r="147" spans="1:15">
      <c r="A147" t="s">
        <v>4274</v>
      </c>
      <c r="B147" s="39" t="str">
        <f>HYPERLINK('citations-it2-studies'!$D175,'citations-it2-studies'!$B175)</f>
        <v>Optimizing Renewable Energy Using Scalable Solutions: IoT Integration in Renewable Energy Laboratories</v>
      </c>
      <c r="C147">
        <f>'citations-it2-studies'!$C175</f>
        <v>2024</v>
      </c>
      <c r="D147">
        <f>'citations-it2-studies'!$H175</f>
        <v>6</v>
      </c>
      <c r="H147" t="s">
        <v>1397</v>
      </c>
      <c r="M147" t="s">
        <v>1397</v>
      </c>
      <c r="N147" t="str">
        <f t="shared" si="9"/>
        <v>Exclude</v>
      </c>
      <c r="O147" t="s">
        <v>5622</v>
      </c>
    </row>
    <row r="148" spans="1:15">
      <c r="A148" t="s">
        <v>4274</v>
      </c>
      <c r="B148" s="39" t="str">
        <f>HYPERLINK('citations-it2-studies'!$D176,'citations-it2-studies'!$B176)</f>
        <v>A new era for digital twins: progress and industry adoption</v>
      </c>
      <c r="C148">
        <f>'citations-it2-studies'!$C176</f>
        <v>2025</v>
      </c>
      <c r="D148">
        <f>'citations-it2-studies'!$H176</f>
        <v>0</v>
      </c>
      <c r="J148" t="s">
        <v>1397</v>
      </c>
      <c r="M148" t="s">
        <v>1397</v>
      </c>
      <c r="N148" t="str">
        <f t="shared" si="9"/>
        <v>Exclude</v>
      </c>
      <c r="O148" t="s">
        <v>5623</v>
      </c>
    </row>
    <row r="149" spans="1:15">
      <c r="A149" t="s">
        <v>4275</v>
      </c>
      <c r="B149" s="39" t="str">
        <f>HYPERLINK('references-it2-studies'!$D2,'references-it2-studies'!$B2)</f>
        <v>URAI - On the in-controller performance of an open source EtherCAT master using open platforms</v>
      </c>
      <c r="C149">
        <f>'references-it2-studies'!$C2</f>
        <v>2017</v>
      </c>
      <c r="D149">
        <f>'references-it2-studies'!$H2</f>
        <v>5</v>
      </c>
      <c r="E149" t="s">
        <v>1398</v>
      </c>
      <c r="F149" s="10" t="s">
        <v>51</v>
      </c>
      <c r="G149" s="10" t="s">
        <v>51</v>
      </c>
      <c r="H149" s="10" t="s">
        <v>51</v>
      </c>
      <c r="I149" s="10" t="s">
        <v>51</v>
      </c>
      <c r="J149" s="10" t="s">
        <v>51</v>
      </c>
      <c r="K149" s="10" t="s">
        <v>51</v>
      </c>
      <c r="L149" s="10" t="s">
        <v>51</v>
      </c>
      <c r="M149" s="10"/>
      <c r="N149" t="str">
        <f t="shared" si="9"/>
        <v>Include</v>
      </c>
      <c r="O149" t="s">
        <v>5394</v>
      </c>
    </row>
    <row r="150" spans="1:15">
      <c r="A150" t="s">
        <v>4275</v>
      </c>
      <c r="B150" s="39" t="str">
        <f>HYPERLINK('references-it2-studies'!$D3,'references-it2-studies'!$B3)</f>
        <v>ICSA - Self-Commissioning Industrial IoT-Systems in Process Automation: A Reference Architecture</v>
      </c>
      <c r="C150">
        <f>'references-it2-studies'!$C3</f>
        <v>2018</v>
      </c>
      <c r="D150">
        <f>'references-it2-studies'!$H3</f>
        <v>19414</v>
      </c>
      <c r="E150" t="s">
        <v>1398</v>
      </c>
      <c r="F150" s="10" t="s">
        <v>51</v>
      </c>
      <c r="G150" s="10" t="s">
        <v>51</v>
      </c>
      <c r="H150" s="10" t="s">
        <v>51</v>
      </c>
      <c r="I150" s="10" t="s">
        <v>51</v>
      </c>
      <c r="J150" s="10" t="s">
        <v>51</v>
      </c>
      <c r="K150" s="10" t="s">
        <v>51</v>
      </c>
      <c r="L150" s="10" t="s">
        <v>1397</v>
      </c>
      <c r="M150" s="10" t="s">
        <v>1397</v>
      </c>
      <c r="N150" t="str">
        <f t="shared" si="9"/>
        <v>Exclude</v>
      </c>
      <c r="O150" t="s">
        <v>5378</v>
      </c>
    </row>
    <row r="151" spans="1:15">
      <c r="A151" t="s">
        <v>4275</v>
      </c>
      <c r="B151" s="39" t="str">
        <f>HYPERLINK('references-it2-studies'!$D4,'references-it2-studies'!$B4)</f>
        <v>Case of study of a Profinet network using ring topology</v>
      </c>
      <c r="C151">
        <f>'references-it2-studies'!$C4</f>
        <v>2016</v>
      </c>
      <c r="D151">
        <f>'references-it2-studies'!$H4</f>
        <v>6</v>
      </c>
      <c r="E151" t="s">
        <v>1398</v>
      </c>
      <c r="F151" s="10" t="s">
        <v>51</v>
      </c>
      <c r="G151" s="10" t="s">
        <v>51</v>
      </c>
      <c r="H151" s="10" t="s">
        <v>51</v>
      </c>
      <c r="I151" s="10" t="s">
        <v>51</v>
      </c>
      <c r="J151" s="10" t="s">
        <v>51</v>
      </c>
      <c r="K151" s="10" t="s">
        <v>51</v>
      </c>
      <c r="L151" s="10" t="s">
        <v>51</v>
      </c>
      <c r="M151" s="10"/>
      <c r="N151" t="str">
        <f t="shared" si="9"/>
        <v>Include</v>
      </c>
      <c r="O151" t="s">
        <v>5381</v>
      </c>
    </row>
    <row r="152" spans="1:15">
      <c r="A152" t="s">
        <v>4275</v>
      </c>
      <c r="B152" s="39" t="str">
        <f>HYPERLINK('references-it2-studies'!$D7,'references-it2-studies'!$B7)</f>
        <v>Performance Evaluation of QoS metrics in Software Defined Networking using Ryu Controller</v>
      </c>
      <c r="C152">
        <f>'references-it2-studies'!$C7</f>
        <v>2021</v>
      </c>
      <c r="D152">
        <f>'references-it2-studies'!$H7</f>
        <v>0</v>
      </c>
      <c r="E152" t="s">
        <v>1398</v>
      </c>
      <c r="F152" s="9" t="s">
        <v>51</v>
      </c>
      <c r="G152" s="9" t="s">
        <v>51</v>
      </c>
      <c r="H152" s="9" t="s">
        <v>51</v>
      </c>
      <c r="I152" s="9" t="s">
        <v>51</v>
      </c>
      <c r="J152" s="9" t="s">
        <v>51</v>
      </c>
      <c r="K152" s="9" t="s">
        <v>51</v>
      </c>
      <c r="L152" s="9" t="s">
        <v>1397</v>
      </c>
      <c r="M152" s="9" t="s">
        <v>1397</v>
      </c>
      <c r="N152" t="str">
        <f t="shared" si="9"/>
        <v>Exclude</v>
      </c>
      <c r="O152" t="s">
        <v>5378</v>
      </c>
    </row>
    <row r="153" spans="1:15">
      <c r="A153" t="s">
        <v>4275</v>
      </c>
      <c r="B153" s="39" t="str">
        <f>HYPERLINK('references-it2-studies'!$D8,'references-it2-studies'!$B8)</f>
        <v>EMSOFT - Exploring the performance of ROS2</v>
      </c>
      <c r="C153">
        <f>'references-it2-studies'!$C8</f>
        <v>2016</v>
      </c>
      <c r="D153">
        <f>'references-it2-studies'!$H8</f>
        <v>6</v>
      </c>
      <c r="E153" t="s">
        <v>1398</v>
      </c>
      <c r="F153" s="10" t="s">
        <v>51</v>
      </c>
      <c r="G153" s="10" t="s">
        <v>51</v>
      </c>
      <c r="H153" s="10" t="s">
        <v>1397</v>
      </c>
      <c r="I153" s="10" t="s">
        <v>51</v>
      </c>
      <c r="J153" s="10" t="s">
        <v>51</v>
      </c>
      <c r="K153" s="10" t="s">
        <v>51</v>
      </c>
      <c r="L153" s="10" t="s">
        <v>51</v>
      </c>
      <c r="M153" s="10"/>
      <c r="N153" t="str">
        <f t="shared" si="9"/>
        <v>Exclude</v>
      </c>
      <c r="O153" t="s">
        <v>5384</v>
      </c>
    </row>
    <row r="154" spans="1:15">
      <c r="A154" t="s">
        <v>4275</v>
      </c>
      <c r="B154" s="39" t="str">
        <f>HYPERLINK('references-it2-studies'!$D9,'references-it2-studies'!$B9)</f>
        <v>A Middleware Based Architecture for the Industrial Internet of Things</v>
      </c>
      <c r="C154">
        <f>'references-it2-studies'!$C9</f>
        <v>2016</v>
      </c>
      <c r="D154">
        <f>'references-it2-studies'!$H9</f>
        <v>18</v>
      </c>
      <c r="E154" t="s">
        <v>1398</v>
      </c>
      <c r="F154" s="10" t="s">
        <v>51</v>
      </c>
      <c r="G154" s="10" t="s">
        <v>51</v>
      </c>
      <c r="H154" s="10" t="s">
        <v>51</v>
      </c>
      <c r="I154" s="10" t="s">
        <v>51</v>
      </c>
      <c r="J154" s="10" t="s">
        <v>51</v>
      </c>
      <c r="K154" s="10" t="s">
        <v>51</v>
      </c>
      <c r="L154" s="10" t="s">
        <v>1397</v>
      </c>
      <c r="M154" s="10" t="s">
        <v>1397</v>
      </c>
      <c r="N154" t="str">
        <f t="shared" si="9"/>
        <v>Exclude</v>
      </c>
      <c r="O154" t="s">
        <v>5378</v>
      </c>
    </row>
    <row r="155" spans="1:15">
      <c r="A155" t="s">
        <v>4275</v>
      </c>
      <c r="B155" s="39" t="str">
        <f>HYPERLINK('references-it2-studies'!$D10,'references-it2-studies'!$B10)</f>
        <v>Edge Computing in Industrial Internet of Things: Architecture, Advances and Challenges</v>
      </c>
      <c r="C155">
        <f>'references-it2-studies'!$C10</f>
        <v>2020</v>
      </c>
      <c r="D155">
        <f>'references-it2-studies'!$H10</f>
        <v>27</v>
      </c>
      <c r="E155" t="s">
        <v>1398</v>
      </c>
      <c r="F155" s="10" t="s">
        <v>51</v>
      </c>
      <c r="G155" s="10" t="s">
        <v>51</v>
      </c>
      <c r="H155" s="10" t="s">
        <v>51</v>
      </c>
      <c r="I155" s="10" t="s">
        <v>51</v>
      </c>
      <c r="J155" s="10" t="s">
        <v>51</v>
      </c>
      <c r="K155" s="10" t="s">
        <v>51</v>
      </c>
      <c r="L155" s="10" t="s">
        <v>1397</v>
      </c>
      <c r="M155" s="10" t="s">
        <v>1397</v>
      </c>
      <c r="N155" t="str">
        <f t="shared" si="9"/>
        <v>Exclude</v>
      </c>
      <c r="O155" t="s">
        <v>5378</v>
      </c>
    </row>
    <row r="156" spans="1:15">
      <c r="A156" t="s">
        <v>4275</v>
      </c>
      <c r="B156" s="39" t="str">
        <f>HYPERLINK('references-it2-studies'!$D11,'references-it2-studies'!$B11)</f>
        <v>Message Encryption in Robot Operating System: Collateral Effects of Hardening Mobile Robots</v>
      </c>
      <c r="C156">
        <f>'references-it2-studies'!$C11</f>
        <v>2018</v>
      </c>
      <c r="D156">
        <f>'references-it2-studies'!$H11</f>
        <v>0</v>
      </c>
      <c r="E156" t="s">
        <v>1398</v>
      </c>
      <c r="F156" s="10" t="s">
        <v>51</v>
      </c>
      <c r="G156" s="10" t="s">
        <v>51</v>
      </c>
      <c r="H156" s="10" t="s">
        <v>51</v>
      </c>
      <c r="I156" s="10" t="s">
        <v>51</v>
      </c>
      <c r="J156" s="10" t="s">
        <v>51</v>
      </c>
      <c r="K156" s="10" t="s">
        <v>51</v>
      </c>
      <c r="L156" s="10" t="s">
        <v>1397</v>
      </c>
      <c r="M156" s="10" t="s">
        <v>1397</v>
      </c>
      <c r="N156" t="str">
        <f t="shared" si="9"/>
        <v>Exclude</v>
      </c>
      <c r="O156" t="s">
        <v>5378</v>
      </c>
    </row>
    <row r="157" spans="1:15">
      <c r="A157" t="s">
        <v>4275</v>
      </c>
      <c r="B157" s="39" t="str">
        <f>HYPERLINK('references-it2-studies'!$D12,'references-it2-studies'!$B12)</f>
        <v>ICSE (SEIP) - OpenPnP: a plug-and-produce architecture for the industrial internet of things</v>
      </c>
      <c r="C157">
        <f>'references-it2-studies'!$C12</f>
        <v>2019</v>
      </c>
      <c r="D157">
        <f>'references-it2-studies'!$H12</f>
        <v>10</v>
      </c>
      <c r="E157" t="s">
        <v>1398</v>
      </c>
      <c r="F157" s="9" t="s">
        <v>51</v>
      </c>
      <c r="G157" s="9" t="s">
        <v>51</v>
      </c>
      <c r="H157" s="9" t="s">
        <v>51</v>
      </c>
      <c r="I157" s="9" t="s">
        <v>51</v>
      </c>
      <c r="J157" s="9" t="s">
        <v>51</v>
      </c>
      <c r="K157" s="9" t="s">
        <v>51</v>
      </c>
      <c r="L157" s="9" t="s">
        <v>1397</v>
      </c>
      <c r="M157" s="9" t="s">
        <v>1397</v>
      </c>
      <c r="N157" t="str">
        <f t="shared" si="9"/>
        <v>Exclude</v>
      </c>
      <c r="O157" t="s">
        <v>5378</v>
      </c>
    </row>
    <row r="158" spans="1:15">
      <c r="A158" t="s">
        <v>4275</v>
      </c>
      <c r="B158" s="39" t="str">
        <f>HYPERLINK('references-it2-studies'!$D13,'references-it2-studies'!$B13)</f>
        <v>Network Intrusion Detection using Machine Learning Techniques</v>
      </c>
      <c r="C158">
        <f>'references-it2-studies'!$C13</f>
        <v>2020</v>
      </c>
      <c r="D158">
        <f>'references-it2-studies'!$H13</f>
        <v>7</v>
      </c>
      <c r="E158" t="s">
        <v>1398</v>
      </c>
      <c r="F158" s="10" t="s">
        <v>51</v>
      </c>
      <c r="G158" s="10" t="s">
        <v>51</v>
      </c>
      <c r="H158" s="10" t="s">
        <v>51</v>
      </c>
      <c r="I158" s="10" t="s">
        <v>51</v>
      </c>
      <c r="J158" s="10" t="s">
        <v>51</v>
      </c>
      <c r="K158" s="10" t="s">
        <v>51</v>
      </c>
      <c r="L158" s="10" t="s">
        <v>1397</v>
      </c>
      <c r="M158" s="10" t="s">
        <v>1397</v>
      </c>
      <c r="N158" t="str">
        <f t="shared" si="9"/>
        <v>Exclude</v>
      </c>
      <c r="O158" t="s">
        <v>5378</v>
      </c>
    </row>
    <row r="159" spans="1:15">
      <c r="A159" t="s">
        <v>4275</v>
      </c>
      <c r="B159" s="39" t="str">
        <f>HYPERLINK('references-it2-studies'!$D16,'references-it2-studies'!$B16)</f>
        <v>Performance Analysis of Profibus DP and Profinet in a Motion Control Application</v>
      </c>
      <c r="C159">
        <f>'references-it2-studies'!$C16</f>
        <v>2016</v>
      </c>
      <c r="D159">
        <f>'references-it2-studies'!$H16</f>
        <v>8</v>
      </c>
      <c r="E159" t="s">
        <v>1398</v>
      </c>
      <c r="F159" s="10"/>
      <c r="G159" s="10" t="s">
        <v>51</v>
      </c>
      <c r="H159" s="10" t="s">
        <v>51</v>
      </c>
      <c r="I159" s="10"/>
      <c r="J159" s="10" t="s">
        <v>51</v>
      </c>
      <c r="K159" s="10"/>
      <c r="L159" s="10" t="s">
        <v>1397</v>
      </c>
      <c r="M159" s="10"/>
      <c r="N159" t="str">
        <f t="shared" si="9"/>
        <v>Exclude</v>
      </c>
      <c r="O159" t="s">
        <v>5378</v>
      </c>
    </row>
    <row r="160" spans="1:15">
      <c r="A160" t="s">
        <v>4275</v>
      </c>
      <c r="B160" s="39" t="str">
        <f>HYPERLINK('references-it2-studies'!$D20,'references-it2-studies'!$B20)</f>
        <v>Industrial Communication Systems</v>
      </c>
      <c r="C160">
        <f>'references-it2-studies'!$C20</f>
        <v>2018</v>
      </c>
      <c r="D160">
        <f>'references-it2-studies'!$H20</f>
        <v>0</v>
      </c>
      <c r="E160" t="s">
        <v>1398</v>
      </c>
      <c r="F160" s="10" t="s">
        <v>51</v>
      </c>
      <c r="G160" s="10" t="s">
        <v>51</v>
      </c>
      <c r="H160" s="10" t="s">
        <v>51</v>
      </c>
      <c r="I160" s="10" t="s">
        <v>51</v>
      </c>
      <c r="J160" s="10" t="s">
        <v>51</v>
      </c>
      <c r="K160" s="10" t="s">
        <v>51</v>
      </c>
      <c r="L160" s="10" t="s">
        <v>1397</v>
      </c>
      <c r="M160" s="10" t="s">
        <v>1397</v>
      </c>
      <c r="N160" t="str">
        <f t="shared" ref="N160:N168" si="10">IF(COUNTIF(F160:M160,"X")&gt;0,"Exclude",IF(UPPER(TRIM(E160))="O","Include",""))</f>
        <v>Exclude</v>
      </c>
      <c r="O160" t="s">
        <v>5378</v>
      </c>
    </row>
    <row r="161" spans="1:15">
      <c r="A161" t="s">
        <v>4275</v>
      </c>
      <c r="B161" s="39" t="str">
        <f>HYPERLINK('references-it2-studies'!$D21,'references-it2-studies'!$B21)</f>
        <v>Factory Communications at the Dawn of the Fourth Industrial Revolution</v>
      </c>
      <c r="C161">
        <f>'references-it2-studies'!$C21</f>
        <v>2020</v>
      </c>
      <c r="D161">
        <f>'references-it2-studies'!$H21</f>
        <v>0</v>
      </c>
      <c r="E161" t="s">
        <v>1398</v>
      </c>
      <c r="F161" s="10" t="s">
        <v>51</v>
      </c>
      <c r="G161" s="10" t="s">
        <v>51</v>
      </c>
      <c r="H161" s="10" t="s">
        <v>51</v>
      </c>
      <c r="I161" s="10" t="s">
        <v>51</v>
      </c>
      <c r="J161" s="10" t="s">
        <v>51</v>
      </c>
      <c r="K161" s="10" t="s">
        <v>51</v>
      </c>
      <c r="L161" s="10" t="s">
        <v>1397</v>
      </c>
      <c r="M161" s="10" t="s">
        <v>1397</v>
      </c>
      <c r="N161" t="str">
        <f t="shared" si="10"/>
        <v>Exclude</v>
      </c>
      <c r="O161" t="s">
        <v>5378</v>
      </c>
    </row>
    <row r="162" spans="1:15">
      <c r="A162" t="s">
        <v>4275</v>
      </c>
      <c r="B162" s="39" t="str">
        <f>HYPERLINK('references-it2-studies'!$D22,'references-it2-studies'!$B22)</f>
        <v>IEEE 1588 for Clock Synchronization in Industrial IoT and Related Applications: A Review on Contributing Technologies, Protocols and Enhancement Methodologies</v>
      </c>
      <c r="C162">
        <f>'references-it2-studies'!$C22</f>
        <v>2020</v>
      </c>
      <c r="D162">
        <f>'references-it2-studies'!$H22</f>
        <v>19</v>
      </c>
      <c r="E162" t="s">
        <v>1398</v>
      </c>
      <c r="F162" s="9" t="s">
        <v>51</v>
      </c>
      <c r="G162" s="9" t="s">
        <v>51</v>
      </c>
      <c r="H162" s="9" t="s">
        <v>51</v>
      </c>
      <c r="I162" s="9" t="s">
        <v>51</v>
      </c>
      <c r="J162" s="9" t="s">
        <v>1397</v>
      </c>
      <c r="K162" s="9" t="s">
        <v>51</v>
      </c>
      <c r="L162" s="9" t="s">
        <v>51</v>
      </c>
      <c r="M162" s="9" t="s">
        <v>1397</v>
      </c>
      <c r="N162" t="str">
        <f t="shared" si="10"/>
        <v>Exclude</v>
      </c>
      <c r="O162" t="s">
        <v>5382</v>
      </c>
    </row>
    <row r="163" spans="1:15">
      <c r="A163" t="s">
        <v>4275</v>
      </c>
      <c r="B163" s="39" t="str">
        <f>HYPERLINK('references-it2-studies'!$D26,'references-it2-studies'!$B26)</f>
        <v>MetroInd4.0&amp;amp;IoT - Introducing a cloud based architecture for the distributed analysis of Real-Time Ethernet traffic</v>
      </c>
      <c r="C163">
        <f>'references-it2-studies'!$C26</f>
        <v>2020</v>
      </c>
      <c r="D163">
        <f>'references-it2-studies'!$H26</f>
        <v>6</v>
      </c>
      <c r="E163" t="s">
        <v>1398</v>
      </c>
      <c r="F163" s="10" t="s">
        <v>51</v>
      </c>
      <c r="G163" s="10" t="s">
        <v>51</v>
      </c>
      <c r="H163" s="10" t="s">
        <v>51</v>
      </c>
      <c r="I163" s="10" t="s">
        <v>51</v>
      </c>
      <c r="J163" s="10" t="s">
        <v>51</v>
      </c>
      <c r="K163" s="10" t="s">
        <v>51</v>
      </c>
      <c r="L163" s="10" t="s">
        <v>1397</v>
      </c>
      <c r="M163" s="10" t="s">
        <v>1397</v>
      </c>
      <c r="N163" t="str">
        <f t="shared" si="10"/>
        <v>Exclude</v>
      </c>
      <c r="O163" t="s">
        <v>5378</v>
      </c>
    </row>
    <row r="164" spans="1:15">
      <c r="A164" t="s">
        <v>4275</v>
      </c>
      <c r="B164" s="39" t="str">
        <f>HYPERLINK('references-it2-studies'!$D28,'references-it2-studies'!$B28)</f>
        <v>Siemens and EdgeX IIoT Platforms: A Functional and Performance Evaluation</v>
      </c>
      <c r="C164">
        <f>'references-it2-studies'!$C28</f>
        <v>2023</v>
      </c>
      <c r="D164">
        <f>'references-it2-studies'!$H28</f>
        <v>6</v>
      </c>
      <c r="E164" t="s">
        <v>1398</v>
      </c>
      <c r="F164" s="10" t="s">
        <v>51</v>
      </c>
      <c r="G164" s="10" t="s">
        <v>51</v>
      </c>
      <c r="H164" s="10" t="s">
        <v>51</v>
      </c>
      <c r="I164" s="10" t="s">
        <v>51</v>
      </c>
      <c r="J164" s="10" t="s">
        <v>51</v>
      </c>
      <c r="K164" s="10" t="s">
        <v>51</v>
      </c>
      <c r="L164" s="10" t="s">
        <v>1397</v>
      </c>
      <c r="M164" s="10" t="s">
        <v>1397</v>
      </c>
      <c r="N164" t="str">
        <f t="shared" si="10"/>
        <v>Exclude</v>
      </c>
      <c r="O164" t="s">
        <v>5378</v>
      </c>
    </row>
    <row r="165" spans="1:15">
      <c r="A165" t="s">
        <v>4275</v>
      </c>
      <c r="B165" s="39" t="str">
        <f>HYPERLINK('references-it2-studies'!$D30,'references-it2-studies'!$B30)</f>
        <v>COMPSAC - An Assessment of Internet of Things Protocols for Resource-Constrained Applications</v>
      </c>
      <c r="C165">
        <f>'references-it2-studies'!$C30</f>
        <v>2016</v>
      </c>
      <c r="D165">
        <f>'references-it2-studies'!$H30</f>
        <v>6</v>
      </c>
      <c r="E165" t="s">
        <v>1398</v>
      </c>
      <c r="F165" s="9" t="s">
        <v>51</v>
      </c>
      <c r="G165" s="9" t="s">
        <v>51</v>
      </c>
      <c r="H165" s="9" t="s">
        <v>51</v>
      </c>
      <c r="I165" s="9" t="s">
        <v>51</v>
      </c>
      <c r="J165" s="9" t="s">
        <v>51</v>
      </c>
      <c r="K165" s="9" t="s">
        <v>51</v>
      </c>
      <c r="L165" s="9" t="s">
        <v>1397</v>
      </c>
      <c r="M165" s="9" t="s">
        <v>1397</v>
      </c>
      <c r="N165" t="str">
        <f t="shared" si="10"/>
        <v>Exclude</v>
      </c>
      <c r="O165" t="s">
        <v>5378</v>
      </c>
    </row>
    <row r="166" spans="1:15">
      <c r="A166" t="s">
        <v>4275</v>
      </c>
      <c r="B166" s="39" t="str">
        <f>HYPERLINK('references-it2-studies'!$D32,'references-it2-studies'!$B32)</f>
        <v>Formal and simulation-based timing analysis of Industrial-Ethernet sercos III over TSN</v>
      </c>
      <c r="C166">
        <f>'references-it2-studies'!$C32</f>
        <v>2017</v>
      </c>
      <c r="D166">
        <f>'references-it2-studies'!$H32</f>
        <v>0</v>
      </c>
      <c r="E166" t="s">
        <v>1398</v>
      </c>
      <c r="F166" s="9"/>
      <c r="G166" s="9" t="s">
        <v>51</v>
      </c>
      <c r="H166" s="9" t="s">
        <v>51</v>
      </c>
      <c r="I166" s="9"/>
      <c r="J166" s="9" t="s">
        <v>51</v>
      </c>
      <c r="K166" s="9"/>
      <c r="L166" s="9" t="s">
        <v>1397</v>
      </c>
      <c r="M166" s="9"/>
      <c r="N166" t="str">
        <f t="shared" si="10"/>
        <v>Exclude</v>
      </c>
      <c r="O166" t="s">
        <v>5378</v>
      </c>
    </row>
    <row r="167" spans="1:15">
      <c r="A167" t="s">
        <v>4275</v>
      </c>
      <c r="B167" s="39" t="str">
        <f>HYPERLINK('references-it2-studies'!$D34,'references-it2-studies'!$B34)</f>
        <v>POWERLINK and Ethernet/IP Comparison as Robust Industrial Ethernet Protocols</v>
      </c>
      <c r="C167">
        <f>'references-it2-studies'!$C34</f>
        <v>2017</v>
      </c>
      <c r="D167">
        <f>'references-it2-studies'!$H34</f>
        <v>6</v>
      </c>
      <c r="E167" t="s">
        <v>1398</v>
      </c>
      <c r="F167" s="10"/>
      <c r="G167" s="10"/>
      <c r="H167" s="10"/>
      <c r="I167" s="10"/>
      <c r="J167" s="10"/>
      <c r="K167" s="10"/>
      <c r="L167" s="10" t="s">
        <v>51</v>
      </c>
      <c r="M167" s="10"/>
      <c r="N167" t="str">
        <f t="shared" si="10"/>
        <v>Include</v>
      </c>
      <c r="O167" t="s">
        <v>5380</v>
      </c>
    </row>
    <row r="168" spans="1:15">
      <c r="A168" t="s">
        <v>4275</v>
      </c>
      <c r="B168" s="39" t="str">
        <f>HYPERLINK('references-it2-studies'!$D37,'references-it2-studies'!$B37)</f>
        <v>MoWNet - Performance evaluation of IoT protocols under a constrained wireless access network</v>
      </c>
      <c r="C168">
        <f>'references-it2-studies'!$C37</f>
        <v>2016</v>
      </c>
      <c r="D168">
        <f>'references-it2-studies'!$H37</f>
        <v>7</v>
      </c>
      <c r="E168" t="s">
        <v>1398</v>
      </c>
      <c r="F168" s="9" t="s">
        <v>51</v>
      </c>
      <c r="G168" s="9" t="s">
        <v>51</v>
      </c>
      <c r="H168" s="9" t="s">
        <v>51</v>
      </c>
      <c r="I168" s="9" t="s">
        <v>51</v>
      </c>
      <c r="J168" s="9" t="s">
        <v>51</v>
      </c>
      <c r="K168" s="9" t="s">
        <v>51</v>
      </c>
      <c r="L168" s="9" t="s">
        <v>1397</v>
      </c>
      <c r="M168" s="9" t="s">
        <v>1397</v>
      </c>
      <c r="N168" t="str">
        <f t="shared" si="10"/>
        <v>Exclude</v>
      </c>
      <c r="O168" t="s">
        <v>5378</v>
      </c>
    </row>
    <row r="169" spans="1:15">
      <c r="A169" t="s">
        <v>4275</v>
      </c>
      <c r="B169" s="39" t="str">
        <f>HYPERLINK('references-it2-studies'!$D39,'references-it2-studies'!$B39)</f>
        <v>WFCS - Hybrid OPC UA and DDS: Combining architectural styles for the industrial internet</v>
      </c>
      <c r="C169">
        <f>'references-it2-studies'!$C39</f>
        <v>2016</v>
      </c>
      <c r="D169">
        <f>'references-it2-studies'!$H39</f>
        <v>7</v>
      </c>
      <c r="E169" t="s">
        <v>1398</v>
      </c>
      <c r="F169" s="9" t="s">
        <v>51</v>
      </c>
      <c r="G169" s="9" t="s">
        <v>51</v>
      </c>
      <c r="H169" s="9" t="s">
        <v>51</v>
      </c>
      <c r="I169" s="9" t="s">
        <v>51</v>
      </c>
      <c r="J169" s="9" t="s">
        <v>51</v>
      </c>
      <c r="K169" s="9" t="s">
        <v>51</v>
      </c>
      <c r="L169" s="9" t="s">
        <v>51</v>
      </c>
      <c r="M169" s="9" t="s">
        <v>1397</v>
      </c>
      <c r="N169" t="str">
        <f t="shared" ref="N169:N170" si="11">IF(COUNTIF(F169:M169,"X")&gt;0,"Exclude",IF(UPPER(TRIM(E169))="O","Include",""))</f>
        <v>Exclude</v>
      </c>
      <c r="O169" t="s">
        <v>5379</v>
      </c>
    </row>
    <row r="170" spans="1:15">
      <c r="A170" t="s">
        <v>4275</v>
      </c>
      <c r="B170" s="39" t="str">
        <f>HYPERLINK('references-it2-studies'!$D41,'references-it2-studies'!$B41)</f>
        <v>DS-RT - Formal and simulation-based timing analysis of industrial-ethernet sercos III over TSN</v>
      </c>
      <c r="C170">
        <f>'references-it2-studies'!$C41</f>
        <v>2017</v>
      </c>
      <c r="D170">
        <f>'references-it2-studies'!$H41</f>
        <v>8</v>
      </c>
      <c r="E170" t="s">
        <v>1398</v>
      </c>
      <c r="F170" s="9" t="s">
        <v>1397</v>
      </c>
      <c r="G170" s="9" t="s">
        <v>51</v>
      </c>
      <c r="H170" s="9" t="s">
        <v>51</v>
      </c>
      <c r="I170" s="9" t="s">
        <v>1397</v>
      </c>
      <c r="J170" s="9" t="s">
        <v>51</v>
      </c>
      <c r="K170" s="9" t="s">
        <v>1397</v>
      </c>
      <c r="L170" s="9" t="s">
        <v>51</v>
      </c>
      <c r="M170" s="9"/>
      <c r="N170" t="str">
        <f t="shared" si="11"/>
        <v>Exclude</v>
      </c>
      <c r="O170" t="s">
        <v>5380</v>
      </c>
    </row>
    <row r="171" spans="1:15">
      <c r="A171" s="39"/>
    </row>
    <row r="172" spans="1:15">
      <c r="A172" s="39"/>
    </row>
    <row r="173" spans="1:15">
      <c r="A173" s="39"/>
    </row>
    <row r="174" spans="1:15">
      <c r="A174" s="39"/>
    </row>
    <row r="175" spans="1:15">
      <c r="A175" s="39"/>
    </row>
    <row r="176" spans="1:15">
      <c r="A176" s="39"/>
    </row>
    <row r="177" spans="1:1">
      <c r="A177" s="39"/>
    </row>
    <row r="178" spans="1:1">
      <c r="A178" s="39"/>
    </row>
    <row r="179" spans="1:1">
      <c r="A179" s="39"/>
    </row>
    <row r="180" spans="1:1">
      <c r="A180" s="39"/>
    </row>
    <row r="181" spans="1:1">
      <c r="A181" s="39"/>
    </row>
    <row r="182" spans="1:1">
      <c r="A182" s="39"/>
    </row>
    <row r="183" spans="1:1">
      <c r="A183" s="39"/>
    </row>
  </sheetData>
  <conditionalFormatting sqref="B3">
    <cfRule type="duplicateValues" dxfId="51" priority="2"/>
  </conditionalFormatting>
  <conditionalFormatting sqref="B141:B148">
    <cfRule type="duplicateValues" dxfId="50" priority="1"/>
  </conditionalFormatting>
  <conditionalFormatting sqref="N2:N170">
    <cfRule type="cellIs" dxfId="49" priority="3" operator="equal">
      <formula>"Exclude"</formula>
    </cfRule>
    <cfRule type="cellIs" dxfId="48" priority="4" operator="equal">
      <formula>"Include"</formula>
    </cfRule>
  </conditionalFormatting>
  <dataValidations count="1">
    <dataValidation type="whole" operator="greaterThan" allowBlank="1" showInputMessage="1" showErrorMessage="1" sqref="D149:D1048576 D4:D140 D1:D2" xr:uid="{7DBF7C91-76BA-4E79-A557-6209AA04EFA6}">
      <formula1>4</formula1>
    </dataValidation>
  </dataValidation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71326-6FDA-4432-B707-D79ED469FA2B}">
  <dimension ref="A1:W91"/>
  <sheetViews>
    <sheetView topLeftCell="B1" workbookViewId="0">
      <selection activeCell="D2" sqref="B2:D2"/>
    </sheetView>
  </sheetViews>
  <sheetFormatPr defaultRowHeight="12.75"/>
  <cols>
    <col min="2" max="2" width="94.85546875" customWidth="1"/>
  </cols>
  <sheetData>
    <row r="1" spans="1:19">
      <c r="A1" t="s">
        <v>47</v>
      </c>
      <c r="B1" t="s">
        <v>2</v>
      </c>
      <c r="C1" t="s">
        <v>32</v>
      </c>
      <c r="D1" t="s">
        <v>327</v>
      </c>
      <c r="E1" s="2" t="s">
        <v>1399</v>
      </c>
      <c r="F1" s="2" t="s">
        <v>2244</v>
      </c>
      <c r="G1" s="2" t="s">
        <v>2245</v>
      </c>
      <c r="H1" s="2" t="s">
        <v>2246</v>
      </c>
      <c r="I1" s="2" t="s">
        <v>2247</v>
      </c>
      <c r="J1" s="2" t="s">
        <v>5575</v>
      </c>
      <c r="K1" s="2" t="s">
        <v>3</v>
      </c>
      <c r="L1" s="2" t="s">
        <v>4</v>
      </c>
      <c r="M1" s="2" t="s">
        <v>328</v>
      </c>
      <c r="N1" s="2" t="s">
        <v>329</v>
      </c>
      <c r="O1" s="2" t="s">
        <v>330</v>
      </c>
      <c r="P1" s="2" t="s">
        <v>331</v>
      </c>
      <c r="Q1" s="2" t="s">
        <v>332</v>
      </c>
      <c r="R1" s="2" t="s">
        <v>325</v>
      </c>
      <c r="S1" s="2" t="s">
        <v>6</v>
      </c>
    </row>
    <row r="2" spans="1:19">
      <c r="A2" t="s">
        <v>4274</v>
      </c>
      <c r="B2" s="39" t="str">
        <f>HYPERLINK('citations-it2-studies'!$D30,'citations-it2-studies'!$B30)</f>
        <v>DDS and OPC UA Protocol Coexistence Solution in Real-Time and Industry 4.0 Context Using Non-Ideal Infrastructure.</v>
      </c>
      <c r="C2">
        <v>2021</v>
      </c>
      <c r="D2">
        <v>0</v>
      </c>
      <c r="E2" t="s">
        <v>1398</v>
      </c>
      <c r="F2" t="s">
        <v>1397</v>
      </c>
      <c r="G2" t="s">
        <v>1397</v>
      </c>
      <c r="H2" t="s">
        <v>1397</v>
      </c>
      <c r="I2" t="s">
        <v>1397</v>
      </c>
      <c r="J2" t="s">
        <v>1397</v>
      </c>
      <c r="R2" t="str">
        <f>IF(AND(OR(COUNTIF(K2:Q2,"X")&gt;0,COUNTIF(F2:J2,"X")&lt;&gt;5),UPPER(TRIM(E2))="O"),"Exclude",IF(UPPER(TRIM(E2))="O","Include",""))</f>
        <v>Include</v>
      </c>
      <c r="S2" t="s">
        <v>5403</v>
      </c>
    </row>
    <row r="3" spans="1:19">
      <c r="A3" t="s">
        <v>4274</v>
      </c>
      <c r="B3" s="39" t="str">
        <f>HYPERLINK('citations-it2-studies'!$D43,'citations-it2-studies'!$B43)</f>
        <v>A Service-Oriented Real-Time Communication Scheme for AUTOSAR Adaptive Using OPC UA and Time-Sensitive Networking.</v>
      </c>
      <c r="C3">
        <v>2021</v>
      </c>
      <c r="D3">
        <v>0</v>
      </c>
      <c r="E3" t="s">
        <v>1398</v>
      </c>
      <c r="G3" t="s">
        <v>1397</v>
      </c>
      <c r="I3" t="s">
        <v>1397</v>
      </c>
      <c r="J3" t="s">
        <v>1397</v>
      </c>
      <c r="R3" t="str">
        <f t="shared" ref="R3:R13" si="0">IF(AND(OR(COUNTIF(K3:Q3,"X")&gt;0,COUNTIF(F3:J3,"X")&lt;&gt;5),UPPER(TRIM(E3))="O"),"Exclude",IF(UPPER(TRIM(E3))="O","Include",""))</f>
        <v>Exclude</v>
      </c>
      <c r="S3" t="s">
        <v>5402</v>
      </c>
    </row>
    <row r="4" spans="1:19">
      <c r="A4" t="s">
        <v>4274</v>
      </c>
      <c r="B4" s="39" t="str">
        <f>HYPERLINK('citations-it2-studies'!$D61,'citations-it2-studies'!$B61)</f>
        <v>Industrial Messaging Middleware: Standards and Performance Evaluation</v>
      </c>
      <c r="C4">
        <v>2020</v>
      </c>
      <c r="D4">
        <v>6</v>
      </c>
      <c r="E4" t="s">
        <v>1398</v>
      </c>
      <c r="F4" t="s">
        <v>1397</v>
      </c>
      <c r="G4" t="s">
        <v>1397</v>
      </c>
      <c r="I4" t="s">
        <v>1397</v>
      </c>
      <c r="J4" t="s">
        <v>1397</v>
      </c>
      <c r="R4" t="str">
        <f t="shared" si="0"/>
        <v>Exclude</v>
      </c>
      <c r="S4" t="s">
        <v>5686</v>
      </c>
    </row>
    <row r="5" spans="1:19">
      <c r="A5" t="s">
        <v>4274</v>
      </c>
      <c r="B5" s="39" t="str">
        <f>HYPERLINK('citations-it2-studies'!$D62,'citations-it2-studies'!$B62)</f>
        <v>Hardware Implementation of an OPC UA Server for Industrial Field Devices</v>
      </c>
      <c r="C5">
        <v>2021</v>
      </c>
      <c r="D5">
        <v>5</v>
      </c>
      <c r="E5" t="s">
        <v>1398</v>
      </c>
      <c r="F5" t="s">
        <v>1397</v>
      </c>
      <c r="G5" t="s">
        <v>1397</v>
      </c>
      <c r="I5" t="s">
        <v>1397</v>
      </c>
      <c r="J5" t="s">
        <v>1397</v>
      </c>
      <c r="Q5" t="s">
        <v>1397</v>
      </c>
      <c r="R5" t="str">
        <f t="shared" si="0"/>
        <v>Exclude</v>
      </c>
      <c r="S5" t="s">
        <v>5398</v>
      </c>
    </row>
    <row r="6" spans="1:19">
      <c r="A6" t="s">
        <v>4274</v>
      </c>
      <c r="B6" s="39" t="str">
        <f>HYPERLINK('citations-it2-studies'!$D64,'citations-it2-studies'!$B64)</f>
        <v>ECSA - A Comparison of MQTT Brokers for Distributed IoT Edge Computing</v>
      </c>
      <c r="C6">
        <v>2020</v>
      </c>
      <c r="D6">
        <v>17</v>
      </c>
      <c r="E6" t="s">
        <v>1398</v>
      </c>
      <c r="G6" t="s">
        <v>1397</v>
      </c>
      <c r="H6" t="s">
        <v>1397</v>
      </c>
      <c r="I6" t="s">
        <v>1397</v>
      </c>
      <c r="J6" t="s">
        <v>1397</v>
      </c>
      <c r="Q6" t="s">
        <v>1397</v>
      </c>
      <c r="R6" t="str">
        <f t="shared" si="0"/>
        <v>Exclude</v>
      </c>
      <c r="S6" t="s">
        <v>5574</v>
      </c>
    </row>
    <row r="7" spans="1:19">
      <c r="A7" t="s">
        <v>4274</v>
      </c>
      <c r="B7" s="39" t="str">
        <f>HYPERLINK('citations-it2-studies'!$D99,'citations-it2-studies'!$B99)</f>
        <v>ETFA - Hybrid OPC UA: Enabling Post-Quantum Security for the Industrial Internet of Things</v>
      </c>
      <c r="C7">
        <v>2020</v>
      </c>
      <c r="D7">
        <v>8</v>
      </c>
      <c r="E7" t="s">
        <v>1398</v>
      </c>
      <c r="F7" t="s">
        <v>1397</v>
      </c>
      <c r="G7" t="s">
        <v>1397</v>
      </c>
      <c r="I7" t="s">
        <v>1397</v>
      </c>
      <c r="J7" t="s">
        <v>1397</v>
      </c>
      <c r="Q7" t="s">
        <v>1397</v>
      </c>
      <c r="R7" t="str">
        <f t="shared" si="0"/>
        <v>Exclude</v>
      </c>
      <c r="S7" t="s">
        <v>5399</v>
      </c>
    </row>
    <row r="8" spans="1:19">
      <c r="A8" t="s">
        <v>4274</v>
      </c>
      <c r="B8" s="39" t="str">
        <f>HYPERLINK('citations-it2-studies'!$D111,'citations-it2-studies'!$B111)</f>
        <v>Performance Evaluation of OPC UA and MQTT for ETAT Smart Lab (ESL)</v>
      </c>
      <c r="C8">
        <v>2023</v>
      </c>
      <c r="D8">
        <v>5</v>
      </c>
      <c r="E8" t="s">
        <v>1398</v>
      </c>
      <c r="F8" t="s">
        <v>1397</v>
      </c>
      <c r="G8" t="s">
        <v>1397</v>
      </c>
      <c r="I8" t="s">
        <v>1397</v>
      </c>
      <c r="J8" t="s">
        <v>1397</v>
      </c>
      <c r="R8" t="str">
        <f t="shared" si="0"/>
        <v>Exclude</v>
      </c>
      <c r="S8" t="s">
        <v>5401</v>
      </c>
    </row>
    <row r="9" spans="1:19">
      <c r="A9" t="s">
        <v>4274</v>
      </c>
      <c r="B9" s="39" t="str">
        <f>HYPERLINK('citations-it2-studies'!$D144,'citations-it2-studies'!$B144)</f>
        <v>ICPS - An OPC UA-based Crane Model Using Time-Sensitive Networking Technology</v>
      </c>
      <c r="C9">
        <v>2020</v>
      </c>
      <c r="D9">
        <v>6</v>
      </c>
      <c r="E9" t="s">
        <v>1398</v>
      </c>
      <c r="F9" t="s">
        <v>1397</v>
      </c>
      <c r="G9" t="s">
        <v>1397</v>
      </c>
      <c r="I9" t="s">
        <v>1397</v>
      </c>
      <c r="J9" t="s">
        <v>1397</v>
      </c>
      <c r="R9" t="str">
        <f t="shared" si="0"/>
        <v>Exclude</v>
      </c>
      <c r="S9" t="s">
        <v>5395</v>
      </c>
    </row>
    <row r="10" spans="1:19">
      <c r="A10" t="s">
        <v>4274</v>
      </c>
      <c r="B10" s="39" t="str">
        <f>HYPERLINK('citations-it2-studies'!$D161,'citations-it2-studies'!$B161)</f>
        <v>Applicability of OPC UA and REST in Edge Computing</v>
      </c>
      <c r="C10">
        <v>2022</v>
      </c>
      <c r="D10">
        <v>6</v>
      </c>
      <c r="E10" t="s">
        <v>1398</v>
      </c>
      <c r="F10" t="s">
        <v>1397</v>
      </c>
      <c r="G10" t="s">
        <v>1397</v>
      </c>
      <c r="I10" t="s">
        <v>1397</v>
      </c>
      <c r="J10" t="s">
        <v>1397</v>
      </c>
      <c r="R10" t="str">
        <f t="shared" si="0"/>
        <v>Exclude</v>
      </c>
      <c r="S10" t="s">
        <v>5396</v>
      </c>
    </row>
    <row r="11" spans="1:19">
      <c r="A11" t="s">
        <v>4275</v>
      </c>
      <c r="B11" s="39" t="str">
        <f>HYPERLINK('references-it2-studies'!$D2,'references-it2-studies'!$B2)</f>
        <v>URAI - On the in-controller performance of an open source EtherCAT master using open platforms</v>
      </c>
      <c r="C11">
        <v>2017</v>
      </c>
      <c r="D11">
        <v>5</v>
      </c>
      <c r="E11" t="s">
        <v>1398</v>
      </c>
      <c r="F11" t="s">
        <v>1397</v>
      </c>
      <c r="G11" t="s">
        <v>1397</v>
      </c>
      <c r="I11" t="s">
        <v>1397</v>
      </c>
      <c r="J11" t="s">
        <v>1397</v>
      </c>
      <c r="R11" t="str">
        <f t="shared" si="0"/>
        <v>Exclude</v>
      </c>
      <c r="S11" t="s">
        <v>5400</v>
      </c>
    </row>
    <row r="12" spans="1:19">
      <c r="A12" t="s">
        <v>4275</v>
      </c>
      <c r="B12" s="39" t="str">
        <f>HYPERLINK('references-it2-studies'!$D4,'references-it2-studies'!$B4)</f>
        <v>Case of study of a Profinet network using ring topology</v>
      </c>
      <c r="C12">
        <v>2016</v>
      </c>
      <c r="D12">
        <v>6</v>
      </c>
      <c r="E12" t="s">
        <v>1398</v>
      </c>
      <c r="F12" t="s">
        <v>1397</v>
      </c>
      <c r="G12" t="s">
        <v>1397</v>
      </c>
      <c r="I12" t="s">
        <v>1397</v>
      </c>
      <c r="J12" t="s">
        <v>1397</v>
      </c>
      <c r="R12" t="str">
        <f t="shared" si="0"/>
        <v>Exclude</v>
      </c>
      <c r="S12" t="s">
        <v>5397</v>
      </c>
    </row>
    <row r="13" spans="1:19">
      <c r="A13" s="39" t="s">
        <v>5682</v>
      </c>
      <c r="B13" s="11" t="str">
        <f>HYPERLINK('references-it2-studies'!$D34,'references-it2-studies'!$B34)</f>
        <v>POWERLINK and Ethernet/IP Comparison as Robust Industrial Ethernet Protocols</v>
      </c>
      <c r="C13">
        <v>2017</v>
      </c>
      <c r="D13">
        <v>6</v>
      </c>
      <c r="E13" t="s">
        <v>1398</v>
      </c>
      <c r="F13" t="s">
        <v>1397</v>
      </c>
      <c r="G13" t="s">
        <v>1397</v>
      </c>
      <c r="I13" t="s">
        <v>1397</v>
      </c>
      <c r="J13" t="s">
        <v>1397</v>
      </c>
      <c r="R13" t="str">
        <f t="shared" si="0"/>
        <v>Exclude</v>
      </c>
      <c r="S13" t="s">
        <v>5683</v>
      </c>
    </row>
    <row r="14" spans="1:19">
      <c r="A14" s="39"/>
    </row>
    <row r="15" spans="1:19">
      <c r="A15" s="39"/>
    </row>
    <row r="16" spans="1:19">
      <c r="A16" s="39"/>
    </row>
    <row r="17" spans="1:23">
      <c r="A17" s="39"/>
      <c r="U17" s="2" t="s">
        <v>5626</v>
      </c>
      <c r="V17" t="s">
        <v>1406</v>
      </c>
      <c r="W17" t="s">
        <v>1407</v>
      </c>
    </row>
    <row r="18" spans="1:23">
      <c r="A18" s="39"/>
      <c r="U18" t="s">
        <v>1403</v>
      </c>
      <c r="V18" s="1">
        <f>COUNTIF(A2:A1987,"&lt;&gt;")</f>
        <v>12</v>
      </c>
    </row>
    <row r="19" spans="1:23">
      <c r="A19" s="39"/>
      <c r="B19" s="9"/>
      <c r="U19" t="s">
        <v>1404</v>
      </c>
      <c r="V19">
        <f>COUNTIF(R2:R1987,"Exclude")</f>
        <v>11</v>
      </c>
      <c r="W19" s="15">
        <f>((V19/V18))</f>
        <v>0.91666666666666663</v>
      </c>
    </row>
    <row r="20" spans="1:23">
      <c r="A20" s="39"/>
      <c r="B20" s="10"/>
      <c r="U20" t="s">
        <v>1405</v>
      </c>
      <c r="V20">
        <f>COUNTIF(R2:R1987,"Include")</f>
        <v>1</v>
      </c>
      <c r="W20" s="15">
        <f>((V20/V18))</f>
        <v>8.3333333333333329E-2</v>
      </c>
    </row>
    <row r="21" spans="1:23">
      <c r="A21" s="39"/>
      <c r="B21" s="9"/>
      <c r="U21" s="2" t="s">
        <v>1408</v>
      </c>
    </row>
    <row r="22" spans="1:23">
      <c r="A22" s="39"/>
      <c r="B22" s="10"/>
      <c r="U22" t="s">
        <v>3</v>
      </c>
      <c r="V22">
        <f>COUNTIF(K$2:K$1987,"X")</f>
        <v>0</v>
      </c>
      <c r="W22" s="15">
        <f t="shared" ref="W22:W33" si="1">((V22/V$18))</f>
        <v>0</v>
      </c>
    </row>
    <row r="23" spans="1:23">
      <c r="A23" s="39"/>
      <c r="B23" s="9"/>
      <c r="U23" t="s">
        <v>4</v>
      </c>
      <c r="V23">
        <f>COUNTIF(L$2:L$1987,"X")</f>
        <v>0</v>
      </c>
      <c r="W23" s="15">
        <f t="shared" si="1"/>
        <v>0</v>
      </c>
    </row>
    <row r="24" spans="1:23">
      <c r="A24" s="39"/>
      <c r="B24" s="10"/>
      <c r="U24" t="s">
        <v>328</v>
      </c>
      <c r="V24">
        <f>COUNTIF(M$2:M$1987,"X")</f>
        <v>0</v>
      </c>
      <c r="W24" s="15">
        <f t="shared" si="1"/>
        <v>0</v>
      </c>
    </row>
    <row r="25" spans="1:23">
      <c r="A25" s="39"/>
      <c r="B25" s="9"/>
      <c r="U25" t="s">
        <v>329</v>
      </c>
      <c r="V25">
        <f>COUNTIF(N$2:N$1987,"X")</f>
        <v>0</v>
      </c>
      <c r="W25" s="15">
        <f t="shared" si="1"/>
        <v>0</v>
      </c>
    </row>
    <row r="26" spans="1:23">
      <c r="A26" s="39"/>
      <c r="B26" s="10"/>
      <c r="U26" t="s">
        <v>330</v>
      </c>
      <c r="V26">
        <f>COUNTIF(O$2:O$1987,"X")</f>
        <v>0</v>
      </c>
      <c r="W26" s="15">
        <f t="shared" si="1"/>
        <v>0</v>
      </c>
    </row>
    <row r="27" spans="1:23">
      <c r="A27" s="39"/>
      <c r="B27" s="9"/>
      <c r="U27" t="s">
        <v>331</v>
      </c>
      <c r="V27">
        <f>COUNTIF(P$2:P$1987,"X")</f>
        <v>0</v>
      </c>
      <c r="W27" s="15">
        <f t="shared" si="1"/>
        <v>0</v>
      </c>
    </row>
    <row r="28" spans="1:23">
      <c r="A28" s="39"/>
      <c r="B28" s="10"/>
      <c r="U28" t="s">
        <v>332</v>
      </c>
      <c r="V28">
        <f>COUNTIF(Q$2:Q$1987,"X")</f>
        <v>3</v>
      </c>
      <c r="W28" s="15">
        <f t="shared" si="1"/>
        <v>0.25</v>
      </c>
    </row>
    <row r="29" spans="1:23">
      <c r="A29" s="39"/>
      <c r="B29" s="9"/>
      <c r="U29" t="s">
        <v>2244</v>
      </c>
      <c r="V29">
        <f>COUNTIFS(E2:E1987,"O",F$2:F$1987,"&lt;&gt;X")</f>
        <v>2</v>
      </c>
      <c r="W29" s="15">
        <f t="shared" si="1"/>
        <v>0.16666666666666666</v>
      </c>
    </row>
    <row r="30" spans="1:23">
      <c r="A30" s="39"/>
      <c r="B30" s="10"/>
      <c r="U30" t="s">
        <v>2245</v>
      </c>
      <c r="V30">
        <f>COUNTIFS(E2:E1987,"O",G$2:G$1987,"&lt;&gt;X")</f>
        <v>0</v>
      </c>
      <c r="W30" s="15">
        <f t="shared" si="1"/>
        <v>0</v>
      </c>
    </row>
    <row r="31" spans="1:23">
      <c r="A31" s="39"/>
      <c r="B31" s="9"/>
      <c r="U31" t="s">
        <v>2246</v>
      </c>
      <c r="V31">
        <f>COUNTIFS(E2:E1987,"O",H$2:H$1987,"&lt;&gt;X")</f>
        <v>10</v>
      </c>
      <c r="W31" s="15">
        <f t="shared" si="1"/>
        <v>0.83333333333333337</v>
      </c>
    </row>
    <row r="32" spans="1:23">
      <c r="A32" s="39"/>
      <c r="B32" s="10"/>
      <c r="U32" t="s">
        <v>2247</v>
      </c>
      <c r="V32">
        <f>COUNTIFS(E2:E1987,"O",I$2:I$1987,"&lt;&gt;X")</f>
        <v>0</v>
      </c>
      <c r="W32" s="15">
        <f t="shared" si="1"/>
        <v>0</v>
      </c>
    </row>
    <row r="33" spans="1:23">
      <c r="A33" s="39"/>
      <c r="B33" s="9"/>
      <c r="U33" t="s">
        <v>5575</v>
      </c>
      <c r="V33">
        <f>COUNTIFS(E2:E1987,"O",J$2:J$1987,"&lt;&gt;X")</f>
        <v>0</v>
      </c>
      <c r="W33" s="15">
        <f t="shared" si="1"/>
        <v>0</v>
      </c>
    </row>
    <row r="34" spans="1:23">
      <c r="A34" s="39"/>
      <c r="B34" s="10"/>
    </row>
    <row r="35" spans="1:23">
      <c r="A35" s="39"/>
      <c r="B35" s="9"/>
    </row>
    <row r="36" spans="1:23">
      <c r="A36" s="39"/>
      <c r="B36" s="10"/>
    </row>
    <row r="37" spans="1:23">
      <c r="A37" s="39"/>
      <c r="B37" s="9"/>
    </row>
    <row r="38" spans="1:23">
      <c r="A38" s="39"/>
      <c r="B38" s="10"/>
    </row>
    <row r="39" spans="1:23">
      <c r="A39" s="39"/>
      <c r="B39" s="9"/>
    </row>
    <row r="40" spans="1:23">
      <c r="A40" s="39"/>
      <c r="B40" s="10"/>
    </row>
    <row r="41" spans="1:23">
      <c r="A41" s="39"/>
      <c r="B41" s="9"/>
    </row>
    <row r="42" spans="1:23">
      <c r="A42" s="39"/>
      <c r="B42" s="10"/>
    </row>
    <row r="43" spans="1:23">
      <c r="A43" s="39"/>
      <c r="B43" s="9"/>
    </row>
    <row r="44" spans="1:23">
      <c r="A44" s="39"/>
      <c r="B44" s="10"/>
    </row>
    <row r="45" spans="1:23">
      <c r="A45" s="39"/>
      <c r="B45" s="9"/>
    </row>
    <row r="46" spans="1:23">
      <c r="A46" s="39"/>
      <c r="B46" s="10"/>
    </row>
    <row r="47" spans="1:23">
      <c r="A47" s="39"/>
      <c r="B47" s="9"/>
    </row>
    <row r="48" spans="1:23">
      <c r="A48" s="39"/>
      <c r="B48" s="10"/>
    </row>
    <row r="49" spans="1:2">
      <c r="A49" s="39"/>
      <c r="B49" s="9"/>
    </row>
    <row r="50" spans="1:2">
      <c r="A50" s="39"/>
      <c r="B50" s="10"/>
    </row>
    <row r="51" spans="1:2">
      <c r="A51" s="39"/>
      <c r="B51" s="9"/>
    </row>
    <row r="52" spans="1:2">
      <c r="A52" s="39"/>
      <c r="B52" s="10"/>
    </row>
    <row r="53" spans="1:2">
      <c r="A53" s="39"/>
      <c r="B53" s="9"/>
    </row>
    <row r="54" spans="1:2">
      <c r="A54" s="39"/>
      <c r="B54" s="10"/>
    </row>
    <row r="55" spans="1:2">
      <c r="A55" s="39"/>
      <c r="B55" s="9"/>
    </row>
    <row r="56" spans="1:2">
      <c r="A56" s="39"/>
      <c r="B56" s="10"/>
    </row>
    <row r="57" spans="1:2">
      <c r="A57" s="39"/>
      <c r="B57" s="9"/>
    </row>
    <row r="58" spans="1:2">
      <c r="A58" s="39"/>
      <c r="B58" s="10"/>
    </row>
    <row r="59" spans="1:2">
      <c r="A59" s="39"/>
      <c r="B59" s="9"/>
    </row>
    <row r="60" spans="1:2">
      <c r="A60" s="39"/>
      <c r="B60" s="10"/>
    </row>
    <row r="61" spans="1:2">
      <c r="A61" s="39"/>
      <c r="B61" s="9"/>
    </row>
    <row r="62" spans="1:2">
      <c r="A62" s="39"/>
      <c r="B62" s="10"/>
    </row>
    <row r="63" spans="1:2">
      <c r="A63" s="39"/>
      <c r="B63" s="9"/>
    </row>
    <row r="64" spans="1:2">
      <c r="A64" s="39"/>
      <c r="B64" s="10"/>
    </row>
    <row r="65" spans="1:2">
      <c r="A65" s="39"/>
      <c r="B65" s="9"/>
    </row>
    <row r="66" spans="1:2">
      <c r="A66" s="39"/>
      <c r="B66" s="10"/>
    </row>
    <row r="67" spans="1:2">
      <c r="A67" s="39"/>
      <c r="B67" s="9"/>
    </row>
    <row r="68" spans="1:2">
      <c r="B68" s="10"/>
    </row>
    <row r="69" spans="1:2">
      <c r="B69" s="9"/>
    </row>
    <row r="70" spans="1:2">
      <c r="B70" s="10"/>
    </row>
    <row r="71" spans="1:2">
      <c r="B71" s="9"/>
    </row>
    <row r="72" spans="1:2">
      <c r="B72" s="10"/>
    </row>
    <row r="73" spans="1:2">
      <c r="B73" s="9"/>
    </row>
    <row r="74" spans="1:2">
      <c r="B74" s="10"/>
    </row>
    <row r="75" spans="1:2">
      <c r="B75" s="9"/>
    </row>
    <row r="76" spans="1:2">
      <c r="B76" s="10"/>
    </row>
    <row r="77" spans="1:2">
      <c r="B77" s="9"/>
    </row>
    <row r="78" spans="1:2">
      <c r="B78" s="10"/>
    </row>
    <row r="79" spans="1:2">
      <c r="B79" s="9"/>
    </row>
    <row r="80" spans="1:2">
      <c r="B80" s="10"/>
    </row>
    <row r="81" spans="2:2">
      <c r="B81" s="9"/>
    </row>
    <row r="82" spans="2:2">
      <c r="B82" s="10"/>
    </row>
    <row r="83" spans="2:2">
      <c r="B83" s="9"/>
    </row>
    <row r="84" spans="2:2">
      <c r="B84" s="10"/>
    </row>
    <row r="85" spans="2:2">
      <c r="B85" s="9"/>
    </row>
    <row r="86" spans="2:2">
      <c r="B86" s="10"/>
    </row>
    <row r="87" spans="2:2">
      <c r="B87" s="9"/>
    </row>
    <row r="88" spans="2:2">
      <c r="B88" s="10"/>
    </row>
    <row r="89" spans="2:2">
      <c r="B89" s="9"/>
    </row>
    <row r="90" spans="2:2">
      <c r="B90" s="10"/>
    </row>
    <row r="91" spans="2:2">
      <c r="B91" s="9"/>
    </row>
  </sheetData>
  <conditionalFormatting sqref="B1:B1048576">
    <cfRule type="duplicateValues" dxfId="47" priority="1"/>
    <cfRule type="duplicateValues" dxfId="46" priority="2"/>
    <cfRule type="duplicateValues" dxfId="45" priority="3"/>
    <cfRule type="duplicateValues" dxfId="44" priority="4"/>
    <cfRule type="duplicateValues" dxfId="43" priority="5"/>
  </conditionalFormatting>
  <conditionalFormatting sqref="E2:E13">
    <cfRule type="cellIs" dxfId="42" priority="2217" operator="equal">
      <formula>$E$123</formula>
    </cfRule>
  </conditionalFormatting>
  <conditionalFormatting sqref="R2:R13">
    <cfRule type="cellIs" dxfId="41" priority="13" operator="equal">
      <formula>"Exclude"</formula>
    </cfRule>
    <cfRule type="cellIs" dxfId="40" priority="14" operator="equal">
      <formula>"Include"</formula>
    </cfRule>
  </conditionalFormatting>
  <dataValidations count="1">
    <dataValidation type="whole" operator="greaterThan" allowBlank="1" showInputMessage="1" showErrorMessage="1" sqref="D1:D1048576" xr:uid="{69F82A45-844F-45DD-A1DD-457BB3077C3A}">
      <formula1>4</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B230-3FCA-4701-8374-1E20993C567A}">
  <dimension ref="A1:D484"/>
  <sheetViews>
    <sheetView workbookViewId="0">
      <selection activeCell="D18" sqref="D2:D18"/>
    </sheetView>
  </sheetViews>
  <sheetFormatPr defaultRowHeight="12.75"/>
  <cols>
    <col min="2" max="2" width="36" customWidth="1"/>
  </cols>
  <sheetData>
    <row r="1" spans="1:4">
      <c r="A1" t="s">
        <v>47</v>
      </c>
      <c r="B1" t="s">
        <v>2</v>
      </c>
      <c r="C1" t="s">
        <v>32</v>
      </c>
      <c r="D1" t="s">
        <v>327</v>
      </c>
    </row>
    <row r="2" spans="1:4">
      <c r="A2" t="s">
        <v>4274</v>
      </c>
      <c r="B2" s="39" t="str">
        <f>HYPERLINK('citations-it3-studies'!$D2,'citations-it3-studies'!$B2)</f>
        <v>Modular Supervisory Control for the Coordination of a Manufacturing Cell with Observable Faults.</v>
      </c>
      <c r="C2">
        <f>'citations-it3-studies'!$C2</f>
        <v>2022</v>
      </c>
      <c r="D2">
        <f>'citations-it3-studies'!$H2</f>
        <v>1</v>
      </c>
    </row>
    <row r="3" spans="1:4">
      <c r="A3" t="s">
        <v>4274</v>
      </c>
      <c r="B3" s="39" t="str">
        <f>HYPERLINK('citations-it3-studies'!$D3,'citations-it3-studies'!$B3)</f>
        <v>State-of-the-art survey of artificial intelligent techniques for IoT security</v>
      </c>
      <c r="C3">
        <f>'citations-it3-studies'!$C3</f>
        <v>2022</v>
      </c>
      <c r="D3">
        <f>'citations-it3-studies'!$H3</f>
        <v>1</v>
      </c>
    </row>
    <row r="4" spans="1:4">
      <c r="A4" t="s">
        <v>4274</v>
      </c>
      <c r="B4" s="39" t="str">
        <f>HYPERLINK('citations-it3-studies'!$D4,'citations-it3-studies'!$B4)</f>
        <v>An Approach to Bridge ROS 1 and ROS 2 Devices into an OPC UA-based Testbed for Industry 4.0</v>
      </c>
      <c r="C4">
        <f>'citations-it3-studies'!$C4</f>
        <v>2022</v>
      </c>
      <c r="D4">
        <f>'citations-it3-studies'!$H4</f>
        <v>6</v>
      </c>
    </row>
    <row r="5" spans="1:4">
      <c r="A5" t="s">
        <v>4274</v>
      </c>
      <c r="B5" s="39" t="str">
        <f>HYPERLINK('citations-it3-studies'!$D5,'citations-it3-studies'!$B5)</f>
        <v>RMPF: Real-Time Message Processing Framework on Multi-Service Domains</v>
      </c>
      <c r="C5">
        <f>'citations-it3-studies'!$C5</f>
        <v>2024</v>
      </c>
      <c r="D5">
        <f>'citations-it3-studies'!$H5</f>
        <v>17</v>
      </c>
    </row>
    <row r="6" spans="1:4">
      <c r="A6" t="s">
        <v>4274</v>
      </c>
      <c r="B6" s="39" t="str">
        <f>HYPERLINK('citations-it3-studies'!$D6,'citations-it3-studies'!$B6)</f>
        <v>SCADA Systems With Focus on Continuous Manufacturing and Steel Industry: A Survey on Architectures, Standards, Challenges and Industry 5.0</v>
      </c>
      <c r="C6">
        <f>'citations-it3-studies'!$C6</f>
        <v>2022</v>
      </c>
      <c r="D6">
        <f>'citations-it3-studies'!$H6</f>
        <v>36</v>
      </c>
    </row>
    <row r="7" spans="1:4">
      <c r="A7" t="s">
        <v>4274</v>
      </c>
      <c r="B7" s="39" t="str">
        <f>HYPERLINK('citations-it3-studies'!$D7,'citations-it3-studies'!$B7)</f>
        <v>AUTOSAR AP and ROS 2 Collaboration Framework</v>
      </c>
      <c r="C7">
        <f>'citations-it3-studies'!$C7</f>
        <v>2024</v>
      </c>
      <c r="D7">
        <f>'citations-it3-studies'!$H7</f>
        <v>8</v>
      </c>
    </row>
    <row r="8" spans="1:4">
      <c r="A8" t="s">
        <v>4274</v>
      </c>
      <c r="B8" s="39" t="str">
        <f>HYPERLINK('citations-it3-studies'!$D8,'citations-it3-studies'!$B8)</f>
        <v>Open-Standard Connectivity Framework for Autonomous Vehicles</v>
      </c>
      <c r="C8">
        <f>'citations-it3-studies'!$C8</f>
        <v>2022</v>
      </c>
      <c r="D8">
        <f>'citations-it3-studies'!$H8</f>
        <v>4</v>
      </c>
    </row>
    <row r="9" spans="1:4">
      <c r="A9" t="s">
        <v>4274</v>
      </c>
      <c r="B9" s="39" t="str">
        <f>HYPERLINK('citations-it3-studies'!$D9,'citations-it3-studies'!$B9)</f>
        <v>AUTOSAR AP and ROS 2 Collaboration Framework for Development in Cloud Environment</v>
      </c>
      <c r="C9">
        <f>'citations-it3-studies'!$C9</f>
        <v>2025</v>
      </c>
      <c r="D9">
        <f>'citations-it3-studies'!$H9</f>
        <v>13</v>
      </c>
    </row>
    <row r="10" spans="1:4">
      <c r="A10" t="s">
        <v>4274</v>
      </c>
      <c r="B10" s="39" t="str">
        <f>HYPERLINK('citations-it3-studies'!$D10,'citations-it3-studies'!$B10)</f>
        <v>Edge- AI and Internet of Things for Intelligent Systems: Architectures, Applications and Future Perspectives</v>
      </c>
      <c r="C10">
        <f>'citations-it3-studies'!$C10</f>
        <v>2025</v>
      </c>
      <c r="D10">
        <f>'citations-it3-studies'!$H10</f>
        <v>12</v>
      </c>
    </row>
    <row r="11" spans="1:4">
      <c r="A11" t="s">
        <v>4274</v>
      </c>
      <c r="B11" s="39" t="str">
        <f>HYPERLINK('citations-it3-studies'!$D11,'citations-it3-studies'!$B11)</f>
        <v>Real-Time Kubernetes-Based Front-End Processor for Smart Grid</v>
      </c>
      <c r="C11">
        <f>'citations-it3-studies'!$C11</f>
        <v>2025</v>
      </c>
      <c r="D11">
        <f>'citations-it3-studies'!$H11</f>
        <v>1</v>
      </c>
    </row>
    <row r="12" spans="1:4">
      <c r="A12" t="s">
        <v>4274</v>
      </c>
      <c r="B12" s="39" t="str">
        <f>HYPERLINK('citations-it3-studies'!$D12,'citations-it3-studies'!$B12)</f>
        <v>Supervisory Monitoring and Control Solution on Android Mobile Devices for the Water Industry 4.0</v>
      </c>
      <c r="C12">
        <f>'citations-it3-studies'!$C12</f>
        <v>2023</v>
      </c>
      <c r="D12">
        <f>'citations-it3-studies'!$H12</f>
        <v>1</v>
      </c>
    </row>
    <row r="13" spans="1:4">
      <c r="A13" t="s">
        <v>4274</v>
      </c>
      <c r="B13" s="39" t="str">
        <f>HYPERLINK('citations-it3-studies'!$D13,'citations-it3-studies'!$B13)</f>
        <v>A Distributed Supervisor Architecture for a General Wafer Production System.</v>
      </c>
      <c r="C13">
        <f>'citations-it3-studies'!$C13</f>
        <v>2023</v>
      </c>
      <c r="D13">
        <f>'citations-it3-studies'!$H13</f>
        <v>1</v>
      </c>
    </row>
    <row r="14" spans="1:4">
      <c r="A14" t="s">
        <v>4274</v>
      </c>
      <c r="B14" s="39" t="str">
        <f>HYPERLINK('citations-it3-studies'!$D14,'citations-it3-studies'!$B14)</f>
        <v>Food quality 4.0: From traditional approaches to digitalized automated analysis</v>
      </c>
      <c r="C14">
        <f>'citations-it3-studies'!$C14</f>
        <v>2023</v>
      </c>
      <c r="D14">
        <f>'citations-it3-studies'!$H14</f>
        <v>1</v>
      </c>
    </row>
    <row r="15" spans="1:4">
      <c r="A15" t="s">
        <v>4274</v>
      </c>
      <c r="B15" s="39" t="str">
        <f>HYPERLINK('citations-it3-studies'!$D15,'citations-it3-studies'!$B15)</f>
        <v>Communication Safety of Cybernetic Systems in a Smart Factory Environment</v>
      </c>
      <c r="C15">
        <f>'citations-it3-studies'!$C15</f>
        <v>2023</v>
      </c>
      <c r="D15">
        <f>'citations-it3-studies'!$H15</f>
        <v>1</v>
      </c>
    </row>
    <row r="16" spans="1:4">
      <c r="A16" t="s">
        <v>4274</v>
      </c>
      <c r="B16" s="39" t="str">
        <f>HYPERLINK('citations-it3-studies'!$D16,'citations-it3-studies'!$B16)</f>
        <v>Industry 5.0: An Extended Experimental Case for Implementing a Multi-Level Framework for Enterprise Integration</v>
      </c>
      <c r="C16">
        <f>'citations-it3-studies'!$C16</f>
        <v>2026</v>
      </c>
      <c r="D16">
        <f>'citations-it3-studies'!$H16</f>
        <v>15</v>
      </c>
    </row>
    <row r="17" spans="1:4">
      <c r="A17" t="s">
        <v>4274</v>
      </c>
      <c r="B17" s="39" t="str">
        <f>HYPERLINK('citations-it3-studies'!$D17,'citations-it3-studies'!$B17)</f>
        <v>Monitor and Analyze Rare ROS2 Performance Issues with A Unified Tracing Framework</v>
      </c>
      <c r="C17">
        <f>'citations-it3-studies'!$C17</f>
        <v>2024</v>
      </c>
      <c r="D17">
        <f>'citations-it3-studies'!$H17</f>
        <v>10</v>
      </c>
    </row>
    <row r="18" spans="1:4">
      <c r="A18" t="s">
        <v>4274</v>
      </c>
      <c r="B18" s="39" t="str">
        <f>HYPERLINK('citations-it3-studies'!$D18,'citations-it3-studies'!$B18)</f>
        <v>Stepping Toward Zenoh Protocol in Automotive Scenarios</v>
      </c>
      <c r="C18">
        <f>'citations-it3-studies'!$C18</f>
        <v>2025</v>
      </c>
      <c r="D18">
        <f>'citations-it3-studies'!$H18</f>
        <v>14</v>
      </c>
    </row>
    <row r="19" spans="1:4">
      <c r="A19" t="s">
        <v>4275</v>
      </c>
      <c r="B19" s="39" t="str">
        <f>HYPERLINK('references-it3-studies'!$D2,'references-it3-studies'!$B2)</f>
        <v>Improving OPC UA Publish-Subscribe Mechanism over UDP with Synchronization Algorithm and Multithreading Broker Application.</v>
      </c>
      <c r="C19">
        <f>'references-it3-studies'!$C2</f>
        <v>2020</v>
      </c>
      <c r="D19">
        <f>'references-it3-studies'!$H2</f>
        <v>0</v>
      </c>
    </row>
    <row r="20" spans="1:4">
      <c r="A20" t="s">
        <v>4275</v>
      </c>
      <c r="B20" s="39" t="str">
        <f>HYPERLINK('references-it3-studies'!$D3,'references-it3-studies'!$B3)</f>
        <v>A Proposal to Improve Interoperability in the Industry 4.0 Based on the Open Platform Communications Unified Architecture Standard</v>
      </c>
      <c r="C20">
        <f>'references-it3-studies'!$C3</f>
        <v>2021</v>
      </c>
      <c r="D20">
        <f>'references-it3-studies'!$H3</f>
        <v>0</v>
      </c>
    </row>
    <row r="21" spans="1:4">
      <c r="A21" t="s">
        <v>4275</v>
      </c>
      <c r="B21" s="39" t="str">
        <f>HYPERLINK('references-it3-studies'!$D4,'references-it3-studies'!$B4)</f>
        <v>INDIN - Achieving interoperability using low-cost middleware OPC UA wrapping structure. Case study in the water industry</v>
      </c>
      <c r="C21">
        <f>'references-it3-studies'!$C4</f>
        <v>2017</v>
      </c>
      <c r="D21">
        <f>'references-it3-studies'!$H4</f>
        <v>6</v>
      </c>
    </row>
    <row r="22" spans="1:4">
      <c r="A22" t="s">
        <v>4275</v>
      </c>
      <c r="B22" s="39" t="str">
        <f>HYPERLINK('references-it3-studies'!$D5,'references-it3-studies'!$B5)</f>
        <v>SysCon - Performance Study of the Robot Operating System 2 with QoS and Cyber Security Settings</v>
      </c>
      <c r="C22">
        <f>'references-it3-studies'!$C5</f>
        <v>2020</v>
      </c>
      <c r="D22">
        <f>'references-it3-studies'!$H5</f>
        <v>6</v>
      </c>
    </row>
    <row r="23" spans="1:4">
      <c r="A23" t="s">
        <v>4275</v>
      </c>
      <c r="B23" s="39" t="str">
        <f>HYPERLINK('references-it3-studies'!$D6,'references-it3-studies'!$B6)</f>
        <v>RTCSA - Dynamic Binding a Proper DDS Implementation for Optimizing Inter-Node Communication in ROS2</v>
      </c>
      <c r="C23">
        <f>'references-it3-studies'!$C6</f>
        <v>2018</v>
      </c>
      <c r="D23">
        <f>'references-it3-studies'!$H6</f>
        <v>2</v>
      </c>
    </row>
    <row r="24" spans="1:4">
      <c r="A24" t="s">
        <v>4275</v>
      </c>
      <c r="B24" s="39" t="str">
        <f>HYPERLINK('references-it3-studies'!$D7,'references-it3-studies'!$B7)</f>
        <v>Information Distribution in Multi-Robot Systems: Utility-Based Evaluation Model</v>
      </c>
      <c r="C24">
        <f>'references-it3-studies'!$C7</f>
        <v>2020</v>
      </c>
      <c r="D24">
        <f>'references-it3-studies'!$H7</f>
        <v>0</v>
      </c>
    </row>
    <row r="25" spans="1:4">
      <c r="A25" t="s">
        <v>4275</v>
      </c>
      <c r="B25" s="39" t="str">
        <f>HYPERLINK('references-it3-studies'!$D8,'references-it3-studies'!$B8)</f>
        <v>OPC UA Publish-Subscribe and VSOME/IP Notify-Subscribe Based Gateway Application in the Context of Car to Infrastructure Communication.</v>
      </c>
      <c r="C25">
        <f>'references-it3-studies'!$C8</f>
        <v>2020</v>
      </c>
      <c r="D25">
        <f>'references-it3-studies'!$H8</f>
        <v>0</v>
      </c>
    </row>
    <row r="26" spans="1:4">
      <c r="A26" t="s">
        <v>4275</v>
      </c>
      <c r="B26" s="39" t="str">
        <f>HYPERLINK('references-it3-studies'!$D9,'references-it3-studies'!$B9)</f>
        <v>An Optimized, Data Distribution Service-Based Solution for Reliable Data Exchange Among Autonomous Underwater Vehicles</v>
      </c>
      <c r="C26">
        <f>'references-it3-studies'!$C9</f>
        <v>2017</v>
      </c>
      <c r="D26">
        <f>'references-it3-studies'!$H9</f>
        <v>0</v>
      </c>
    </row>
    <row r="27" spans="1:4">
      <c r="A27" t="s">
        <v>4275</v>
      </c>
      <c r="B27" s="39" t="str">
        <f>HYPERLINK('references-it3-studies'!$D10,'references-it3-studies'!$B10)</f>
        <v>SysCon - Evaluation of the Robot Operating System 2 in Lossy Unmanned Networks</v>
      </c>
      <c r="C27">
        <f>'references-it3-studies'!$C10</f>
        <v>2020</v>
      </c>
      <c r="D27">
        <f>'references-it3-studies'!$H10</f>
        <v>8</v>
      </c>
    </row>
    <row r="28" spans="1:4">
      <c r="A28" t="s">
        <v>4275</v>
      </c>
      <c r="B28" s="39" t="str">
        <f>HYPERLINK('references-it3-studies'!$D11,'references-it3-studies'!$B11)</f>
        <v>More Sustainability in Industry through Industrial Internet of Things</v>
      </c>
      <c r="C28">
        <f>'references-it3-studies'!$C11</f>
        <v>2018</v>
      </c>
      <c r="D28">
        <f>'references-it3-studies'!$H11</f>
        <v>0</v>
      </c>
    </row>
    <row r="29" spans="1:4">
      <c r="A29" t="s">
        <v>4275</v>
      </c>
      <c r="B29" s="39" t="str">
        <f>HYPERLINK('references-it3-studies'!$D12,'references-it3-studies'!$B12)</f>
        <v>Data Distribution Service Converter Based on the Open Platform Communications Unified Architecture Publish–Subscribe Protocol</v>
      </c>
      <c r="C29">
        <f>'references-it3-studies'!$C12</f>
        <v>2021</v>
      </c>
      <c r="D29">
        <f>'references-it3-studies'!$H12</f>
        <v>0</v>
      </c>
    </row>
    <row r="30" spans="1:4">
      <c r="A30" t="s">
        <v>4275</v>
      </c>
      <c r="B30" s="39" t="str">
        <f>HYPERLINK('references-it3-studies'!$D13,'references-it3-studies'!$B13)</f>
        <v>Towards IoT-Aided Human-Robot Interaction Using NEP and ROS: A Platform-Independent, Accessible and Distributed Approach.</v>
      </c>
      <c r="C30">
        <f>'references-it3-studies'!$C13</f>
        <v>2020</v>
      </c>
      <c r="D30">
        <f>'references-it3-studies'!$H13</f>
        <v>0</v>
      </c>
    </row>
    <row r="31" spans="1:4">
      <c r="A31" t="s">
        <v>4275</v>
      </c>
      <c r="B31" s="39" t="str">
        <f>HYPERLINK('references-it3-studies'!$D14,'references-it3-studies'!$B14)</f>
        <v>ICE/ITMC - VSOMEIP - OPC UA Gateway Solution for the Automotive Industry</v>
      </c>
      <c r="C31">
        <f>'references-it3-studies'!$C14</f>
        <v>2019</v>
      </c>
      <c r="D31">
        <f>'references-it3-studies'!$H14</f>
        <v>6</v>
      </c>
    </row>
    <row r="32" spans="1:4">
      <c r="A32" t="s">
        <v>4275</v>
      </c>
      <c r="B32" s="39" t="str">
        <f>HYPERLINK('references-it3-studies'!$D15,'references-it3-studies'!$B15)</f>
        <v>ETFA - Non-Invasive Control Solution inside Higher-Level OPC UA based Wrapper for Optimizing Groups of Wastewater Systems</v>
      </c>
      <c r="C32">
        <f>'references-it3-studies'!$C15</f>
        <v>2018</v>
      </c>
      <c r="D32">
        <f>'references-it3-studies'!$H15</f>
        <v>8</v>
      </c>
    </row>
    <row r="33" spans="1:4">
      <c r="A33" t="s">
        <v>4275</v>
      </c>
      <c r="B33" s="39" t="str">
        <f>HYPERLINK('references-it3-studies'!$D16,'references-it3-studies'!$B16)</f>
        <v>Process Automation in an IoT–Fog–Cloud Ecosystem: A Survey and Taxonomy</v>
      </c>
      <c r="C33">
        <f>'references-it3-studies'!$C16</f>
        <v>2021</v>
      </c>
      <c r="D33">
        <f>'references-it3-studies'!$H16</f>
        <v>27</v>
      </c>
    </row>
    <row r="34" spans="1:4">
      <c r="A34" t="s">
        <v>4275</v>
      </c>
      <c r="B34" s="39" t="str">
        <f>HYPERLINK('references-it3-studies'!$D17,'references-it3-studies'!$B17)</f>
        <v>FDDS: An Integrated Conceptual FDDS Framework for DDS Based Middleware</v>
      </c>
      <c r="C34">
        <f>'references-it3-studies'!$C17</f>
        <v>2019</v>
      </c>
      <c r="D34">
        <f>'references-it3-studies'!$H17</f>
        <v>5</v>
      </c>
    </row>
    <row r="35" spans="1:4">
      <c r="A35" s="17" t="s">
        <v>4275</v>
      </c>
      <c r="B35" s="54" t="str">
        <f>HYPERLINK('references-it3-studies'!$D18,'references-it3-studies'!$B18)</f>
        <v>ETFA - Real-time capable OPC-UA Programs over TSN for distributed industrial control</v>
      </c>
      <c r="C35" s="17">
        <f>'references-it3-studies'!$C18</f>
        <v>2020</v>
      </c>
      <c r="D35" s="17">
        <f>'references-it3-studies'!$H18</f>
        <v>8</v>
      </c>
    </row>
    <row r="36" spans="1:4">
      <c r="A36" s="17" t="s">
        <v>4275</v>
      </c>
      <c r="B36" s="54" t="str">
        <f>HYPERLINK('references-it3-studies'!$D19,'references-it3-studies'!$B19)</f>
        <v>Approaching OPC UA Publish–Subscribe in the Context of UDP-Based Multi-Channel Communication and Image Transmission</v>
      </c>
      <c r="C36" s="17">
        <f>'references-it3-studies'!$C19</f>
        <v>2021</v>
      </c>
      <c r="D36" s="17">
        <f>'references-it3-studies'!$H19</f>
        <v>0</v>
      </c>
    </row>
    <row r="37" spans="1:4">
      <c r="A37" s="17" t="s">
        <v>4275</v>
      </c>
      <c r="B37" s="54" t="str">
        <f>HYPERLINK('references-it3-studies'!$D20,'references-it3-studies'!$B20)</f>
        <v>ETFA - Real-time Industrial Communication by using OPC UA Field Level Communication</v>
      </c>
      <c r="C37" s="17">
        <f>'references-it3-studies'!$C20</f>
        <v>2020</v>
      </c>
      <c r="D37" s="17">
        <f>'references-it3-studies'!$H20</f>
        <v>4</v>
      </c>
    </row>
    <row r="43" spans="1:4">
      <c r="B43" s="39"/>
    </row>
    <row r="44" spans="1:4">
      <c r="B44" s="39"/>
    </row>
    <row r="45" spans="1:4">
      <c r="B45" s="39"/>
    </row>
    <row r="46" spans="1:4">
      <c r="B46" s="39"/>
    </row>
    <row r="47" spans="1:4">
      <c r="B47" s="39"/>
    </row>
    <row r="48" spans="1:4">
      <c r="B48" s="39"/>
    </row>
    <row r="49" spans="2:2">
      <c r="B49" s="39"/>
    </row>
    <row r="50" spans="2:2">
      <c r="B50" s="39"/>
    </row>
    <row r="51" spans="2:2">
      <c r="B51" s="39"/>
    </row>
    <row r="52" spans="2:2">
      <c r="B52" s="39"/>
    </row>
    <row r="53" spans="2:2">
      <c r="B53" s="39"/>
    </row>
    <row r="54" spans="2:2">
      <c r="B54" s="39"/>
    </row>
    <row r="55" spans="2:2">
      <c r="B55" s="39"/>
    </row>
    <row r="56" spans="2:2">
      <c r="B56" s="39"/>
    </row>
    <row r="57" spans="2:2">
      <c r="B57" s="39"/>
    </row>
    <row r="58" spans="2:2">
      <c r="B58" s="39"/>
    </row>
    <row r="59" spans="2:2">
      <c r="B59" s="39"/>
    </row>
    <row r="60" spans="2:2">
      <c r="B60" s="39"/>
    </row>
    <row r="61" spans="2:2">
      <c r="B61" s="39"/>
    </row>
    <row r="62" spans="2:2">
      <c r="B62" s="39"/>
    </row>
    <row r="63" spans="2:2">
      <c r="B63" s="39"/>
    </row>
    <row r="64" spans="2:2">
      <c r="B64" s="39"/>
    </row>
    <row r="65" spans="2:2">
      <c r="B65" s="39"/>
    </row>
    <row r="66" spans="2:2">
      <c r="B66" s="39"/>
    </row>
    <row r="67" spans="2:2">
      <c r="B67" s="39"/>
    </row>
    <row r="68" spans="2:2">
      <c r="B68" s="39"/>
    </row>
    <row r="69" spans="2:2">
      <c r="B69" s="39"/>
    </row>
    <row r="70" spans="2:2">
      <c r="B70" s="39"/>
    </row>
    <row r="71" spans="2:2">
      <c r="B71" s="39"/>
    </row>
    <row r="72" spans="2:2">
      <c r="B72" s="39"/>
    </row>
    <row r="73" spans="2:2">
      <c r="B73" s="39"/>
    </row>
    <row r="74" spans="2:2">
      <c r="B74" s="39"/>
    </row>
    <row r="75" spans="2:2">
      <c r="B75" s="39"/>
    </row>
    <row r="76" spans="2:2">
      <c r="B76" s="39"/>
    </row>
    <row r="77" spans="2:2">
      <c r="B77" s="39"/>
    </row>
    <row r="78" spans="2:2">
      <c r="B78" s="39"/>
    </row>
    <row r="79" spans="2:2">
      <c r="B79" s="39"/>
    </row>
    <row r="80" spans="2:2">
      <c r="B80" s="39"/>
    </row>
    <row r="81" spans="2:2">
      <c r="B81" s="39"/>
    </row>
    <row r="82" spans="2:2">
      <c r="B82" s="39"/>
    </row>
    <row r="83" spans="2:2">
      <c r="B83" s="39"/>
    </row>
    <row r="84" spans="2:2">
      <c r="B84" s="39"/>
    </row>
    <row r="85" spans="2:2">
      <c r="B85" s="39"/>
    </row>
    <row r="86" spans="2:2">
      <c r="B86" s="39"/>
    </row>
    <row r="87" spans="2:2">
      <c r="B87" s="39"/>
    </row>
    <row r="88" spans="2:2">
      <c r="B88" s="39"/>
    </row>
    <row r="89" spans="2:2">
      <c r="B89" s="39"/>
    </row>
    <row r="90" spans="2:2">
      <c r="B90" s="39"/>
    </row>
    <row r="91" spans="2:2">
      <c r="B91" s="39"/>
    </row>
    <row r="92" spans="2:2">
      <c r="B92" s="39"/>
    </row>
    <row r="93" spans="2:2">
      <c r="B93" s="39"/>
    </row>
    <row r="94" spans="2:2">
      <c r="B94" s="39"/>
    </row>
    <row r="95" spans="2:2">
      <c r="B95" s="39"/>
    </row>
    <row r="96" spans="2:2">
      <c r="B96" s="39"/>
    </row>
    <row r="97" spans="2:2">
      <c r="B97" s="39"/>
    </row>
    <row r="98" spans="2:2">
      <c r="B98" s="39"/>
    </row>
    <row r="99" spans="2:2">
      <c r="B99" s="39"/>
    </row>
    <row r="100" spans="2:2">
      <c r="B100" s="39"/>
    </row>
    <row r="101" spans="2:2">
      <c r="B101" s="39"/>
    </row>
    <row r="102" spans="2:2">
      <c r="B102" s="39"/>
    </row>
    <row r="103" spans="2:2">
      <c r="B103" s="39"/>
    </row>
    <row r="104" spans="2:2">
      <c r="B104" s="39"/>
    </row>
    <row r="105" spans="2:2">
      <c r="B105" s="39"/>
    </row>
    <row r="106" spans="2:2">
      <c r="B106" s="39"/>
    </row>
    <row r="107" spans="2:2">
      <c r="B107" s="39"/>
    </row>
    <row r="108" spans="2:2">
      <c r="B108" s="39"/>
    </row>
    <row r="109" spans="2:2">
      <c r="B109" s="39"/>
    </row>
    <row r="110" spans="2:2">
      <c r="B110" s="39"/>
    </row>
    <row r="111" spans="2:2">
      <c r="B111" s="39"/>
    </row>
    <row r="112" spans="2:2">
      <c r="B112" s="39"/>
    </row>
    <row r="113" spans="2:2">
      <c r="B113" s="39"/>
    </row>
    <row r="114" spans="2:2">
      <c r="B114" s="39"/>
    </row>
    <row r="115" spans="2:2">
      <c r="B115" s="39"/>
    </row>
    <row r="116" spans="2:2">
      <c r="B116" s="39"/>
    </row>
    <row r="117" spans="2:2">
      <c r="B117" s="39"/>
    </row>
    <row r="118" spans="2:2">
      <c r="B118" s="39"/>
    </row>
    <row r="119" spans="2:2">
      <c r="B119" s="39"/>
    </row>
    <row r="120" spans="2:2">
      <c r="B120" s="39"/>
    </row>
    <row r="121" spans="2:2">
      <c r="B121" s="39"/>
    </row>
    <row r="122" spans="2:2">
      <c r="B122" s="39"/>
    </row>
    <row r="123" spans="2:2">
      <c r="B123" s="39"/>
    </row>
    <row r="124" spans="2:2">
      <c r="B124" s="39"/>
    </row>
    <row r="125" spans="2:2">
      <c r="B125" s="39"/>
    </row>
    <row r="126" spans="2:2">
      <c r="B126" s="39"/>
    </row>
    <row r="127" spans="2:2">
      <c r="B127" s="39"/>
    </row>
    <row r="128" spans="2:2">
      <c r="B128" s="39"/>
    </row>
    <row r="129" spans="2:2">
      <c r="B129" s="39"/>
    </row>
    <row r="130" spans="2:2">
      <c r="B130" s="39"/>
    </row>
    <row r="131" spans="2:2">
      <c r="B131" s="39"/>
    </row>
    <row r="132" spans="2:2">
      <c r="B132" s="39"/>
    </row>
    <row r="133" spans="2:2">
      <c r="B133" s="39"/>
    </row>
    <row r="134" spans="2:2">
      <c r="B134" s="39"/>
    </row>
    <row r="135" spans="2:2">
      <c r="B135" s="39"/>
    </row>
    <row r="136" spans="2:2">
      <c r="B136" s="39"/>
    </row>
    <row r="137" spans="2:2">
      <c r="B137" s="39"/>
    </row>
    <row r="138" spans="2:2">
      <c r="B138" s="39"/>
    </row>
    <row r="139" spans="2:2">
      <c r="B139" s="39"/>
    </row>
    <row r="140" spans="2:2">
      <c r="B140" s="39"/>
    </row>
    <row r="141" spans="2:2">
      <c r="B141" s="39"/>
    </row>
    <row r="142" spans="2:2">
      <c r="B142" s="39"/>
    </row>
    <row r="143" spans="2:2">
      <c r="B143" s="39"/>
    </row>
    <row r="144" spans="2:2">
      <c r="B144" s="39"/>
    </row>
    <row r="145" spans="2:2">
      <c r="B145" s="39"/>
    </row>
    <row r="146" spans="2:2">
      <c r="B146" s="39"/>
    </row>
    <row r="147" spans="2:2">
      <c r="B147" s="39"/>
    </row>
    <row r="148" spans="2:2">
      <c r="B148" s="39"/>
    </row>
    <row r="149" spans="2:2">
      <c r="B149" s="39"/>
    </row>
    <row r="150" spans="2:2">
      <c r="B150" s="39"/>
    </row>
    <row r="151" spans="2:2">
      <c r="B151" s="39"/>
    </row>
    <row r="152" spans="2:2">
      <c r="B152" s="39"/>
    </row>
    <row r="153" spans="2:2">
      <c r="B153" s="39"/>
    </row>
    <row r="154" spans="2:2">
      <c r="B154" s="39"/>
    </row>
    <row r="155" spans="2:2">
      <c r="B155" s="39"/>
    </row>
    <row r="156" spans="2:2">
      <c r="B156" s="39"/>
    </row>
    <row r="157" spans="2:2">
      <c r="B157" s="39"/>
    </row>
    <row r="158" spans="2:2">
      <c r="B158" s="39"/>
    </row>
    <row r="159" spans="2:2">
      <c r="B159" s="39"/>
    </row>
    <row r="160" spans="2:2">
      <c r="B160" s="39"/>
    </row>
    <row r="161" spans="2:2">
      <c r="B161" s="39"/>
    </row>
    <row r="162" spans="2:2">
      <c r="B162" s="39"/>
    </row>
    <row r="163" spans="2:2">
      <c r="B163" s="39"/>
    </row>
    <row r="164" spans="2:2">
      <c r="B164" s="39"/>
    </row>
    <row r="165" spans="2:2">
      <c r="B165" s="39"/>
    </row>
    <row r="166" spans="2:2">
      <c r="B166" s="39"/>
    </row>
    <row r="167" spans="2:2">
      <c r="B167" s="39"/>
    </row>
    <row r="168" spans="2:2">
      <c r="B168" s="39"/>
    </row>
    <row r="169" spans="2:2">
      <c r="B169" s="39"/>
    </row>
    <row r="170" spans="2:2">
      <c r="B170" s="39"/>
    </row>
    <row r="171" spans="2:2">
      <c r="B171" s="39"/>
    </row>
    <row r="172" spans="2:2">
      <c r="B172" s="39"/>
    </row>
    <row r="173" spans="2:2">
      <c r="B173" s="39"/>
    </row>
    <row r="174" spans="2:2">
      <c r="B174" s="39"/>
    </row>
    <row r="175" spans="2:2">
      <c r="B175" s="39"/>
    </row>
    <row r="176" spans="2:2">
      <c r="B176" s="39"/>
    </row>
    <row r="177" spans="2:2">
      <c r="B177" s="39"/>
    </row>
    <row r="178" spans="2:2">
      <c r="B178" s="39"/>
    </row>
    <row r="179" spans="2:2">
      <c r="B179" s="39"/>
    </row>
    <row r="180" spans="2:2">
      <c r="B180" s="39"/>
    </row>
    <row r="181" spans="2:2">
      <c r="B181" s="39"/>
    </row>
    <row r="182" spans="2:2">
      <c r="B182" s="39"/>
    </row>
    <row r="183" spans="2:2">
      <c r="B183" s="39"/>
    </row>
    <row r="184" spans="2:2">
      <c r="B184" s="39"/>
    </row>
    <row r="185" spans="2:2">
      <c r="B185" s="39"/>
    </row>
    <row r="186" spans="2:2">
      <c r="B186" s="39"/>
    </row>
    <row r="187" spans="2:2">
      <c r="B187" s="39"/>
    </row>
    <row r="188" spans="2:2">
      <c r="B188" s="39"/>
    </row>
    <row r="189" spans="2:2">
      <c r="B189" s="39"/>
    </row>
    <row r="190" spans="2:2">
      <c r="B190" s="39"/>
    </row>
    <row r="191" spans="2:2">
      <c r="B191" s="39"/>
    </row>
    <row r="192" spans="2:2">
      <c r="B192" s="39"/>
    </row>
    <row r="193" spans="2:2">
      <c r="B193" s="39"/>
    </row>
    <row r="194" spans="2:2">
      <c r="B194" s="39"/>
    </row>
    <row r="195" spans="2:2">
      <c r="B195" s="39"/>
    </row>
    <row r="196" spans="2:2">
      <c r="B196" s="39"/>
    </row>
    <row r="197" spans="2:2">
      <c r="B197" s="39"/>
    </row>
    <row r="198" spans="2:2">
      <c r="B198" s="39"/>
    </row>
    <row r="199" spans="2:2">
      <c r="B199" s="39"/>
    </row>
    <row r="200" spans="2:2">
      <c r="B200" s="39"/>
    </row>
    <row r="201" spans="2:2">
      <c r="B201" s="39"/>
    </row>
    <row r="202" spans="2:2">
      <c r="B202" s="39"/>
    </row>
    <row r="203" spans="2:2">
      <c r="B203" s="39"/>
    </row>
    <row r="204" spans="2:2">
      <c r="B204" s="39"/>
    </row>
    <row r="205" spans="2:2">
      <c r="B205" s="39"/>
    </row>
    <row r="206" spans="2:2">
      <c r="B206" s="39"/>
    </row>
    <row r="207" spans="2:2">
      <c r="B207" s="39"/>
    </row>
    <row r="208" spans="2:2">
      <c r="B208" s="39"/>
    </row>
    <row r="209" spans="2:2">
      <c r="B209" s="39"/>
    </row>
    <row r="210" spans="2:2">
      <c r="B210" s="39"/>
    </row>
    <row r="211" spans="2:2">
      <c r="B211" s="39"/>
    </row>
    <row r="212" spans="2:2">
      <c r="B212" s="39"/>
    </row>
    <row r="213" spans="2:2">
      <c r="B213" s="39"/>
    </row>
    <row r="214" spans="2:2">
      <c r="B214" s="39"/>
    </row>
    <row r="215" spans="2:2">
      <c r="B215" s="39"/>
    </row>
    <row r="216" spans="2:2">
      <c r="B216" s="39"/>
    </row>
    <row r="217" spans="2:2">
      <c r="B217" s="39"/>
    </row>
    <row r="218" spans="2:2">
      <c r="B218" s="39"/>
    </row>
    <row r="219" spans="2:2">
      <c r="B219" s="39"/>
    </row>
    <row r="220" spans="2:2">
      <c r="B220" s="39"/>
    </row>
    <row r="221" spans="2:2">
      <c r="B221" s="39"/>
    </row>
    <row r="222" spans="2:2">
      <c r="B222" s="39"/>
    </row>
    <row r="223" spans="2:2">
      <c r="B223" s="39"/>
    </row>
    <row r="224" spans="2:2">
      <c r="B224" s="39"/>
    </row>
    <row r="225" spans="2:2">
      <c r="B225" s="39"/>
    </row>
    <row r="226" spans="2:2">
      <c r="B226" s="39"/>
    </row>
    <row r="227" spans="2:2">
      <c r="B227" s="39"/>
    </row>
    <row r="228" spans="2:2">
      <c r="B228" s="39"/>
    </row>
    <row r="229" spans="2:2">
      <c r="B229" s="39"/>
    </row>
    <row r="230" spans="2:2">
      <c r="B230" s="39"/>
    </row>
    <row r="231" spans="2:2">
      <c r="B231" s="39"/>
    </row>
    <row r="232" spans="2:2">
      <c r="B232" s="39"/>
    </row>
    <row r="233" spans="2:2">
      <c r="B233" s="39"/>
    </row>
    <row r="234" spans="2:2">
      <c r="B234" s="39"/>
    </row>
    <row r="235" spans="2:2">
      <c r="B235" s="39"/>
    </row>
    <row r="236" spans="2:2">
      <c r="B236" s="39"/>
    </row>
    <row r="237" spans="2:2">
      <c r="B237" s="39"/>
    </row>
    <row r="238" spans="2:2">
      <c r="B238" s="39"/>
    </row>
    <row r="239" spans="2:2">
      <c r="B239" s="39"/>
    </row>
    <row r="240" spans="2:2">
      <c r="B240" s="39"/>
    </row>
    <row r="241" spans="2:2">
      <c r="B241" s="39"/>
    </row>
    <row r="242" spans="2:2">
      <c r="B242" s="39"/>
    </row>
    <row r="243" spans="2:2">
      <c r="B243" s="39"/>
    </row>
    <row r="244" spans="2:2">
      <c r="B244" s="39"/>
    </row>
    <row r="245" spans="2:2">
      <c r="B245" s="39"/>
    </row>
    <row r="246" spans="2:2">
      <c r="B246" s="39"/>
    </row>
    <row r="247" spans="2:2">
      <c r="B247" s="39"/>
    </row>
    <row r="248" spans="2:2">
      <c r="B248" s="39"/>
    </row>
    <row r="249" spans="2:2">
      <c r="B249" s="39"/>
    </row>
    <row r="250" spans="2:2">
      <c r="B250" s="39"/>
    </row>
    <row r="251" spans="2:2">
      <c r="B251" s="39"/>
    </row>
    <row r="252" spans="2:2">
      <c r="B252" s="39"/>
    </row>
    <row r="253" spans="2:2">
      <c r="B253" s="39"/>
    </row>
    <row r="254" spans="2:2">
      <c r="B254" s="39"/>
    </row>
    <row r="255" spans="2:2">
      <c r="B255" s="39"/>
    </row>
    <row r="256" spans="2:2">
      <c r="B256" s="39"/>
    </row>
    <row r="257" spans="2:2">
      <c r="B257" s="39"/>
    </row>
    <row r="258" spans="2:2">
      <c r="B258" s="39"/>
    </row>
    <row r="259" spans="2:2">
      <c r="B259" s="39"/>
    </row>
    <row r="260" spans="2:2">
      <c r="B260" s="39"/>
    </row>
    <row r="261" spans="2:2">
      <c r="B261" s="39"/>
    </row>
    <row r="262" spans="2:2">
      <c r="B262" s="39"/>
    </row>
    <row r="263" spans="2:2">
      <c r="B263" s="39"/>
    </row>
    <row r="264" spans="2:2">
      <c r="B264" s="39"/>
    </row>
    <row r="265" spans="2:2">
      <c r="B265" s="39"/>
    </row>
    <row r="266" spans="2:2">
      <c r="B266" s="39"/>
    </row>
    <row r="267" spans="2:2">
      <c r="B267" s="39"/>
    </row>
    <row r="268" spans="2:2">
      <c r="B268" s="39"/>
    </row>
    <row r="269" spans="2:2">
      <c r="B269" s="39"/>
    </row>
    <row r="270" spans="2:2">
      <c r="B270" s="39"/>
    </row>
    <row r="271" spans="2:2">
      <c r="B271" s="39"/>
    </row>
    <row r="272" spans="2:2">
      <c r="B272" s="39"/>
    </row>
    <row r="273" spans="2:2">
      <c r="B273" s="39"/>
    </row>
    <row r="274" spans="2:2">
      <c r="B274" s="39"/>
    </row>
    <row r="275" spans="2:2">
      <c r="B275" s="39"/>
    </row>
    <row r="276" spans="2:2">
      <c r="B276" s="39"/>
    </row>
    <row r="277" spans="2:2">
      <c r="B277" s="39"/>
    </row>
    <row r="278" spans="2:2">
      <c r="B278" s="39"/>
    </row>
    <row r="279" spans="2:2">
      <c r="B279" s="39"/>
    </row>
    <row r="280" spans="2:2">
      <c r="B280" s="39"/>
    </row>
    <row r="281" spans="2:2">
      <c r="B281" s="39"/>
    </row>
    <row r="282" spans="2:2">
      <c r="B282" s="39"/>
    </row>
    <row r="283" spans="2:2">
      <c r="B283" s="39"/>
    </row>
    <row r="284" spans="2:2">
      <c r="B284" s="39"/>
    </row>
    <row r="285" spans="2:2">
      <c r="B285" s="39"/>
    </row>
    <row r="286" spans="2:2">
      <c r="B286" s="39"/>
    </row>
    <row r="287" spans="2:2">
      <c r="B287" s="39"/>
    </row>
    <row r="288" spans="2:2">
      <c r="B288" s="39"/>
    </row>
    <row r="289" spans="2:2">
      <c r="B289" s="39"/>
    </row>
    <row r="290" spans="2:2">
      <c r="B290" s="39"/>
    </row>
    <row r="291" spans="2:2">
      <c r="B291" s="39"/>
    </row>
    <row r="292" spans="2:2">
      <c r="B292" s="39"/>
    </row>
    <row r="293" spans="2:2">
      <c r="B293" s="39"/>
    </row>
    <row r="294" spans="2:2">
      <c r="B294" s="39"/>
    </row>
    <row r="295" spans="2:2">
      <c r="B295" s="39"/>
    </row>
    <row r="296" spans="2:2">
      <c r="B296" s="39"/>
    </row>
    <row r="297" spans="2:2">
      <c r="B297" s="39"/>
    </row>
    <row r="298" spans="2:2">
      <c r="B298" s="39"/>
    </row>
    <row r="299" spans="2:2">
      <c r="B299" s="39"/>
    </row>
    <row r="300" spans="2:2">
      <c r="B300" s="39"/>
    </row>
    <row r="301" spans="2:2">
      <c r="B301" s="39"/>
    </row>
    <row r="302" spans="2:2">
      <c r="B302" s="39"/>
    </row>
    <row r="303" spans="2:2">
      <c r="B303" s="39"/>
    </row>
    <row r="304" spans="2:2">
      <c r="B304" s="39"/>
    </row>
    <row r="305" spans="2:2">
      <c r="B305" s="39"/>
    </row>
    <row r="306" spans="2:2">
      <c r="B306" s="39"/>
    </row>
    <row r="307" spans="2:2">
      <c r="B307" s="39"/>
    </row>
    <row r="308" spans="2:2">
      <c r="B308" s="39"/>
    </row>
    <row r="309" spans="2:2">
      <c r="B309" s="39"/>
    </row>
    <row r="310" spans="2:2">
      <c r="B310" s="39"/>
    </row>
    <row r="311" spans="2:2">
      <c r="B311" s="39"/>
    </row>
    <row r="312" spans="2:2">
      <c r="B312" s="39"/>
    </row>
    <row r="313" spans="2:2">
      <c r="B313" s="39"/>
    </row>
    <row r="314" spans="2:2">
      <c r="B314" s="39"/>
    </row>
    <row r="315" spans="2:2">
      <c r="B315" s="39"/>
    </row>
    <row r="316" spans="2:2">
      <c r="B316" s="39"/>
    </row>
    <row r="317" spans="2:2">
      <c r="B317" s="39"/>
    </row>
    <row r="318" spans="2:2">
      <c r="B318" s="39"/>
    </row>
    <row r="319" spans="2:2">
      <c r="B319" s="39"/>
    </row>
    <row r="320" spans="2:2">
      <c r="B320" s="39"/>
    </row>
    <row r="321" spans="2:2">
      <c r="B321" s="39"/>
    </row>
    <row r="322" spans="2:2">
      <c r="B322" s="39"/>
    </row>
    <row r="323" spans="2:2">
      <c r="B323" s="39"/>
    </row>
    <row r="324" spans="2:2">
      <c r="B324" s="39"/>
    </row>
    <row r="325" spans="2:2">
      <c r="B325" s="39"/>
    </row>
    <row r="326" spans="2:2">
      <c r="B326" s="39"/>
    </row>
    <row r="327" spans="2:2">
      <c r="B327" s="39"/>
    </row>
    <row r="328" spans="2:2">
      <c r="B328" s="39"/>
    </row>
    <row r="329" spans="2:2">
      <c r="B329" s="39"/>
    </row>
    <row r="330" spans="2:2">
      <c r="B330" s="39"/>
    </row>
    <row r="331" spans="2:2">
      <c r="B331" s="39"/>
    </row>
    <row r="332" spans="2:2">
      <c r="B332" s="39"/>
    </row>
    <row r="333" spans="2:2">
      <c r="B333" s="39"/>
    </row>
    <row r="334" spans="2:2">
      <c r="B334" s="39"/>
    </row>
    <row r="335" spans="2:2">
      <c r="B335" s="39"/>
    </row>
    <row r="336" spans="2:2">
      <c r="B336" s="39"/>
    </row>
    <row r="337" spans="2:2">
      <c r="B337" s="39"/>
    </row>
    <row r="338" spans="2:2">
      <c r="B338" s="39"/>
    </row>
    <row r="339" spans="2:2">
      <c r="B339" s="39"/>
    </row>
    <row r="340" spans="2:2">
      <c r="B340" s="39"/>
    </row>
    <row r="341" spans="2:2">
      <c r="B341" s="39"/>
    </row>
    <row r="342" spans="2:2">
      <c r="B342" s="39"/>
    </row>
    <row r="343" spans="2:2">
      <c r="B343" s="39"/>
    </row>
    <row r="344" spans="2:2">
      <c r="B344" s="39"/>
    </row>
    <row r="345" spans="2:2">
      <c r="B345" s="39"/>
    </row>
    <row r="346" spans="2:2">
      <c r="B346" s="39"/>
    </row>
    <row r="347" spans="2:2">
      <c r="B347" s="39"/>
    </row>
    <row r="348" spans="2:2">
      <c r="B348" s="39"/>
    </row>
    <row r="349" spans="2:2">
      <c r="B349" s="39"/>
    </row>
    <row r="350" spans="2:2">
      <c r="B350" s="39"/>
    </row>
    <row r="351" spans="2:2">
      <c r="B351" s="39"/>
    </row>
    <row r="352" spans="2:2">
      <c r="B352" s="39"/>
    </row>
    <row r="353" spans="2:2">
      <c r="B353" s="39"/>
    </row>
    <row r="354" spans="2:2">
      <c r="B354" s="39"/>
    </row>
    <row r="355" spans="2:2">
      <c r="B355" s="39"/>
    </row>
    <row r="356" spans="2:2">
      <c r="B356" s="39"/>
    </row>
    <row r="357" spans="2:2">
      <c r="B357" s="39"/>
    </row>
    <row r="358" spans="2:2">
      <c r="B358" s="39"/>
    </row>
    <row r="359" spans="2:2">
      <c r="B359" s="39"/>
    </row>
    <row r="360" spans="2:2">
      <c r="B360" s="39"/>
    </row>
    <row r="361" spans="2:2">
      <c r="B361" s="39"/>
    </row>
    <row r="362" spans="2:2">
      <c r="B362" s="39"/>
    </row>
    <row r="363" spans="2:2">
      <c r="B363" s="39"/>
    </row>
    <row r="364" spans="2:2">
      <c r="B364" s="39"/>
    </row>
    <row r="365" spans="2:2">
      <c r="B365" s="39"/>
    </row>
    <row r="366" spans="2:2">
      <c r="B366" s="39"/>
    </row>
    <row r="367" spans="2:2">
      <c r="B367" s="39"/>
    </row>
    <row r="368" spans="2:2">
      <c r="B368" s="39"/>
    </row>
    <row r="369" spans="2:2">
      <c r="B369" s="39"/>
    </row>
    <row r="370" spans="2:2">
      <c r="B370" s="39"/>
    </row>
    <row r="371" spans="2:2">
      <c r="B371" s="39"/>
    </row>
    <row r="372" spans="2:2">
      <c r="B372" s="39"/>
    </row>
    <row r="373" spans="2:2">
      <c r="B373" s="39"/>
    </row>
    <row r="374" spans="2:2">
      <c r="B374" s="39"/>
    </row>
    <row r="375" spans="2:2">
      <c r="B375" s="39"/>
    </row>
    <row r="376" spans="2:2">
      <c r="B376" s="39"/>
    </row>
    <row r="377" spans="2:2">
      <c r="B377" s="39"/>
    </row>
    <row r="378" spans="2:2">
      <c r="B378" s="39"/>
    </row>
    <row r="379" spans="2:2">
      <c r="B379" s="39"/>
    </row>
    <row r="380" spans="2:2">
      <c r="B380" s="39"/>
    </row>
    <row r="381" spans="2:2">
      <c r="B381" s="39"/>
    </row>
    <row r="382" spans="2:2">
      <c r="B382" s="39"/>
    </row>
    <row r="383" spans="2:2">
      <c r="B383" s="39"/>
    </row>
    <row r="384" spans="2:2">
      <c r="B384" s="39"/>
    </row>
    <row r="385" spans="2:2">
      <c r="B385" s="39"/>
    </row>
    <row r="386" spans="2:2">
      <c r="B386" s="39"/>
    </row>
    <row r="387" spans="2:2">
      <c r="B387" s="39"/>
    </row>
    <row r="388" spans="2:2">
      <c r="B388" s="39"/>
    </row>
    <row r="389" spans="2:2">
      <c r="B389" s="39"/>
    </row>
    <row r="390" spans="2:2">
      <c r="B390" s="39"/>
    </row>
    <row r="391" spans="2:2">
      <c r="B391" s="39"/>
    </row>
    <row r="392" spans="2:2">
      <c r="B392" s="39"/>
    </row>
    <row r="393" spans="2:2">
      <c r="B393" s="39"/>
    </row>
    <row r="394" spans="2:2">
      <c r="B394" s="39"/>
    </row>
    <row r="395" spans="2:2">
      <c r="B395" s="39"/>
    </row>
    <row r="396" spans="2:2">
      <c r="B396" s="39"/>
    </row>
    <row r="397" spans="2:2">
      <c r="B397" s="39"/>
    </row>
    <row r="398" spans="2:2">
      <c r="B398" s="39"/>
    </row>
    <row r="399" spans="2:2">
      <c r="B399" s="39"/>
    </row>
    <row r="400" spans="2:2">
      <c r="B400" s="39"/>
    </row>
    <row r="401" spans="2:2">
      <c r="B401" s="39"/>
    </row>
    <row r="402" spans="2:2">
      <c r="B402" s="39"/>
    </row>
    <row r="403" spans="2:2">
      <c r="B403" s="39"/>
    </row>
    <row r="404" spans="2:2">
      <c r="B404" s="39"/>
    </row>
    <row r="405" spans="2:2">
      <c r="B405" s="39"/>
    </row>
    <row r="406" spans="2:2">
      <c r="B406" s="39"/>
    </row>
    <row r="407" spans="2:2">
      <c r="B407" s="39"/>
    </row>
    <row r="408" spans="2:2">
      <c r="B408" s="39"/>
    </row>
    <row r="409" spans="2:2">
      <c r="B409" s="39"/>
    </row>
    <row r="410" spans="2:2">
      <c r="B410" s="39"/>
    </row>
    <row r="411" spans="2:2">
      <c r="B411" s="39"/>
    </row>
    <row r="412" spans="2:2">
      <c r="B412" s="39"/>
    </row>
    <row r="413" spans="2:2">
      <c r="B413" s="39"/>
    </row>
    <row r="414" spans="2:2">
      <c r="B414" s="39"/>
    </row>
    <row r="415" spans="2:2">
      <c r="B415" s="39"/>
    </row>
    <row r="416" spans="2:2">
      <c r="B416" s="39"/>
    </row>
    <row r="417" spans="2:2">
      <c r="B417" s="39"/>
    </row>
    <row r="418" spans="2:2">
      <c r="B418" s="39"/>
    </row>
    <row r="419" spans="2:2">
      <c r="B419" s="39"/>
    </row>
    <row r="420" spans="2:2">
      <c r="B420" s="39"/>
    </row>
    <row r="421" spans="2:2">
      <c r="B421" s="39"/>
    </row>
    <row r="422" spans="2:2">
      <c r="B422" s="39"/>
    </row>
    <row r="423" spans="2:2">
      <c r="B423" s="39"/>
    </row>
    <row r="424" spans="2:2">
      <c r="B424" s="39"/>
    </row>
    <row r="425" spans="2:2">
      <c r="B425" s="39"/>
    </row>
    <row r="426" spans="2:2">
      <c r="B426" s="39"/>
    </row>
    <row r="427" spans="2:2">
      <c r="B427" s="39"/>
    </row>
    <row r="428" spans="2:2">
      <c r="B428" s="39"/>
    </row>
    <row r="429" spans="2:2">
      <c r="B429" s="39"/>
    </row>
    <row r="430" spans="2:2">
      <c r="B430" s="39"/>
    </row>
    <row r="431" spans="2:2">
      <c r="B431" s="39"/>
    </row>
    <row r="432" spans="2:2">
      <c r="B432" s="39"/>
    </row>
    <row r="433" spans="2:2">
      <c r="B433" s="39"/>
    </row>
    <row r="434" spans="2:2">
      <c r="B434" s="39"/>
    </row>
    <row r="435" spans="2:2">
      <c r="B435" s="39"/>
    </row>
    <row r="436" spans="2:2">
      <c r="B436" s="39"/>
    </row>
    <row r="437" spans="2:2">
      <c r="B437" s="39"/>
    </row>
    <row r="438" spans="2:2">
      <c r="B438" s="39"/>
    </row>
    <row r="439" spans="2:2">
      <c r="B439" s="39"/>
    </row>
    <row r="440" spans="2:2">
      <c r="B440" s="39"/>
    </row>
    <row r="441" spans="2:2">
      <c r="B441" s="39"/>
    </row>
    <row r="442" spans="2:2">
      <c r="B442" s="39"/>
    </row>
    <row r="443" spans="2:2">
      <c r="B443" s="39"/>
    </row>
    <row r="444" spans="2:2">
      <c r="B444" s="39"/>
    </row>
    <row r="445" spans="2:2">
      <c r="B445" s="39"/>
    </row>
    <row r="446" spans="2:2">
      <c r="B446" s="39"/>
    </row>
    <row r="447" spans="2:2">
      <c r="B447" s="39"/>
    </row>
    <row r="448" spans="2:2">
      <c r="B448" s="39"/>
    </row>
    <row r="449" spans="2:2">
      <c r="B449" s="39"/>
    </row>
    <row r="450" spans="2:2">
      <c r="B450" s="39"/>
    </row>
    <row r="451" spans="2:2">
      <c r="B451" s="39"/>
    </row>
    <row r="452" spans="2:2">
      <c r="B452" s="39"/>
    </row>
    <row r="453" spans="2:2">
      <c r="B453" s="39"/>
    </row>
    <row r="454" spans="2:2">
      <c r="B454" s="39"/>
    </row>
    <row r="455" spans="2:2">
      <c r="B455" s="39"/>
    </row>
    <row r="456" spans="2:2">
      <c r="B456" s="39"/>
    </row>
    <row r="457" spans="2:2">
      <c r="B457" s="39"/>
    </row>
    <row r="458" spans="2:2">
      <c r="B458" s="39"/>
    </row>
    <row r="459" spans="2:2">
      <c r="B459" s="39"/>
    </row>
    <row r="460" spans="2:2">
      <c r="B460" s="39"/>
    </row>
    <row r="461" spans="2:2">
      <c r="B461" s="39"/>
    </row>
    <row r="462" spans="2:2">
      <c r="B462" s="39"/>
    </row>
    <row r="463" spans="2:2">
      <c r="B463" s="39"/>
    </row>
    <row r="464" spans="2:2">
      <c r="B464" s="39"/>
    </row>
    <row r="465" spans="2:2">
      <c r="B465" s="39"/>
    </row>
    <row r="466" spans="2:2">
      <c r="B466" s="39"/>
    </row>
    <row r="467" spans="2:2">
      <c r="B467" s="39"/>
    </row>
    <row r="468" spans="2:2">
      <c r="B468" s="39"/>
    </row>
    <row r="471" spans="2:2">
      <c r="B471" s="39"/>
    </row>
    <row r="472" spans="2:2">
      <c r="B472" s="39"/>
    </row>
    <row r="473" spans="2:2">
      <c r="B473" s="39"/>
    </row>
    <row r="474" spans="2:2">
      <c r="B474" s="39"/>
    </row>
    <row r="475" spans="2:2">
      <c r="B475" s="39"/>
    </row>
    <row r="476" spans="2:2">
      <c r="B476" s="39"/>
    </row>
    <row r="477" spans="2:2">
      <c r="B477" s="39"/>
    </row>
    <row r="478" spans="2:2">
      <c r="B478" s="39"/>
    </row>
    <row r="479" spans="2:2">
      <c r="B479" s="39"/>
    </row>
    <row r="480" spans="2:2">
      <c r="B480" s="39"/>
    </row>
    <row r="481" spans="1:2">
      <c r="B481" s="39"/>
    </row>
    <row r="482" spans="1:2">
      <c r="B482" s="39"/>
    </row>
    <row r="483" spans="1:2">
      <c r="A483" s="39"/>
    </row>
    <row r="484" spans="1:2">
      <c r="A484" s="3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87432-7EF2-4C77-A76F-9A8A9CB8B106}">
  <dimension ref="A1:D484"/>
  <sheetViews>
    <sheetView workbookViewId="0">
      <selection activeCell="D2" sqref="D2:D37"/>
    </sheetView>
  </sheetViews>
  <sheetFormatPr defaultRowHeight="12.75"/>
  <cols>
    <col min="2" max="2" width="38" customWidth="1"/>
  </cols>
  <sheetData>
    <row r="1" spans="1:4">
      <c r="A1" t="s">
        <v>47</v>
      </c>
      <c r="B1" t="s">
        <v>2</v>
      </c>
      <c r="C1" t="s">
        <v>32</v>
      </c>
      <c r="D1" t="s">
        <v>327</v>
      </c>
    </row>
    <row r="2" spans="1:4">
      <c r="A2" t="s">
        <v>4274</v>
      </c>
      <c r="B2" s="39" t="str">
        <f>HYPERLINK('citations-it3-studies'!$D2,'citations-it3-studies'!$B2)</f>
        <v>Modular Supervisory Control for the Coordination of a Manufacturing Cell with Observable Faults.</v>
      </c>
      <c r="C2">
        <f>'citations-it3-studies'!$C2</f>
        <v>2022</v>
      </c>
      <c r="D2">
        <f>'citations-it3-studies'!$H2</f>
        <v>1</v>
      </c>
    </row>
    <row r="3" spans="1:4">
      <c r="A3" t="s">
        <v>4274</v>
      </c>
      <c r="B3" s="39" t="str">
        <f>HYPERLINK('citations-it3-studies'!$D3,'citations-it3-studies'!$B3)</f>
        <v>State-of-the-art survey of artificial intelligent techniques for IoT security</v>
      </c>
      <c r="C3">
        <f>'citations-it3-studies'!$C3</f>
        <v>2022</v>
      </c>
      <c r="D3">
        <f>'citations-it3-studies'!$H3</f>
        <v>1</v>
      </c>
    </row>
    <row r="4" spans="1:4">
      <c r="A4" t="s">
        <v>4274</v>
      </c>
      <c r="B4" s="39" t="str">
        <f>HYPERLINK('citations-it3-studies'!$D4,'citations-it3-studies'!$B4)</f>
        <v>An Approach to Bridge ROS 1 and ROS 2 Devices into an OPC UA-based Testbed for Industry 4.0</v>
      </c>
      <c r="C4">
        <f>'citations-it3-studies'!$C4</f>
        <v>2022</v>
      </c>
      <c r="D4">
        <f>'citations-it3-studies'!$H4</f>
        <v>6</v>
      </c>
    </row>
    <row r="5" spans="1:4">
      <c r="A5" t="s">
        <v>4274</v>
      </c>
      <c r="B5" s="39" t="str">
        <f>HYPERLINK('citations-it3-studies'!$D5,'citations-it3-studies'!$B5)</f>
        <v>RMPF: Real-Time Message Processing Framework on Multi-Service Domains</v>
      </c>
      <c r="C5">
        <f>'citations-it3-studies'!$C5</f>
        <v>2024</v>
      </c>
      <c r="D5">
        <f>'citations-it3-studies'!$H5</f>
        <v>17</v>
      </c>
    </row>
    <row r="6" spans="1:4">
      <c r="A6" t="s">
        <v>4274</v>
      </c>
      <c r="B6" s="39" t="str">
        <f>HYPERLINK('citations-it3-studies'!$D6,'citations-it3-studies'!$B6)</f>
        <v>SCADA Systems With Focus on Continuous Manufacturing and Steel Industry: A Survey on Architectures, Standards, Challenges and Industry 5.0</v>
      </c>
      <c r="C6">
        <f>'citations-it3-studies'!$C6</f>
        <v>2022</v>
      </c>
      <c r="D6">
        <f>'citations-it3-studies'!$H6</f>
        <v>36</v>
      </c>
    </row>
    <row r="7" spans="1:4">
      <c r="A7" t="s">
        <v>4274</v>
      </c>
      <c r="B7" s="39" t="str">
        <f>HYPERLINK('citations-it3-studies'!$D7,'citations-it3-studies'!$B7)</f>
        <v>AUTOSAR AP and ROS 2 Collaboration Framework</v>
      </c>
      <c r="C7">
        <f>'citations-it3-studies'!$C7</f>
        <v>2024</v>
      </c>
      <c r="D7">
        <f>'citations-it3-studies'!$H7</f>
        <v>8</v>
      </c>
    </row>
    <row r="8" spans="1:4">
      <c r="A8" t="s">
        <v>4274</v>
      </c>
      <c r="B8" s="39" t="str">
        <f>HYPERLINK('citations-it3-studies'!$D8,'citations-it3-studies'!$B8)</f>
        <v>Open-Standard Connectivity Framework for Autonomous Vehicles</v>
      </c>
      <c r="C8">
        <f>'citations-it3-studies'!$C8</f>
        <v>2022</v>
      </c>
      <c r="D8">
        <f>'citations-it3-studies'!$H8</f>
        <v>4</v>
      </c>
    </row>
    <row r="9" spans="1:4">
      <c r="A9" t="s">
        <v>4274</v>
      </c>
      <c r="B9" s="39" t="str">
        <f>HYPERLINK('citations-it3-studies'!$D9,'citations-it3-studies'!$B9)</f>
        <v>AUTOSAR AP and ROS 2 Collaboration Framework for Development in Cloud Environment</v>
      </c>
      <c r="C9">
        <f>'citations-it3-studies'!$C9</f>
        <v>2025</v>
      </c>
      <c r="D9">
        <f>'citations-it3-studies'!$H9</f>
        <v>13</v>
      </c>
    </row>
    <row r="10" spans="1:4">
      <c r="A10" t="s">
        <v>4274</v>
      </c>
      <c r="B10" s="39" t="str">
        <f>HYPERLINK('citations-it3-studies'!$D10,'citations-it3-studies'!$B10)</f>
        <v>Edge- AI and Internet of Things for Intelligent Systems: Architectures, Applications and Future Perspectives</v>
      </c>
      <c r="C10">
        <f>'citations-it3-studies'!$C10</f>
        <v>2025</v>
      </c>
      <c r="D10">
        <f>'citations-it3-studies'!$H10</f>
        <v>12</v>
      </c>
    </row>
    <row r="11" spans="1:4">
      <c r="A11" t="s">
        <v>4274</v>
      </c>
      <c r="B11" s="39" t="str">
        <f>HYPERLINK('citations-it3-studies'!$D11,'citations-it3-studies'!$B11)</f>
        <v>Real-Time Kubernetes-Based Front-End Processor for Smart Grid</v>
      </c>
      <c r="C11">
        <f>'citations-it3-studies'!$C11</f>
        <v>2025</v>
      </c>
      <c r="D11">
        <f>'citations-it3-studies'!$H11</f>
        <v>1</v>
      </c>
    </row>
    <row r="12" spans="1:4">
      <c r="A12" t="s">
        <v>4274</v>
      </c>
      <c r="B12" s="39" t="str">
        <f>HYPERLINK('citations-it3-studies'!$D12,'citations-it3-studies'!$B12)</f>
        <v>Supervisory Monitoring and Control Solution on Android Mobile Devices for the Water Industry 4.0</v>
      </c>
      <c r="C12">
        <f>'citations-it3-studies'!$C12</f>
        <v>2023</v>
      </c>
      <c r="D12">
        <f>'citations-it3-studies'!$H12</f>
        <v>1</v>
      </c>
    </row>
    <row r="13" spans="1:4">
      <c r="A13" t="s">
        <v>4274</v>
      </c>
      <c r="B13" s="39" t="str">
        <f>HYPERLINK('citations-it3-studies'!$D13,'citations-it3-studies'!$B13)</f>
        <v>A Distributed Supervisor Architecture for a General Wafer Production System.</v>
      </c>
      <c r="C13">
        <f>'citations-it3-studies'!$C13</f>
        <v>2023</v>
      </c>
      <c r="D13">
        <f>'citations-it3-studies'!$H13</f>
        <v>1</v>
      </c>
    </row>
    <row r="14" spans="1:4">
      <c r="A14" t="s">
        <v>4274</v>
      </c>
      <c r="B14" s="39" t="str">
        <f>HYPERLINK('citations-it3-studies'!$D14,'citations-it3-studies'!$B14)</f>
        <v>Food quality 4.0: From traditional approaches to digitalized automated analysis</v>
      </c>
      <c r="C14">
        <f>'citations-it3-studies'!$C14</f>
        <v>2023</v>
      </c>
      <c r="D14">
        <f>'citations-it3-studies'!$H14</f>
        <v>1</v>
      </c>
    </row>
    <row r="15" spans="1:4">
      <c r="A15" t="s">
        <v>4274</v>
      </c>
      <c r="B15" s="39" t="str">
        <f>HYPERLINK('citations-it3-studies'!$D15,'citations-it3-studies'!$B15)</f>
        <v>Communication Safety of Cybernetic Systems in a Smart Factory Environment</v>
      </c>
      <c r="C15">
        <f>'citations-it3-studies'!$C15</f>
        <v>2023</v>
      </c>
      <c r="D15">
        <f>'citations-it3-studies'!$H15</f>
        <v>1</v>
      </c>
    </row>
    <row r="16" spans="1:4">
      <c r="A16" t="s">
        <v>4274</v>
      </c>
      <c r="B16" s="39" t="str">
        <f>HYPERLINK('citations-it3-studies'!$D16,'citations-it3-studies'!$B16)</f>
        <v>Industry 5.0: An Extended Experimental Case for Implementing a Multi-Level Framework for Enterprise Integration</v>
      </c>
      <c r="C16">
        <f>'citations-it3-studies'!$C16</f>
        <v>2026</v>
      </c>
      <c r="D16">
        <f>'citations-it3-studies'!$H16</f>
        <v>15</v>
      </c>
    </row>
    <row r="17" spans="1:4">
      <c r="A17" t="s">
        <v>4274</v>
      </c>
      <c r="B17" s="39" t="str">
        <f>HYPERLINK('citations-it3-studies'!$D17,'citations-it3-studies'!$B17)</f>
        <v>Monitor and Analyze Rare ROS2 Performance Issues with A Unified Tracing Framework</v>
      </c>
      <c r="C17">
        <f>'citations-it3-studies'!$C17</f>
        <v>2024</v>
      </c>
      <c r="D17">
        <f>'citations-it3-studies'!$H17</f>
        <v>10</v>
      </c>
    </row>
    <row r="18" spans="1:4">
      <c r="A18" t="s">
        <v>4274</v>
      </c>
      <c r="B18" s="39" t="str">
        <f>HYPERLINK('citations-it3-studies'!$D18,'citations-it3-studies'!$B18)</f>
        <v>Stepping Toward Zenoh Protocol in Automotive Scenarios</v>
      </c>
      <c r="C18">
        <f>'citations-it3-studies'!$C18</f>
        <v>2025</v>
      </c>
      <c r="D18">
        <f>'citations-it3-studies'!$H18</f>
        <v>14</v>
      </c>
    </row>
    <row r="19" spans="1:4">
      <c r="A19" t="s">
        <v>4275</v>
      </c>
      <c r="B19" s="39" t="str">
        <f>HYPERLINK('references-it3-studies'!$D2,'references-it3-studies'!$B2)</f>
        <v>Improving OPC UA Publish-Subscribe Mechanism over UDP with Synchronization Algorithm and Multithreading Broker Application.</v>
      </c>
      <c r="C19">
        <f>'references-it3-studies'!$C2</f>
        <v>2020</v>
      </c>
      <c r="D19">
        <f>'references-it3-studies'!$H2</f>
        <v>0</v>
      </c>
    </row>
    <row r="20" spans="1:4">
      <c r="A20" t="s">
        <v>4275</v>
      </c>
      <c r="B20" s="39" t="str">
        <f>HYPERLINK('references-it3-studies'!$D3,'references-it3-studies'!$B3)</f>
        <v>A Proposal to Improve Interoperability in the Industry 4.0 Based on the Open Platform Communications Unified Architecture Standard</v>
      </c>
      <c r="C20">
        <f>'references-it3-studies'!$C3</f>
        <v>2021</v>
      </c>
      <c r="D20">
        <f>'references-it3-studies'!$H3</f>
        <v>0</v>
      </c>
    </row>
    <row r="21" spans="1:4">
      <c r="A21" t="s">
        <v>4275</v>
      </c>
      <c r="B21" s="39" t="str">
        <f>HYPERLINK('references-it3-studies'!$D4,'references-it3-studies'!$B4)</f>
        <v>INDIN - Achieving interoperability using low-cost middleware OPC UA wrapping structure. Case study in the water industry</v>
      </c>
      <c r="C21">
        <f>'references-it3-studies'!$C4</f>
        <v>2017</v>
      </c>
      <c r="D21">
        <f>'references-it3-studies'!$H4</f>
        <v>6</v>
      </c>
    </row>
    <row r="22" spans="1:4">
      <c r="A22" t="s">
        <v>4275</v>
      </c>
      <c r="B22" s="39" t="str">
        <f>HYPERLINK('references-it3-studies'!$D5,'references-it3-studies'!$B5)</f>
        <v>SysCon - Performance Study of the Robot Operating System 2 with QoS and Cyber Security Settings</v>
      </c>
      <c r="C22">
        <f>'references-it3-studies'!$C5</f>
        <v>2020</v>
      </c>
      <c r="D22">
        <f>'references-it3-studies'!$H5</f>
        <v>6</v>
      </c>
    </row>
    <row r="23" spans="1:4">
      <c r="A23" t="s">
        <v>4275</v>
      </c>
      <c r="B23" s="39" t="str">
        <f>HYPERLINK('references-it3-studies'!$D6,'references-it3-studies'!$B6)</f>
        <v>RTCSA - Dynamic Binding a Proper DDS Implementation for Optimizing Inter-Node Communication in ROS2</v>
      </c>
      <c r="C23">
        <f>'references-it3-studies'!$C6</f>
        <v>2018</v>
      </c>
      <c r="D23">
        <f>'references-it3-studies'!$H6</f>
        <v>2</v>
      </c>
    </row>
    <row r="24" spans="1:4">
      <c r="A24" t="s">
        <v>4275</v>
      </c>
      <c r="B24" s="39" t="str">
        <f>HYPERLINK('references-it3-studies'!$D7,'references-it3-studies'!$B7)</f>
        <v>Information Distribution in Multi-Robot Systems: Utility-Based Evaluation Model</v>
      </c>
      <c r="C24">
        <f>'references-it3-studies'!$C7</f>
        <v>2020</v>
      </c>
      <c r="D24">
        <f>'references-it3-studies'!$H7</f>
        <v>0</v>
      </c>
    </row>
    <row r="25" spans="1:4">
      <c r="A25" t="s">
        <v>4275</v>
      </c>
      <c r="B25" s="39" t="str">
        <f>HYPERLINK('references-it3-studies'!$D8,'references-it3-studies'!$B8)</f>
        <v>OPC UA Publish-Subscribe and VSOME/IP Notify-Subscribe Based Gateway Application in the Context of Car to Infrastructure Communication.</v>
      </c>
      <c r="C25">
        <f>'references-it3-studies'!$C8</f>
        <v>2020</v>
      </c>
      <c r="D25">
        <f>'references-it3-studies'!$H8</f>
        <v>0</v>
      </c>
    </row>
    <row r="26" spans="1:4">
      <c r="A26" t="s">
        <v>4275</v>
      </c>
      <c r="B26" s="39" t="str">
        <f>HYPERLINK('references-it3-studies'!$D9,'references-it3-studies'!$B9)</f>
        <v>An Optimized, Data Distribution Service-Based Solution for Reliable Data Exchange Among Autonomous Underwater Vehicles</v>
      </c>
      <c r="C26">
        <f>'references-it3-studies'!$C9</f>
        <v>2017</v>
      </c>
      <c r="D26">
        <f>'references-it3-studies'!$H9</f>
        <v>0</v>
      </c>
    </row>
    <row r="27" spans="1:4">
      <c r="A27" t="s">
        <v>4275</v>
      </c>
      <c r="B27" s="39" t="str">
        <f>HYPERLINK('references-it3-studies'!$D10,'references-it3-studies'!$B10)</f>
        <v>SysCon - Evaluation of the Robot Operating System 2 in Lossy Unmanned Networks</v>
      </c>
      <c r="C27">
        <f>'references-it3-studies'!$C10</f>
        <v>2020</v>
      </c>
      <c r="D27">
        <f>'references-it3-studies'!$H10</f>
        <v>8</v>
      </c>
    </row>
    <row r="28" spans="1:4">
      <c r="A28" t="s">
        <v>4275</v>
      </c>
      <c r="B28" s="39" t="str">
        <f>HYPERLINK('references-it3-studies'!$D11,'references-it3-studies'!$B11)</f>
        <v>More Sustainability in Industry through Industrial Internet of Things</v>
      </c>
      <c r="C28">
        <f>'references-it3-studies'!$C11</f>
        <v>2018</v>
      </c>
      <c r="D28">
        <f>'references-it3-studies'!$H11</f>
        <v>0</v>
      </c>
    </row>
    <row r="29" spans="1:4">
      <c r="A29" t="s">
        <v>4275</v>
      </c>
      <c r="B29" s="39" t="str">
        <f>HYPERLINK('references-it3-studies'!$D12,'references-it3-studies'!$B12)</f>
        <v>Data Distribution Service Converter Based on the Open Platform Communications Unified Architecture Publish–Subscribe Protocol</v>
      </c>
      <c r="C29">
        <f>'references-it3-studies'!$C12</f>
        <v>2021</v>
      </c>
      <c r="D29">
        <f>'references-it3-studies'!$H12</f>
        <v>0</v>
      </c>
    </row>
    <row r="30" spans="1:4">
      <c r="A30" t="s">
        <v>4275</v>
      </c>
      <c r="B30" s="39" t="str">
        <f>HYPERLINK('references-it3-studies'!$D13,'references-it3-studies'!$B13)</f>
        <v>Towards IoT-Aided Human-Robot Interaction Using NEP and ROS: A Platform-Independent, Accessible and Distributed Approach.</v>
      </c>
      <c r="C30">
        <f>'references-it3-studies'!$C13</f>
        <v>2020</v>
      </c>
      <c r="D30">
        <f>'references-it3-studies'!$H13</f>
        <v>0</v>
      </c>
    </row>
    <row r="31" spans="1:4">
      <c r="A31" t="s">
        <v>4275</v>
      </c>
      <c r="B31" s="39" t="str">
        <f>HYPERLINK('references-it3-studies'!$D14,'references-it3-studies'!$B14)</f>
        <v>ICE/ITMC - VSOMEIP - OPC UA Gateway Solution for the Automotive Industry</v>
      </c>
      <c r="C31">
        <f>'references-it3-studies'!$C14</f>
        <v>2019</v>
      </c>
      <c r="D31">
        <f>'references-it3-studies'!$H14</f>
        <v>6</v>
      </c>
    </row>
    <row r="32" spans="1:4">
      <c r="A32" t="s">
        <v>4275</v>
      </c>
      <c r="B32" s="39" t="str">
        <f>HYPERLINK('references-it3-studies'!$D15,'references-it3-studies'!$B15)</f>
        <v>ETFA - Non-Invasive Control Solution inside Higher-Level OPC UA based Wrapper for Optimizing Groups of Wastewater Systems</v>
      </c>
      <c r="C32">
        <f>'references-it3-studies'!$C15</f>
        <v>2018</v>
      </c>
      <c r="D32">
        <f>'references-it3-studies'!$H15</f>
        <v>8</v>
      </c>
    </row>
    <row r="33" spans="1:4">
      <c r="A33" t="s">
        <v>4275</v>
      </c>
      <c r="B33" s="39" t="str">
        <f>HYPERLINK('references-it3-studies'!$D16,'references-it3-studies'!$B16)</f>
        <v>Process Automation in an IoT–Fog–Cloud Ecosystem: A Survey and Taxonomy</v>
      </c>
      <c r="C33">
        <f>'references-it3-studies'!$C16</f>
        <v>2021</v>
      </c>
      <c r="D33">
        <f>'references-it3-studies'!$H16</f>
        <v>27</v>
      </c>
    </row>
    <row r="34" spans="1:4">
      <c r="A34" t="s">
        <v>4275</v>
      </c>
      <c r="B34" s="39" t="str">
        <f>HYPERLINK('references-it3-studies'!$D17,'references-it3-studies'!$B17)</f>
        <v>FDDS: An Integrated Conceptual FDDS Framework for DDS Based Middleware</v>
      </c>
      <c r="C34">
        <f>'references-it3-studies'!$C17</f>
        <v>2019</v>
      </c>
      <c r="D34">
        <f>'references-it3-studies'!$H17</f>
        <v>5</v>
      </c>
    </row>
    <row r="35" spans="1:4">
      <c r="A35" t="s">
        <v>4275</v>
      </c>
      <c r="B35" s="39" t="str">
        <f>HYPERLINK('references-it3-studies'!$D18,'references-it3-studies'!$B18)</f>
        <v>ETFA - Real-time capable OPC-UA Programs over TSN for distributed industrial control</v>
      </c>
      <c r="C35">
        <f>'references-it3-studies'!$C18</f>
        <v>2020</v>
      </c>
      <c r="D35">
        <f>'references-it3-studies'!$H18</f>
        <v>8</v>
      </c>
    </row>
    <row r="36" spans="1:4">
      <c r="A36" t="s">
        <v>4275</v>
      </c>
      <c r="B36" s="39" t="str">
        <f>HYPERLINK('references-it3-studies'!$D19,'references-it3-studies'!$B19)</f>
        <v>Approaching OPC UA Publish–Subscribe in the Context of UDP-Based Multi-Channel Communication and Image Transmission</v>
      </c>
      <c r="C36">
        <f>'references-it3-studies'!$C19</f>
        <v>2021</v>
      </c>
      <c r="D36">
        <f>'references-it3-studies'!$H19</f>
        <v>0</v>
      </c>
    </row>
    <row r="37" spans="1:4">
      <c r="A37" t="s">
        <v>4275</v>
      </c>
      <c r="B37" s="39" t="str">
        <f>HYPERLINK('references-it3-studies'!$D20,'references-it3-studies'!$B20)</f>
        <v>ETFA - Real-time Industrial Communication by using OPC UA Field Level Communication</v>
      </c>
      <c r="C37">
        <f>'references-it3-studies'!$C20</f>
        <v>2020</v>
      </c>
      <c r="D37">
        <f>'references-it3-studies'!$H20</f>
        <v>4</v>
      </c>
    </row>
    <row r="38" spans="1:4">
      <c r="B38" s="39"/>
    </row>
    <row r="39" spans="1:4">
      <c r="B39" s="39"/>
    </row>
    <row r="40" spans="1:4">
      <c r="B40" s="39"/>
    </row>
    <row r="41" spans="1:4">
      <c r="B41" s="39"/>
    </row>
    <row r="42" spans="1:4">
      <c r="B42" s="39"/>
    </row>
    <row r="43" spans="1:4">
      <c r="B43" s="39"/>
    </row>
    <row r="44" spans="1:4">
      <c r="B44" s="39"/>
    </row>
    <row r="45" spans="1:4">
      <c r="B45" s="39"/>
    </row>
    <row r="46" spans="1:4">
      <c r="B46" s="39"/>
    </row>
    <row r="47" spans="1:4">
      <c r="B47" s="39"/>
    </row>
    <row r="48" spans="1:4">
      <c r="B48" s="39"/>
    </row>
    <row r="49" spans="2:2">
      <c r="B49" s="39"/>
    </row>
    <row r="50" spans="2:2">
      <c r="B50" s="39"/>
    </row>
    <row r="51" spans="2:2">
      <c r="B51" s="39"/>
    </row>
    <row r="52" spans="2:2">
      <c r="B52" s="39"/>
    </row>
    <row r="53" spans="2:2">
      <c r="B53" s="39"/>
    </row>
    <row r="54" spans="2:2">
      <c r="B54" s="39"/>
    </row>
    <row r="55" spans="2:2">
      <c r="B55" s="39"/>
    </row>
    <row r="56" spans="2:2">
      <c r="B56" s="39"/>
    </row>
    <row r="57" spans="2:2">
      <c r="B57" s="39"/>
    </row>
    <row r="58" spans="2:2">
      <c r="B58" s="39"/>
    </row>
    <row r="59" spans="2:2">
      <c r="B59" s="39"/>
    </row>
    <row r="60" spans="2:2">
      <c r="B60" s="39"/>
    </row>
    <row r="61" spans="2:2">
      <c r="B61" s="39"/>
    </row>
    <row r="62" spans="2:2">
      <c r="B62" s="39"/>
    </row>
    <row r="63" spans="2:2">
      <c r="B63" s="39"/>
    </row>
    <row r="64" spans="2:2">
      <c r="B64" s="39"/>
    </row>
    <row r="65" spans="2:2">
      <c r="B65" s="39"/>
    </row>
    <row r="66" spans="2:2">
      <c r="B66" s="39"/>
    </row>
    <row r="67" spans="2:2">
      <c r="B67" s="39"/>
    </row>
    <row r="68" spans="2:2">
      <c r="B68" s="39"/>
    </row>
    <row r="69" spans="2:2">
      <c r="B69" s="39"/>
    </row>
    <row r="70" spans="2:2">
      <c r="B70" s="39"/>
    </row>
    <row r="71" spans="2:2">
      <c r="B71" s="39"/>
    </row>
    <row r="72" spans="2:2">
      <c r="B72" s="39"/>
    </row>
    <row r="73" spans="2:2">
      <c r="B73" s="39"/>
    </row>
    <row r="74" spans="2:2">
      <c r="B74" s="39"/>
    </row>
    <row r="75" spans="2:2">
      <c r="B75" s="39"/>
    </row>
    <row r="76" spans="2:2">
      <c r="B76" s="39"/>
    </row>
    <row r="77" spans="2:2">
      <c r="B77" s="39"/>
    </row>
    <row r="78" spans="2:2">
      <c r="B78" s="39"/>
    </row>
    <row r="79" spans="2:2">
      <c r="B79" s="39"/>
    </row>
    <row r="80" spans="2:2">
      <c r="B80" s="39"/>
    </row>
    <row r="81" spans="2:2">
      <c r="B81" s="39"/>
    </row>
    <row r="82" spans="2:2">
      <c r="B82" s="39"/>
    </row>
    <row r="83" spans="2:2">
      <c r="B83" s="39"/>
    </row>
    <row r="84" spans="2:2">
      <c r="B84" s="39"/>
    </row>
    <row r="85" spans="2:2">
      <c r="B85" s="39"/>
    </row>
    <row r="86" spans="2:2">
      <c r="B86" s="39"/>
    </row>
    <row r="87" spans="2:2">
      <c r="B87" s="39"/>
    </row>
    <row r="88" spans="2:2">
      <c r="B88" s="39"/>
    </row>
    <row r="89" spans="2:2">
      <c r="B89" s="39"/>
    </row>
    <row r="90" spans="2:2">
      <c r="B90" s="39"/>
    </row>
    <row r="91" spans="2:2">
      <c r="B91" s="39"/>
    </row>
    <row r="92" spans="2:2">
      <c r="B92" s="39"/>
    </row>
    <row r="93" spans="2:2">
      <c r="B93" s="39"/>
    </row>
    <row r="94" spans="2:2">
      <c r="B94" s="39"/>
    </row>
    <row r="95" spans="2:2">
      <c r="B95" s="39"/>
    </row>
    <row r="96" spans="2:2">
      <c r="B96" s="39"/>
    </row>
    <row r="97" spans="2:2">
      <c r="B97" s="39"/>
    </row>
    <row r="98" spans="2:2">
      <c r="B98" s="39"/>
    </row>
    <row r="99" spans="2:2">
      <c r="B99" s="39"/>
    </row>
    <row r="100" spans="2:2">
      <c r="B100" s="39"/>
    </row>
    <row r="101" spans="2:2">
      <c r="B101" s="39"/>
    </row>
    <row r="102" spans="2:2">
      <c r="B102" s="39"/>
    </row>
    <row r="103" spans="2:2">
      <c r="B103" s="39"/>
    </row>
    <row r="104" spans="2:2">
      <c r="B104" s="39"/>
    </row>
    <row r="105" spans="2:2">
      <c r="B105" s="39"/>
    </row>
    <row r="106" spans="2:2">
      <c r="B106" s="39"/>
    </row>
    <row r="107" spans="2:2">
      <c r="B107" s="39"/>
    </row>
    <row r="108" spans="2:2">
      <c r="B108" s="39"/>
    </row>
    <row r="109" spans="2:2">
      <c r="B109" s="39"/>
    </row>
    <row r="110" spans="2:2">
      <c r="B110" s="39"/>
    </row>
    <row r="111" spans="2:2">
      <c r="B111" s="39"/>
    </row>
    <row r="112" spans="2:2">
      <c r="B112" s="39"/>
    </row>
    <row r="113" spans="2:2">
      <c r="B113" s="39"/>
    </row>
    <row r="114" spans="2:2">
      <c r="B114" s="39"/>
    </row>
    <row r="115" spans="2:2">
      <c r="B115" s="39"/>
    </row>
    <row r="116" spans="2:2">
      <c r="B116" s="39"/>
    </row>
    <row r="117" spans="2:2">
      <c r="B117" s="39"/>
    </row>
    <row r="118" spans="2:2">
      <c r="B118" s="39"/>
    </row>
    <row r="119" spans="2:2">
      <c r="B119" s="39"/>
    </row>
    <row r="120" spans="2:2">
      <c r="B120" s="39"/>
    </row>
    <row r="121" spans="2:2">
      <c r="B121" s="39"/>
    </row>
    <row r="122" spans="2:2">
      <c r="B122" s="39"/>
    </row>
    <row r="123" spans="2:2">
      <c r="B123" s="39"/>
    </row>
    <row r="124" spans="2:2">
      <c r="B124" s="39"/>
    </row>
    <row r="125" spans="2:2">
      <c r="B125" s="39"/>
    </row>
    <row r="126" spans="2:2">
      <c r="B126" s="39"/>
    </row>
    <row r="127" spans="2:2">
      <c r="B127" s="39"/>
    </row>
    <row r="128" spans="2:2">
      <c r="B128" s="39"/>
    </row>
    <row r="129" spans="2:2">
      <c r="B129" s="39"/>
    </row>
    <row r="130" spans="2:2">
      <c r="B130" s="39"/>
    </row>
    <row r="131" spans="2:2">
      <c r="B131" s="39"/>
    </row>
    <row r="132" spans="2:2">
      <c r="B132" s="39"/>
    </row>
    <row r="133" spans="2:2">
      <c r="B133" s="39"/>
    </row>
    <row r="134" spans="2:2">
      <c r="B134" s="39"/>
    </row>
    <row r="135" spans="2:2">
      <c r="B135" s="39"/>
    </row>
    <row r="136" spans="2:2">
      <c r="B136" s="39"/>
    </row>
    <row r="137" spans="2:2">
      <c r="B137" s="39"/>
    </row>
    <row r="138" spans="2:2">
      <c r="B138" s="39"/>
    </row>
    <row r="139" spans="2:2">
      <c r="B139" s="39"/>
    </row>
    <row r="140" spans="2:2">
      <c r="B140" s="39"/>
    </row>
    <row r="141" spans="2:2">
      <c r="B141" s="39"/>
    </row>
    <row r="142" spans="2:2">
      <c r="B142" s="39"/>
    </row>
    <row r="143" spans="2:2">
      <c r="B143" s="39"/>
    </row>
    <row r="144" spans="2:2">
      <c r="B144" s="39"/>
    </row>
    <row r="145" spans="2:2">
      <c r="B145" s="39"/>
    </row>
    <row r="146" spans="2:2">
      <c r="B146" s="39"/>
    </row>
    <row r="147" spans="2:2">
      <c r="B147" s="39"/>
    </row>
    <row r="148" spans="2:2">
      <c r="B148" s="39"/>
    </row>
    <row r="149" spans="2:2">
      <c r="B149" s="39"/>
    </row>
    <row r="150" spans="2:2">
      <c r="B150" s="39"/>
    </row>
    <row r="151" spans="2:2">
      <c r="B151" s="39"/>
    </row>
    <row r="152" spans="2:2">
      <c r="B152" s="39"/>
    </row>
    <row r="153" spans="2:2">
      <c r="B153" s="39"/>
    </row>
    <row r="154" spans="2:2">
      <c r="B154" s="39"/>
    </row>
    <row r="155" spans="2:2">
      <c r="B155" s="39"/>
    </row>
    <row r="156" spans="2:2">
      <c r="B156" s="39"/>
    </row>
    <row r="157" spans="2:2">
      <c r="B157" s="39"/>
    </row>
    <row r="158" spans="2:2">
      <c r="B158" s="39"/>
    </row>
    <row r="159" spans="2:2">
      <c r="B159" s="39"/>
    </row>
    <row r="160" spans="2:2">
      <c r="B160" s="39"/>
    </row>
    <row r="161" spans="2:2">
      <c r="B161" s="39"/>
    </row>
    <row r="162" spans="2:2">
      <c r="B162" s="39"/>
    </row>
    <row r="163" spans="2:2">
      <c r="B163" s="39"/>
    </row>
    <row r="164" spans="2:2">
      <c r="B164" s="39"/>
    </row>
    <row r="165" spans="2:2">
      <c r="B165" s="39"/>
    </row>
    <row r="166" spans="2:2">
      <c r="B166" s="39"/>
    </row>
    <row r="167" spans="2:2">
      <c r="B167" s="39"/>
    </row>
    <row r="168" spans="2:2">
      <c r="B168" s="39"/>
    </row>
    <row r="169" spans="2:2">
      <c r="B169" s="39"/>
    </row>
    <row r="170" spans="2:2">
      <c r="B170" s="39"/>
    </row>
    <row r="171" spans="2:2">
      <c r="B171" s="39"/>
    </row>
    <row r="172" spans="2:2">
      <c r="B172" s="39"/>
    </row>
    <row r="173" spans="2:2">
      <c r="B173" s="39"/>
    </row>
    <row r="174" spans="2:2">
      <c r="B174" s="39"/>
    </row>
    <row r="175" spans="2:2">
      <c r="B175" s="39"/>
    </row>
    <row r="176" spans="2:2">
      <c r="B176" s="39"/>
    </row>
    <row r="177" spans="2:2">
      <c r="B177" s="39"/>
    </row>
    <row r="178" spans="2:2">
      <c r="B178" s="39"/>
    </row>
    <row r="179" spans="2:2">
      <c r="B179" s="39"/>
    </row>
    <row r="180" spans="2:2">
      <c r="B180" s="39"/>
    </row>
    <row r="181" spans="2:2">
      <c r="B181" s="39"/>
    </row>
    <row r="182" spans="2:2">
      <c r="B182" s="39"/>
    </row>
    <row r="183" spans="2:2">
      <c r="B183" s="39"/>
    </row>
    <row r="184" spans="2:2">
      <c r="B184" s="39"/>
    </row>
    <row r="185" spans="2:2">
      <c r="B185" s="39"/>
    </row>
    <row r="186" spans="2:2">
      <c r="B186" s="39"/>
    </row>
    <row r="187" spans="2:2">
      <c r="B187" s="39"/>
    </row>
    <row r="188" spans="2:2">
      <c r="B188" s="39"/>
    </row>
    <row r="189" spans="2:2">
      <c r="B189" s="39"/>
    </row>
    <row r="190" spans="2:2">
      <c r="B190" s="39"/>
    </row>
    <row r="191" spans="2:2">
      <c r="B191" s="39"/>
    </row>
    <row r="192" spans="2:2">
      <c r="B192" s="39"/>
    </row>
    <row r="193" spans="2:2">
      <c r="B193" s="39"/>
    </row>
    <row r="194" spans="2:2">
      <c r="B194" s="39"/>
    </row>
    <row r="195" spans="2:2">
      <c r="B195" s="39"/>
    </row>
    <row r="196" spans="2:2">
      <c r="B196" s="39"/>
    </row>
    <row r="197" spans="2:2">
      <c r="B197" s="39"/>
    </row>
    <row r="198" spans="2:2">
      <c r="B198" s="39"/>
    </row>
    <row r="199" spans="2:2">
      <c r="B199" s="39"/>
    </row>
    <row r="200" spans="2:2">
      <c r="B200" s="39"/>
    </row>
    <row r="201" spans="2:2">
      <c r="B201" s="39"/>
    </row>
    <row r="202" spans="2:2">
      <c r="B202" s="39"/>
    </row>
    <row r="203" spans="2:2">
      <c r="B203" s="39"/>
    </row>
    <row r="204" spans="2:2">
      <c r="B204" s="39"/>
    </row>
    <row r="205" spans="2:2">
      <c r="B205" s="39"/>
    </row>
    <row r="206" spans="2:2">
      <c r="B206" s="39"/>
    </row>
    <row r="207" spans="2:2">
      <c r="B207" s="39"/>
    </row>
    <row r="208" spans="2:2">
      <c r="B208" s="39"/>
    </row>
    <row r="209" spans="2:2">
      <c r="B209" s="39"/>
    </row>
    <row r="210" spans="2:2">
      <c r="B210" s="39"/>
    </row>
    <row r="211" spans="2:2">
      <c r="B211" s="39"/>
    </row>
    <row r="212" spans="2:2">
      <c r="B212" s="39"/>
    </row>
    <row r="213" spans="2:2">
      <c r="B213" s="39"/>
    </row>
    <row r="214" spans="2:2">
      <c r="B214" s="39"/>
    </row>
    <row r="215" spans="2:2">
      <c r="B215" s="39"/>
    </row>
    <row r="216" spans="2:2">
      <c r="B216" s="39"/>
    </row>
    <row r="217" spans="2:2">
      <c r="B217" s="39"/>
    </row>
    <row r="218" spans="2:2">
      <c r="B218" s="39"/>
    </row>
    <row r="219" spans="2:2">
      <c r="B219" s="39"/>
    </row>
    <row r="220" spans="2:2">
      <c r="B220" s="39"/>
    </row>
    <row r="221" spans="2:2">
      <c r="B221" s="39"/>
    </row>
    <row r="222" spans="2:2">
      <c r="B222" s="39"/>
    </row>
    <row r="223" spans="2:2">
      <c r="B223" s="39"/>
    </row>
    <row r="224" spans="2:2">
      <c r="B224" s="39"/>
    </row>
    <row r="225" spans="2:2">
      <c r="B225" s="39"/>
    </row>
    <row r="226" spans="2:2">
      <c r="B226" s="39"/>
    </row>
    <row r="227" spans="2:2">
      <c r="B227" s="39"/>
    </row>
    <row r="228" spans="2:2">
      <c r="B228" s="39"/>
    </row>
    <row r="229" spans="2:2">
      <c r="B229" s="39"/>
    </row>
    <row r="230" spans="2:2">
      <c r="B230" s="39"/>
    </row>
    <row r="231" spans="2:2">
      <c r="B231" s="39"/>
    </row>
    <row r="232" spans="2:2">
      <c r="B232" s="39"/>
    </row>
    <row r="233" spans="2:2">
      <c r="B233" s="39"/>
    </row>
    <row r="234" spans="2:2">
      <c r="B234" s="39"/>
    </row>
    <row r="235" spans="2:2">
      <c r="B235" s="39"/>
    </row>
    <row r="236" spans="2:2">
      <c r="B236" s="39"/>
    </row>
    <row r="237" spans="2:2">
      <c r="B237" s="39"/>
    </row>
    <row r="238" spans="2:2">
      <c r="B238" s="39"/>
    </row>
    <row r="239" spans="2:2">
      <c r="B239" s="39"/>
    </row>
    <row r="240" spans="2:2">
      <c r="B240" s="39"/>
    </row>
    <row r="241" spans="2:2">
      <c r="B241" s="39"/>
    </row>
    <row r="242" spans="2:2">
      <c r="B242" s="39"/>
    </row>
    <row r="243" spans="2:2">
      <c r="B243" s="39"/>
    </row>
    <row r="244" spans="2:2">
      <c r="B244" s="39"/>
    </row>
    <row r="245" spans="2:2">
      <c r="B245" s="39"/>
    </row>
    <row r="246" spans="2:2">
      <c r="B246" s="39"/>
    </row>
    <row r="247" spans="2:2">
      <c r="B247" s="39"/>
    </row>
    <row r="248" spans="2:2">
      <c r="B248" s="39"/>
    </row>
    <row r="249" spans="2:2">
      <c r="B249" s="39"/>
    </row>
    <row r="250" spans="2:2">
      <c r="B250" s="39"/>
    </row>
    <row r="251" spans="2:2">
      <c r="B251" s="39"/>
    </row>
    <row r="252" spans="2:2">
      <c r="B252" s="39"/>
    </row>
    <row r="253" spans="2:2">
      <c r="B253" s="39"/>
    </row>
    <row r="254" spans="2:2">
      <c r="B254" s="39"/>
    </row>
    <row r="255" spans="2:2">
      <c r="B255" s="39"/>
    </row>
    <row r="256" spans="2:2">
      <c r="B256" s="39"/>
    </row>
    <row r="257" spans="2:2">
      <c r="B257" s="39"/>
    </row>
    <row r="258" spans="2:2">
      <c r="B258" s="39"/>
    </row>
    <row r="259" spans="2:2">
      <c r="B259" s="39"/>
    </row>
    <row r="260" spans="2:2">
      <c r="B260" s="39"/>
    </row>
    <row r="261" spans="2:2">
      <c r="B261" s="39"/>
    </row>
    <row r="262" spans="2:2">
      <c r="B262" s="39"/>
    </row>
    <row r="263" spans="2:2">
      <c r="B263" s="39"/>
    </row>
    <row r="264" spans="2:2">
      <c r="B264" s="39"/>
    </row>
    <row r="265" spans="2:2">
      <c r="B265" s="39"/>
    </row>
    <row r="266" spans="2:2">
      <c r="B266" s="39"/>
    </row>
    <row r="267" spans="2:2">
      <c r="B267" s="39"/>
    </row>
    <row r="268" spans="2:2">
      <c r="B268" s="39"/>
    </row>
    <row r="269" spans="2:2">
      <c r="B269" s="39"/>
    </row>
    <row r="270" spans="2:2">
      <c r="B270" s="39"/>
    </row>
    <row r="271" spans="2:2">
      <c r="B271" s="39"/>
    </row>
    <row r="272" spans="2:2">
      <c r="B272" s="39"/>
    </row>
    <row r="273" spans="2:2">
      <c r="B273" s="39"/>
    </row>
    <row r="274" spans="2:2">
      <c r="B274" s="39"/>
    </row>
    <row r="275" spans="2:2">
      <c r="B275" s="39"/>
    </row>
    <row r="276" spans="2:2">
      <c r="B276" s="39"/>
    </row>
    <row r="277" spans="2:2">
      <c r="B277" s="39"/>
    </row>
    <row r="278" spans="2:2">
      <c r="B278" s="39"/>
    </row>
    <row r="279" spans="2:2">
      <c r="B279" s="39"/>
    </row>
    <row r="280" spans="2:2">
      <c r="B280" s="39"/>
    </row>
    <row r="281" spans="2:2">
      <c r="B281" s="39"/>
    </row>
    <row r="282" spans="2:2">
      <c r="B282" s="39"/>
    </row>
    <row r="283" spans="2:2">
      <c r="B283" s="39"/>
    </row>
    <row r="284" spans="2:2">
      <c r="B284" s="39"/>
    </row>
    <row r="285" spans="2:2">
      <c r="B285" s="39"/>
    </row>
    <row r="286" spans="2:2">
      <c r="B286" s="39"/>
    </row>
    <row r="287" spans="2:2">
      <c r="B287" s="39"/>
    </row>
    <row r="288" spans="2:2">
      <c r="B288" s="39"/>
    </row>
    <row r="289" spans="2:2">
      <c r="B289" s="39"/>
    </row>
    <row r="290" spans="2:2">
      <c r="B290" s="39"/>
    </row>
    <row r="291" spans="2:2">
      <c r="B291" s="39"/>
    </row>
    <row r="292" spans="2:2">
      <c r="B292" s="39"/>
    </row>
    <row r="293" spans="2:2">
      <c r="B293" s="39"/>
    </row>
    <row r="294" spans="2:2">
      <c r="B294" s="39"/>
    </row>
    <row r="295" spans="2:2">
      <c r="B295" s="39"/>
    </row>
    <row r="296" spans="2:2">
      <c r="B296" s="39"/>
    </row>
    <row r="297" spans="2:2">
      <c r="B297" s="39"/>
    </row>
    <row r="298" spans="2:2">
      <c r="B298" s="39"/>
    </row>
    <row r="299" spans="2:2">
      <c r="B299" s="39"/>
    </row>
    <row r="300" spans="2:2">
      <c r="B300" s="39"/>
    </row>
    <row r="301" spans="2:2">
      <c r="B301" s="39"/>
    </row>
    <row r="302" spans="2:2">
      <c r="B302" s="39"/>
    </row>
    <row r="303" spans="2:2">
      <c r="B303" s="39"/>
    </row>
    <row r="304" spans="2:2">
      <c r="B304" s="39"/>
    </row>
    <row r="305" spans="2:2">
      <c r="B305" s="39"/>
    </row>
    <row r="306" spans="2:2">
      <c r="B306" s="39"/>
    </row>
    <row r="307" spans="2:2">
      <c r="B307" s="39"/>
    </row>
    <row r="308" spans="2:2">
      <c r="B308" s="39"/>
    </row>
    <row r="309" spans="2:2">
      <c r="B309" s="39"/>
    </row>
    <row r="310" spans="2:2">
      <c r="B310" s="39"/>
    </row>
    <row r="311" spans="2:2">
      <c r="B311" s="39"/>
    </row>
    <row r="312" spans="2:2">
      <c r="B312" s="39"/>
    </row>
    <row r="313" spans="2:2">
      <c r="B313" s="39"/>
    </row>
    <row r="314" spans="2:2">
      <c r="B314" s="39"/>
    </row>
    <row r="315" spans="2:2">
      <c r="B315" s="39"/>
    </row>
    <row r="316" spans="2:2">
      <c r="B316" s="39"/>
    </row>
    <row r="317" spans="2:2">
      <c r="B317" s="39"/>
    </row>
    <row r="318" spans="2:2">
      <c r="B318" s="39"/>
    </row>
    <row r="319" spans="2:2">
      <c r="B319" s="39"/>
    </row>
    <row r="320" spans="2:2">
      <c r="B320" s="39"/>
    </row>
    <row r="321" spans="2:2">
      <c r="B321" s="39"/>
    </row>
    <row r="322" spans="2:2">
      <c r="B322" s="39"/>
    </row>
    <row r="323" spans="2:2">
      <c r="B323" s="39"/>
    </row>
    <row r="324" spans="2:2">
      <c r="B324" s="39"/>
    </row>
    <row r="325" spans="2:2">
      <c r="B325" s="39"/>
    </row>
    <row r="326" spans="2:2">
      <c r="B326" s="39"/>
    </row>
    <row r="327" spans="2:2">
      <c r="B327" s="39"/>
    </row>
    <row r="328" spans="2:2">
      <c r="B328" s="39"/>
    </row>
    <row r="329" spans="2:2">
      <c r="B329" s="39"/>
    </row>
    <row r="330" spans="2:2">
      <c r="B330" s="39"/>
    </row>
    <row r="331" spans="2:2">
      <c r="B331" s="39"/>
    </row>
    <row r="332" spans="2:2">
      <c r="B332" s="39"/>
    </row>
    <row r="333" spans="2:2">
      <c r="B333" s="39"/>
    </row>
    <row r="334" spans="2:2">
      <c r="B334" s="39"/>
    </row>
    <row r="335" spans="2:2">
      <c r="B335" s="39"/>
    </row>
    <row r="336" spans="2:2">
      <c r="B336" s="39"/>
    </row>
    <row r="337" spans="2:2">
      <c r="B337" s="39"/>
    </row>
    <row r="338" spans="2:2">
      <c r="B338" s="39"/>
    </row>
    <row r="339" spans="2:2">
      <c r="B339" s="39"/>
    </row>
    <row r="340" spans="2:2">
      <c r="B340" s="39"/>
    </row>
    <row r="341" spans="2:2">
      <c r="B341" s="39"/>
    </row>
    <row r="342" spans="2:2">
      <c r="B342" s="39"/>
    </row>
    <row r="343" spans="2:2">
      <c r="B343" s="39"/>
    </row>
    <row r="344" spans="2:2">
      <c r="B344" s="39"/>
    </row>
    <row r="345" spans="2:2">
      <c r="B345" s="39"/>
    </row>
    <row r="346" spans="2:2">
      <c r="B346" s="39"/>
    </row>
    <row r="347" spans="2:2">
      <c r="B347" s="39"/>
    </row>
    <row r="348" spans="2:2">
      <c r="B348" s="39"/>
    </row>
    <row r="349" spans="2:2">
      <c r="B349" s="39"/>
    </row>
    <row r="350" spans="2:2">
      <c r="B350" s="39"/>
    </row>
    <row r="351" spans="2:2">
      <c r="B351" s="39"/>
    </row>
    <row r="352" spans="2:2">
      <c r="B352" s="39"/>
    </row>
    <row r="353" spans="2:2">
      <c r="B353" s="39"/>
    </row>
    <row r="354" spans="2:2">
      <c r="B354" s="39"/>
    </row>
    <row r="355" spans="2:2">
      <c r="B355" s="39"/>
    </row>
    <row r="356" spans="2:2">
      <c r="B356" s="39"/>
    </row>
    <row r="357" spans="2:2">
      <c r="B357" s="39"/>
    </row>
    <row r="358" spans="2:2">
      <c r="B358" s="39"/>
    </row>
    <row r="359" spans="2:2">
      <c r="B359" s="39"/>
    </row>
    <row r="360" spans="2:2">
      <c r="B360" s="39"/>
    </row>
    <row r="361" spans="2:2">
      <c r="B361" s="39"/>
    </row>
    <row r="362" spans="2:2">
      <c r="B362" s="39"/>
    </row>
    <row r="363" spans="2:2">
      <c r="B363" s="39"/>
    </row>
    <row r="364" spans="2:2">
      <c r="B364" s="39"/>
    </row>
    <row r="365" spans="2:2">
      <c r="B365" s="39"/>
    </row>
    <row r="366" spans="2:2">
      <c r="B366" s="39"/>
    </row>
    <row r="367" spans="2:2">
      <c r="B367" s="39"/>
    </row>
    <row r="368" spans="2:2">
      <c r="B368" s="39"/>
    </row>
    <row r="369" spans="2:2">
      <c r="B369" s="39"/>
    </row>
    <row r="370" spans="2:2">
      <c r="B370" s="39"/>
    </row>
    <row r="371" spans="2:2">
      <c r="B371" s="39"/>
    </row>
    <row r="372" spans="2:2">
      <c r="B372" s="39"/>
    </row>
    <row r="373" spans="2:2">
      <c r="B373" s="39"/>
    </row>
    <row r="374" spans="2:2">
      <c r="B374" s="39"/>
    </row>
    <row r="375" spans="2:2">
      <c r="B375" s="39"/>
    </row>
    <row r="376" spans="2:2">
      <c r="B376" s="39"/>
    </row>
    <row r="377" spans="2:2">
      <c r="B377" s="39"/>
    </row>
    <row r="378" spans="2:2">
      <c r="B378" s="39"/>
    </row>
    <row r="379" spans="2:2">
      <c r="B379" s="39"/>
    </row>
    <row r="380" spans="2:2">
      <c r="B380" s="39"/>
    </row>
    <row r="381" spans="2:2">
      <c r="B381" s="39"/>
    </row>
    <row r="382" spans="2:2">
      <c r="B382" s="39"/>
    </row>
    <row r="383" spans="2:2">
      <c r="B383" s="39"/>
    </row>
    <row r="384" spans="2:2">
      <c r="B384" s="39"/>
    </row>
    <row r="385" spans="2:2">
      <c r="B385" s="39"/>
    </row>
    <row r="386" spans="2:2">
      <c r="B386" s="39"/>
    </row>
    <row r="387" spans="2:2">
      <c r="B387" s="39"/>
    </row>
    <row r="388" spans="2:2">
      <c r="B388" s="39"/>
    </row>
    <row r="389" spans="2:2">
      <c r="B389" s="39"/>
    </row>
    <row r="390" spans="2:2">
      <c r="B390" s="39"/>
    </row>
    <row r="391" spans="2:2">
      <c r="B391" s="39"/>
    </row>
    <row r="392" spans="2:2">
      <c r="B392" s="39"/>
    </row>
    <row r="393" spans="2:2">
      <c r="B393" s="39"/>
    </row>
    <row r="394" spans="2:2">
      <c r="B394" s="39"/>
    </row>
    <row r="395" spans="2:2">
      <c r="B395" s="39"/>
    </row>
    <row r="396" spans="2:2">
      <c r="B396" s="39"/>
    </row>
    <row r="397" spans="2:2">
      <c r="B397" s="39"/>
    </row>
    <row r="398" spans="2:2">
      <c r="B398" s="39"/>
    </row>
    <row r="399" spans="2:2">
      <c r="B399" s="39"/>
    </row>
    <row r="400" spans="2:2">
      <c r="B400" s="39"/>
    </row>
    <row r="401" spans="2:2">
      <c r="B401" s="39"/>
    </row>
    <row r="402" spans="2:2">
      <c r="B402" s="39"/>
    </row>
    <row r="403" spans="2:2">
      <c r="B403" s="39"/>
    </row>
    <row r="404" spans="2:2">
      <c r="B404" s="39"/>
    </row>
    <row r="405" spans="2:2">
      <c r="B405" s="39"/>
    </row>
    <row r="406" spans="2:2">
      <c r="B406" s="39"/>
    </row>
    <row r="407" spans="2:2">
      <c r="B407" s="39"/>
    </row>
    <row r="408" spans="2:2">
      <c r="B408" s="39"/>
    </row>
    <row r="409" spans="2:2">
      <c r="B409" s="39"/>
    </row>
    <row r="410" spans="2:2">
      <c r="B410" s="39"/>
    </row>
    <row r="411" spans="2:2">
      <c r="B411" s="39"/>
    </row>
    <row r="412" spans="2:2">
      <c r="B412" s="39"/>
    </row>
    <row r="413" spans="2:2">
      <c r="B413" s="39"/>
    </row>
    <row r="414" spans="2:2">
      <c r="B414" s="39"/>
    </row>
    <row r="415" spans="2:2">
      <c r="B415" s="39"/>
    </row>
    <row r="416" spans="2:2">
      <c r="B416" s="39"/>
    </row>
    <row r="417" spans="2:2">
      <c r="B417" s="39"/>
    </row>
    <row r="418" spans="2:2">
      <c r="B418" s="39"/>
    </row>
    <row r="419" spans="2:2">
      <c r="B419" s="39"/>
    </row>
    <row r="420" spans="2:2">
      <c r="B420" s="39"/>
    </row>
    <row r="421" spans="2:2">
      <c r="B421" s="39"/>
    </row>
    <row r="422" spans="2:2">
      <c r="B422" s="39"/>
    </row>
    <row r="423" spans="2:2">
      <c r="B423" s="39"/>
    </row>
    <row r="424" spans="2:2">
      <c r="B424" s="39"/>
    </row>
    <row r="425" spans="2:2">
      <c r="B425" s="39"/>
    </row>
    <row r="426" spans="2:2">
      <c r="B426" s="39"/>
    </row>
    <row r="427" spans="2:2">
      <c r="B427" s="39"/>
    </row>
    <row r="428" spans="2:2">
      <c r="B428" s="39"/>
    </row>
    <row r="429" spans="2:2">
      <c r="B429" s="39"/>
    </row>
    <row r="430" spans="2:2">
      <c r="B430" s="39"/>
    </row>
    <row r="431" spans="2:2">
      <c r="B431" s="39"/>
    </row>
    <row r="432" spans="2:2">
      <c r="B432" s="39"/>
    </row>
    <row r="433" spans="2:2">
      <c r="B433" s="39"/>
    </row>
    <row r="434" spans="2:2">
      <c r="B434" s="39"/>
    </row>
    <row r="435" spans="2:2">
      <c r="B435" s="39"/>
    </row>
    <row r="436" spans="2:2">
      <c r="B436" s="39"/>
    </row>
    <row r="437" spans="2:2">
      <c r="B437" s="39"/>
    </row>
    <row r="438" spans="2:2">
      <c r="B438" s="39"/>
    </row>
    <row r="439" spans="2:2">
      <c r="B439" s="39"/>
    </row>
    <row r="440" spans="2:2">
      <c r="B440" s="39"/>
    </row>
    <row r="441" spans="2:2">
      <c r="B441" s="39"/>
    </row>
    <row r="442" spans="2:2">
      <c r="B442" s="39"/>
    </row>
    <row r="443" spans="2:2">
      <c r="B443" s="39"/>
    </row>
    <row r="444" spans="2:2">
      <c r="B444" s="39"/>
    </row>
    <row r="445" spans="2:2">
      <c r="B445" s="39"/>
    </row>
    <row r="446" spans="2:2">
      <c r="B446" s="39"/>
    </row>
    <row r="447" spans="2:2">
      <c r="B447" s="39"/>
    </row>
    <row r="448" spans="2:2">
      <c r="B448" s="39"/>
    </row>
    <row r="449" spans="2:2">
      <c r="B449" s="39"/>
    </row>
    <row r="450" spans="2:2">
      <c r="B450" s="39"/>
    </row>
    <row r="451" spans="2:2">
      <c r="B451" s="39"/>
    </row>
    <row r="452" spans="2:2">
      <c r="B452" s="39"/>
    </row>
    <row r="453" spans="2:2">
      <c r="B453" s="39"/>
    </row>
    <row r="454" spans="2:2">
      <c r="B454" s="39"/>
    </row>
    <row r="455" spans="2:2">
      <c r="B455" s="39"/>
    </row>
    <row r="456" spans="2:2">
      <c r="B456" s="39"/>
    </row>
    <row r="457" spans="2:2">
      <c r="B457" s="39"/>
    </row>
    <row r="458" spans="2:2">
      <c r="B458" s="39"/>
    </row>
    <row r="459" spans="2:2">
      <c r="B459" s="39"/>
    </row>
    <row r="460" spans="2:2">
      <c r="B460" s="39"/>
    </row>
    <row r="461" spans="2:2">
      <c r="B461" s="39"/>
    </row>
    <row r="462" spans="2:2">
      <c r="B462" s="39"/>
    </row>
    <row r="463" spans="2:2">
      <c r="B463" s="39"/>
    </row>
    <row r="464" spans="2:2">
      <c r="B464" s="39"/>
    </row>
    <row r="465" spans="2:2">
      <c r="B465" s="39"/>
    </row>
    <row r="466" spans="2:2">
      <c r="B466" s="39"/>
    </row>
    <row r="467" spans="2:2">
      <c r="B467" s="39"/>
    </row>
    <row r="468" spans="2:2">
      <c r="B468" s="39"/>
    </row>
    <row r="471" spans="2:2">
      <c r="B471" s="39"/>
    </row>
    <row r="472" spans="2:2">
      <c r="B472" s="39"/>
    </row>
    <row r="473" spans="2:2">
      <c r="B473" s="39"/>
    </row>
    <row r="474" spans="2:2">
      <c r="B474" s="39"/>
    </row>
    <row r="475" spans="2:2">
      <c r="B475" s="39"/>
    </row>
    <row r="476" spans="2:2">
      <c r="B476" s="39"/>
    </row>
    <row r="477" spans="2:2">
      <c r="B477" s="39"/>
    </row>
    <row r="478" spans="2:2">
      <c r="B478" s="39"/>
    </row>
    <row r="479" spans="2:2">
      <c r="B479" s="39"/>
    </row>
    <row r="480" spans="2:2">
      <c r="B480" s="39"/>
    </row>
    <row r="481" spans="1:2">
      <c r="B481" s="39"/>
    </row>
    <row r="482" spans="1:2">
      <c r="B482" s="39"/>
    </row>
    <row r="483" spans="1:2">
      <c r="A483" s="39"/>
    </row>
    <row r="484" spans="1:2">
      <c r="A484" s="39"/>
    </row>
  </sheetData>
  <conditionalFormatting sqref="B1:B1048576">
    <cfRule type="duplicateValues" dxfId="3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6453-2E72-43EE-91A0-B5651ADA830F}">
  <dimension ref="A1:D478"/>
  <sheetViews>
    <sheetView workbookViewId="0">
      <selection activeCell="D27" sqref="D2:D27"/>
    </sheetView>
  </sheetViews>
  <sheetFormatPr defaultRowHeight="12.75"/>
  <sheetData>
    <row r="1" spans="1:4">
      <c r="A1" t="s">
        <v>47</v>
      </c>
      <c r="B1" t="s">
        <v>2</v>
      </c>
      <c r="C1" t="s">
        <v>32</v>
      </c>
      <c r="D1" t="s">
        <v>327</v>
      </c>
    </row>
    <row r="2" spans="1:4">
      <c r="A2" t="s">
        <v>4274</v>
      </c>
      <c r="B2" s="39" t="str">
        <f>HYPERLINK('citations-it3-studies'!$D4,'citations-it3-studies'!$B4)</f>
        <v>An Approach to Bridge ROS 1 and ROS 2 Devices into an OPC UA-based Testbed for Industry 4.0</v>
      </c>
      <c r="C2">
        <f>'citations-it3-studies'!$C4</f>
        <v>2022</v>
      </c>
      <c r="D2">
        <f>'citations-it3-studies'!$H4</f>
        <v>6</v>
      </c>
    </row>
    <row r="3" spans="1:4">
      <c r="A3" t="s">
        <v>4274</v>
      </c>
      <c r="B3" s="39" t="str">
        <f>HYPERLINK('citations-it3-studies'!$D5,'citations-it3-studies'!$B5)</f>
        <v>RMPF: Real-Time Message Processing Framework on Multi-Service Domains</v>
      </c>
      <c r="C3">
        <f>'citations-it3-studies'!$C5</f>
        <v>2024</v>
      </c>
      <c r="D3">
        <f>'citations-it3-studies'!$H5</f>
        <v>17</v>
      </c>
    </row>
    <row r="4" spans="1:4">
      <c r="A4" t="s">
        <v>4274</v>
      </c>
      <c r="B4" s="39" t="str">
        <f>HYPERLINK('citations-it3-studies'!$D6,'citations-it3-studies'!$B6)</f>
        <v>SCADA Systems With Focus on Continuous Manufacturing and Steel Industry: A Survey on Architectures, Standards, Challenges and Industry 5.0</v>
      </c>
      <c r="C4">
        <f>'citations-it3-studies'!$C6</f>
        <v>2022</v>
      </c>
      <c r="D4">
        <f>'citations-it3-studies'!$H6</f>
        <v>36</v>
      </c>
    </row>
    <row r="5" spans="1:4">
      <c r="A5" t="s">
        <v>4274</v>
      </c>
      <c r="B5" s="39" t="str">
        <f>HYPERLINK('citations-it3-studies'!$D7,'citations-it3-studies'!$B7)</f>
        <v>AUTOSAR AP and ROS 2 Collaboration Framework</v>
      </c>
      <c r="C5">
        <f>'citations-it3-studies'!$C7</f>
        <v>2024</v>
      </c>
      <c r="D5">
        <f>'citations-it3-studies'!$H7</f>
        <v>8</v>
      </c>
    </row>
    <row r="6" spans="1:4">
      <c r="A6" t="s">
        <v>4274</v>
      </c>
      <c r="B6" s="39" t="str">
        <f>HYPERLINK('citations-it3-studies'!$D9,'citations-it3-studies'!$B9)</f>
        <v>AUTOSAR AP and ROS 2 Collaboration Framework for Development in Cloud Environment</v>
      </c>
      <c r="C6">
        <f>'citations-it3-studies'!$C9</f>
        <v>2025</v>
      </c>
      <c r="D6">
        <f>'citations-it3-studies'!$H9</f>
        <v>13</v>
      </c>
    </row>
    <row r="7" spans="1:4">
      <c r="A7" t="s">
        <v>4274</v>
      </c>
      <c r="B7" s="39" t="str">
        <f>HYPERLINK('citations-it3-studies'!$D10,'citations-it3-studies'!$B10)</f>
        <v>Edge- AI and Internet of Things for Intelligent Systems: Architectures, Applications and Future Perspectives</v>
      </c>
      <c r="C7">
        <f>'citations-it3-studies'!$C10</f>
        <v>2025</v>
      </c>
      <c r="D7">
        <f>'citations-it3-studies'!$H10</f>
        <v>12</v>
      </c>
    </row>
    <row r="8" spans="1:4">
      <c r="A8" t="s">
        <v>4274</v>
      </c>
      <c r="B8" s="39" t="str">
        <f>HYPERLINK('citations-it3-studies'!$D16,'citations-it3-studies'!$B16)</f>
        <v>Industry 5.0: An Extended Experimental Case for Implementing a Multi-Level Framework for Enterprise Integration</v>
      </c>
      <c r="C8">
        <f>'citations-it3-studies'!$C16</f>
        <v>2026</v>
      </c>
      <c r="D8">
        <f>'citations-it3-studies'!$H16</f>
        <v>15</v>
      </c>
    </row>
    <row r="9" spans="1:4">
      <c r="A9" t="s">
        <v>4274</v>
      </c>
      <c r="B9" s="39" t="str">
        <f>HYPERLINK('citations-it3-studies'!$D17,'citations-it3-studies'!$B17)</f>
        <v>Monitor and Analyze Rare ROS2 Performance Issues with A Unified Tracing Framework</v>
      </c>
      <c r="C9">
        <f>'citations-it3-studies'!$C17</f>
        <v>2024</v>
      </c>
      <c r="D9">
        <f>'citations-it3-studies'!$H17</f>
        <v>10</v>
      </c>
    </row>
    <row r="10" spans="1:4">
      <c r="A10" t="s">
        <v>4274</v>
      </c>
      <c r="B10" s="39" t="str">
        <f>HYPERLINK('citations-it3-studies'!$D18,'citations-it3-studies'!$B18)</f>
        <v>Stepping Toward Zenoh Protocol in Automotive Scenarios</v>
      </c>
      <c r="C10">
        <f>'citations-it3-studies'!$C18</f>
        <v>2025</v>
      </c>
      <c r="D10">
        <f>'citations-it3-studies'!$H18</f>
        <v>14</v>
      </c>
    </row>
    <row r="11" spans="1:4">
      <c r="A11" t="s">
        <v>4275</v>
      </c>
      <c r="B11" s="39" t="str">
        <f>HYPERLINK('references-it3-studies'!$D2,'references-it3-studies'!$B2)</f>
        <v>Improving OPC UA Publish-Subscribe Mechanism over UDP with Synchronization Algorithm and Multithreading Broker Application.</v>
      </c>
      <c r="C11">
        <f>'references-it3-studies'!$C2</f>
        <v>2020</v>
      </c>
      <c r="D11">
        <f>'references-it3-studies'!$H2</f>
        <v>0</v>
      </c>
    </row>
    <row r="12" spans="1:4">
      <c r="A12" t="s">
        <v>4275</v>
      </c>
      <c r="B12" s="39" t="str">
        <f>HYPERLINK('references-it3-studies'!$D3,'references-it3-studies'!$B3)</f>
        <v>A Proposal to Improve Interoperability in the Industry 4.0 Based on the Open Platform Communications Unified Architecture Standard</v>
      </c>
      <c r="C12">
        <f>'references-it3-studies'!$C3</f>
        <v>2021</v>
      </c>
      <c r="D12">
        <f>'references-it3-studies'!$H3</f>
        <v>0</v>
      </c>
    </row>
    <row r="13" spans="1:4">
      <c r="A13" t="s">
        <v>4275</v>
      </c>
      <c r="B13" s="39" t="str">
        <f>HYPERLINK('references-it3-studies'!$D4,'references-it3-studies'!$B4)</f>
        <v>INDIN - Achieving interoperability using low-cost middleware OPC UA wrapping structure. Case study in the water industry</v>
      </c>
      <c r="C13">
        <f>'references-it3-studies'!$C4</f>
        <v>2017</v>
      </c>
      <c r="D13">
        <f>'references-it3-studies'!$H4</f>
        <v>6</v>
      </c>
    </row>
    <row r="14" spans="1:4">
      <c r="A14" t="s">
        <v>4275</v>
      </c>
      <c r="B14" s="39" t="str">
        <f>HYPERLINK('references-it3-studies'!$D5,'references-it3-studies'!$B5)</f>
        <v>SysCon - Performance Study of the Robot Operating System 2 with QoS and Cyber Security Settings</v>
      </c>
      <c r="C14">
        <f>'references-it3-studies'!$C5</f>
        <v>2020</v>
      </c>
      <c r="D14">
        <f>'references-it3-studies'!$H5</f>
        <v>6</v>
      </c>
    </row>
    <row r="15" spans="1:4">
      <c r="A15" t="s">
        <v>4275</v>
      </c>
      <c r="B15" s="39" t="str">
        <f>HYPERLINK('references-it3-studies'!$D7,'references-it3-studies'!$B7)</f>
        <v>Information Distribution in Multi-Robot Systems: Utility-Based Evaluation Model</v>
      </c>
      <c r="C15">
        <f>'references-it3-studies'!$C7</f>
        <v>2020</v>
      </c>
      <c r="D15">
        <f>'references-it3-studies'!$H7</f>
        <v>0</v>
      </c>
    </row>
    <row r="16" spans="1:4">
      <c r="A16" t="s">
        <v>4275</v>
      </c>
      <c r="B16" s="39" t="str">
        <f>HYPERLINK('references-it3-studies'!$D8,'references-it3-studies'!$B8)</f>
        <v>OPC UA Publish-Subscribe and VSOME/IP Notify-Subscribe Based Gateway Application in the Context of Car to Infrastructure Communication.</v>
      </c>
      <c r="C16">
        <f>'references-it3-studies'!$C8</f>
        <v>2020</v>
      </c>
      <c r="D16">
        <f>'references-it3-studies'!$H8</f>
        <v>0</v>
      </c>
    </row>
    <row r="17" spans="1:4">
      <c r="A17" t="s">
        <v>4275</v>
      </c>
      <c r="B17" s="39" t="str">
        <f>HYPERLINK('references-it3-studies'!$D9,'references-it3-studies'!$B9)</f>
        <v>An Optimized, Data Distribution Service-Based Solution for Reliable Data Exchange Among Autonomous Underwater Vehicles</v>
      </c>
      <c r="C17">
        <f>'references-it3-studies'!$C9</f>
        <v>2017</v>
      </c>
      <c r="D17">
        <f>'references-it3-studies'!$H9</f>
        <v>0</v>
      </c>
    </row>
    <row r="18" spans="1:4">
      <c r="A18" t="s">
        <v>4275</v>
      </c>
      <c r="B18" s="39" t="str">
        <f>HYPERLINK('references-it3-studies'!$D10,'references-it3-studies'!$B10)</f>
        <v>SysCon - Evaluation of the Robot Operating System 2 in Lossy Unmanned Networks</v>
      </c>
      <c r="C18">
        <f>'references-it3-studies'!$C10</f>
        <v>2020</v>
      </c>
      <c r="D18">
        <f>'references-it3-studies'!$H10</f>
        <v>8</v>
      </c>
    </row>
    <row r="19" spans="1:4">
      <c r="A19" t="s">
        <v>4275</v>
      </c>
      <c r="B19" s="39" t="str">
        <f>HYPERLINK('references-it3-studies'!$D11,'references-it3-studies'!$B11)</f>
        <v>More Sustainability in Industry through Industrial Internet of Things</v>
      </c>
      <c r="C19">
        <f>'references-it3-studies'!$C11</f>
        <v>2018</v>
      </c>
      <c r="D19">
        <f>'references-it3-studies'!$H11</f>
        <v>0</v>
      </c>
    </row>
    <row r="20" spans="1:4">
      <c r="A20" t="s">
        <v>4275</v>
      </c>
      <c r="B20" s="39" t="str">
        <f>HYPERLINK('references-it3-studies'!$D12,'references-it3-studies'!$B12)</f>
        <v>Data Distribution Service Converter Based on the Open Platform Communications Unified Architecture Publish–Subscribe Protocol</v>
      </c>
      <c r="C20">
        <f>'references-it3-studies'!$C12</f>
        <v>2021</v>
      </c>
      <c r="D20">
        <f>'references-it3-studies'!$H12</f>
        <v>0</v>
      </c>
    </row>
    <row r="21" spans="1:4">
      <c r="A21" t="s">
        <v>4275</v>
      </c>
      <c r="B21" s="39" t="str">
        <f>HYPERLINK('references-it3-studies'!$D13,'references-it3-studies'!$B13)</f>
        <v>Towards IoT-Aided Human-Robot Interaction Using NEP and ROS: A Platform-Independent, Accessible and Distributed Approach.</v>
      </c>
      <c r="C21">
        <f>'references-it3-studies'!$C13</f>
        <v>2020</v>
      </c>
      <c r="D21">
        <f>'references-it3-studies'!$H13</f>
        <v>0</v>
      </c>
    </row>
    <row r="22" spans="1:4">
      <c r="A22" t="s">
        <v>4275</v>
      </c>
      <c r="B22" s="39" t="str">
        <f>HYPERLINK('references-it3-studies'!$D14,'references-it3-studies'!$B14)</f>
        <v>ICE/ITMC - VSOMEIP - OPC UA Gateway Solution for the Automotive Industry</v>
      </c>
      <c r="C22">
        <f>'references-it3-studies'!$C14</f>
        <v>2019</v>
      </c>
      <c r="D22">
        <f>'references-it3-studies'!$H14</f>
        <v>6</v>
      </c>
    </row>
    <row r="23" spans="1:4">
      <c r="A23" t="s">
        <v>4275</v>
      </c>
      <c r="B23" s="39" t="str">
        <f>HYPERLINK('references-it3-studies'!$D15,'references-it3-studies'!$B15)</f>
        <v>ETFA - Non-Invasive Control Solution inside Higher-Level OPC UA based Wrapper for Optimizing Groups of Wastewater Systems</v>
      </c>
      <c r="C23">
        <f>'references-it3-studies'!$C15</f>
        <v>2018</v>
      </c>
      <c r="D23">
        <f>'references-it3-studies'!$H15</f>
        <v>8</v>
      </c>
    </row>
    <row r="24" spans="1:4">
      <c r="A24" t="s">
        <v>4275</v>
      </c>
      <c r="B24" s="39" t="str">
        <f>HYPERLINK('references-it3-studies'!$D16,'references-it3-studies'!$B16)</f>
        <v>Process Automation in an IoT–Fog–Cloud Ecosystem: A Survey and Taxonomy</v>
      </c>
      <c r="C24">
        <f>'references-it3-studies'!$C16</f>
        <v>2021</v>
      </c>
      <c r="D24">
        <f>'references-it3-studies'!$H16</f>
        <v>27</v>
      </c>
    </row>
    <row r="25" spans="1:4">
      <c r="A25" t="s">
        <v>4275</v>
      </c>
      <c r="B25" s="39" t="str">
        <f>HYPERLINK('references-it3-studies'!$D17,'references-it3-studies'!$B17)</f>
        <v>FDDS: An Integrated Conceptual FDDS Framework for DDS Based Middleware</v>
      </c>
      <c r="C25">
        <f>'references-it3-studies'!$C17</f>
        <v>2019</v>
      </c>
      <c r="D25">
        <f>'references-it3-studies'!$H17</f>
        <v>5</v>
      </c>
    </row>
    <row r="26" spans="1:4">
      <c r="A26" t="s">
        <v>4275</v>
      </c>
      <c r="B26" s="39" t="str">
        <f>HYPERLINK('references-it3-studies'!$D18,'references-it3-studies'!$B18)</f>
        <v>ETFA - Real-time capable OPC-UA Programs over TSN for distributed industrial control</v>
      </c>
      <c r="C26">
        <f>'references-it3-studies'!$C18</f>
        <v>2020</v>
      </c>
      <c r="D26">
        <f>'references-it3-studies'!$H18</f>
        <v>8</v>
      </c>
    </row>
    <row r="27" spans="1:4">
      <c r="A27" t="s">
        <v>4275</v>
      </c>
      <c r="B27" s="39" t="str">
        <f>HYPERLINK('references-it3-studies'!$D19,'references-it3-studies'!$B19)</f>
        <v>Approaching OPC UA Publish–Subscribe in the Context of UDP-Based Multi-Channel Communication and Image Transmission</v>
      </c>
      <c r="C27">
        <f>'references-it3-studies'!$C19</f>
        <v>2021</v>
      </c>
      <c r="D27">
        <f>'references-it3-studies'!$H19</f>
        <v>0</v>
      </c>
    </row>
    <row r="31" spans="1:4">
      <c r="B31" s="39"/>
    </row>
    <row r="32" spans="1:4">
      <c r="B32" s="39"/>
    </row>
    <row r="33" spans="2:2">
      <c r="B33" s="39"/>
    </row>
    <row r="34" spans="2:2">
      <c r="B34" s="39"/>
    </row>
    <row r="35" spans="2:2">
      <c r="B35" s="39"/>
    </row>
    <row r="36" spans="2:2">
      <c r="B36" s="39"/>
    </row>
    <row r="37" spans="2:2">
      <c r="B37" s="39"/>
    </row>
    <row r="38" spans="2:2">
      <c r="B38" s="39"/>
    </row>
    <row r="39" spans="2:2">
      <c r="B39" s="39"/>
    </row>
    <row r="40" spans="2:2">
      <c r="B40" s="39"/>
    </row>
    <row r="41" spans="2:2">
      <c r="B41" s="39"/>
    </row>
    <row r="42" spans="2:2">
      <c r="B42" s="39"/>
    </row>
    <row r="43" spans="2:2">
      <c r="B43" s="39"/>
    </row>
    <row r="44" spans="2:2">
      <c r="B44" s="39"/>
    </row>
    <row r="45" spans="2:2">
      <c r="B45" s="39"/>
    </row>
    <row r="46" spans="2:2">
      <c r="B46" s="39"/>
    </row>
    <row r="47" spans="2:2">
      <c r="B47" s="39"/>
    </row>
    <row r="48" spans="2:2">
      <c r="B48" s="39"/>
    </row>
    <row r="49" spans="2:2">
      <c r="B49" s="39"/>
    </row>
    <row r="50" spans="2:2">
      <c r="B50" s="39"/>
    </row>
    <row r="51" spans="2:2">
      <c r="B51" s="39"/>
    </row>
    <row r="52" spans="2:2">
      <c r="B52" s="39"/>
    </row>
    <row r="53" spans="2:2">
      <c r="B53" s="39"/>
    </row>
    <row r="54" spans="2:2">
      <c r="B54" s="39"/>
    </row>
    <row r="55" spans="2:2">
      <c r="B55" s="39"/>
    </row>
    <row r="56" spans="2:2">
      <c r="B56" s="39"/>
    </row>
    <row r="57" spans="2:2">
      <c r="B57" s="39"/>
    </row>
    <row r="58" spans="2:2">
      <c r="B58" s="39"/>
    </row>
    <row r="59" spans="2:2">
      <c r="B59" s="39"/>
    </row>
    <row r="60" spans="2:2">
      <c r="B60" s="39"/>
    </row>
    <row r="61" spans="2:2">
      <c r="B61" s="39"/>
    </row>
    <row r="62" spans="2:2">
      <c r="B62" s="39"/>
    </row>
    <row r="63" spans="2:2">
      <c r="B63" s="39"/>
    </row>
    <row r="64" spans="2:2">
      <c r="B64" s="39"/>
    </row>
    <row r="65" spans="2:2">
      <c r="B65" s="39"/>
    </row>
    <row r="66" spans="2:2">
      <c r="B66" s="39"/>
    </row>
    <row r="67" spans="2:2">
      <c r="B67" s="39"/>
    </row>
    <row r="68" spans="2:2">
      <c r="B68" s="39"/>
    </row>
    <row r="69" spans="2:2">
      <c r="B69" s="39"/>
    </row>
    <row r="70" spans="2:2">
      <c r="B70" s="39"/>
    </row>
    <row r="71" spans="2:2">
      <c r="B71" s="39"/>
    </row>
    <row r="72" spans="2:2">
      <c r="B72" s="39"/>
    </row>
    <row r="73" spans="2:2">
      <c r="B73" s="39"/>
    </row>
    <row r="74" spans="2:2">
      <c r="B74" s="39"/>
    </row>
    <row r="75" spans="2:2">
      <c r="B75" s="39"/>
    </row>
    <row r="76" spans="2:2">
      <c r="B76" s="39"/>
    </row>
    <row r="77" spans="2:2">
      <c r="B77" s="39"/>
    </row>
    <row r="78" spans="2:2">
      <c r="B78" s="39"/>
    </row>
    <row r="79" spans="2:2">
      <c r="B79" s="39"/>
    </row>
    <row r="80" spans="2:2">
      <c r="B80" s="39"/>
    </row>
    <row r="81" spans="2:2">
      <c r="B81" s="39"/>
    </row>
    <row r="82" spans="2:2">
      <c r="B82" s="39"/>
    </row>
    <row r="83" spans="2:2">
      <c r="B83" s="39"/>
    </row>
    <row r="84" spans="2:2">
      <c r="B84" s="39"/>
    </row>
    <row r="85" spans="2:2">
      <c r="B85" s="39"/>
    </row>
    <row r="86" spans="2:2">
      <c r="B86" s="39"/>
    </row>
    <row r="87" spans="2:2">
      <c r="B87" s="39"/>
    </row>
    <row r="88" spans="2:2">
      <c r="B88" s="39"/>
    </row>
    <row r="89" spans="2:2">
      <c r="B89" s="39"/>
    </row>
    <row r="90" spans="2:2">
      <c r="B90" s="39"/>
    </row>
    <row r="91" spans="2:2">
      <c r="B91" s="39"/>
    </row>
    <row r="92" spans="2:2">
      <c r="B92" s="39"/>
    </row>
    <row r="93" spans="2:2">
      <c r="B93" s="39"/>
    </row>
    <row r="94" spans="2:2">
      <c r="B94" s="39"/>
    </row>
    <row r="95" spans="2:2">
      <c r="B95" s="39"/>
    </row>
    <row r="96" spans="2:2">
      <c r="B96" s="39"/>
    </row>
    <row r="97" spans="2:2">
      <c r="B97" s="39"/>
    </row>
    <row r="98" spans="2:2">
      <c r="B98" s="39"/>
    </row>
    <row r="99" spans="2:2">
      <c r="B99" s="39"/>
    </row>
    <row r="100" spans="2:2">
      <c r="B100" s="39"/>
    </row>
    <row r="101" spans="2:2">
      <c r="B101" s="39"/>
    </row>
    <row r="102" spans="2:2">
      <c r="B102" s="39"/>
    </row>
    <row r="103" spans="2:2">
      <c r="B103" s="39"/>
    </row>
    <row r="104" spans="2:2">
      <c r="B104" s="39"/>
    </row>
    <row r="105" spans="2:2">
      <c r="B105" s="39"/>
    </row>
    <row r="106" spans="2:2">
      <c r="B106" s="39"/>
    </row>
    <row r="107" spans="2:2">
      <c r="B107" s="39"/>
    </row>
    <row r="108" spans="2:2">
      <c r="B108" s="39"/>
    </row>
    <row r="109" spans="2:2">
      <c r="B109" s="39"/>
    </row>
    <row r="110" spans="2:2">
      <c r="B110" s="39"/>
    </row>
    <row r="111" spans="2:2">
      <c r="B111" s="39"/>
    </row>
    <row r="112" spans="2:2">
      <c r="B112" s="39"/>
    </row>
    <row r="113" spans="2:2">
      <c r="B113" s="39"/>
    </row>
    <row r="114" spans="2:2">
      <c r="B114" s="39"/>
    </row>
    <row r="115" spans="2:2">
      <c r="B115" s="39"/>
    </row>
    <row r="116" spans="2:2">
      <c r="B116" s="39"/>
    </row>
    <row r="117" spans="2:2">
      <c r="B117" s="39"/>
    </row>
    <row r="118" spans="2:2">
      <c r="B118" s="39"/>
    </row>
    <row r="119" spans="2:2">
      <c r="B119" s="39"/>
    </row>
    <row r="120" spans="2:2">
      <c r="B120" s="39"/>
    </row>
    <row r="121" spans="2:2">
      <c r="B121" s="39"/>
    </row>
    <row r="122" spans="2:2">
      <c r="B122" s="39"/>
    </row>
    <row r="123" spans="2:2">
      <c r="B123" s="39"/>
    </row>
    <row r="124" spans="2:2">
      <c r="B124" s="39"/>
    </row>
    <row r="125" spans="2:2">
      <c r="B125" s="39"/>
    </row>
    <row r="126" spans="2:2">
      <c r="B126" s="39"/>
    </row>
    <row r="127" spans="2:2">
      <c r="B127" s="39"/>
    </row>
    <row r="128" spans="2:2">
      <c r="B128" s="39"/>
    </row>
    <row r="129" spans="2:2">
      <c r="B129" s="39"/>
    </row>
    <row r="130" spans="2:2">
      <c r="B130" s="39"/>
    </row>
    <row r="131" spans="2:2">
      <c r="B131" s="39"/>
    </row>
    <row r="132" spans="2:2">
      <c r="B132" s="39"/>
    </row>
    <row r="133" spans="2:2">
      <c r="B133" s="39"/>
    </row>
    <row r="134" spans="2:2">
      <c r="B134" s="39"/>
    </row>
    <row r="135" spans="2:2">
      <c r="B135" s="39"/>
    </row>
    <row r="136" spans="2:2">
      <c r="B136" s="39"/>
    </row>
    <row r="137" spans="2:2">
      <c r="B137" s="39"/>
    </row>
    <row r="138" spans="2:2">
      <c r="B138" s="39"/>
    </row>
    <row r="139" spans="2:2">
      <c r="B139" s="39"/>
    </row>
    <row r="140" spans="2:2">
      <c r="B140" s="39"/>
    </row>
    <row r="141" spans="2:2">
      <c r="B141" s="39"/>
    </row>
    <row r="142" spans="2:2">
      <c r="B142" s="39"/>
    </row>
    <row r="143" spans="2:2">
      <c r="B143" s="39"/>
    </row>
    <row r="144" spans="2:2">
      <c r="B144" s="39"/>
    </row>
    <row r="145" spans="2:2">
      <c r="B145" s="39"/>
    </row>
    <row r="146" spans="2:2">
      <c r="B146" s="39"/>
    </row>
    <row r="147" spans="2:2">
      <c r="B147" s="39"/>
    </row>
    <row r="148" spans="2:2">
      <c r="B148" s="39"/>
    </row>
    <row r="149" spans="2:2">
      <c r="B149" s="39"/>
    </row>
    <row r="150" spans="2:2">
      <c r="B150" s="39"/>
    </row>
    <row r="151" spans="2:2">
      <c r="B151" s="39"/>
    </row>
    <row r="152" spans="2:2">
      <c r="B152" s="39"/>
    </row>
    <row r="153" spans="2:2">
      <c r="B153" s="39"/>
    </row>
    <row r="154" spans="2:2">
      <c r="B154" s="39"/>
    </row>
    <row r="155" spans="2:2">
      <c r="B155" s="39"/>
    </row>
    <row r="156" spans="2:2">
      <c r="B156" s="39"/>
    </row>
    <row r="157" spans="2:2">
      <c r="B157" s="39"/>
    </row>
    <row r="158" spans="2:2">
      <c r="B158" s="39"/>
    </row>
    <row r="159" spans="2:2">
      <c r="B159" s="39"/>
    </row>
    <row r="160" spans="2:2">
      <c r="B160" s="39"/>
    </row>
    <row r="161" spans="2:2">
      <c r="B161" s="39"/>
    </row>
    <row r="162" spans="2:2">
      <c r="B162" s="39"/>
    </row>
    <row r="163" spans="2:2">
      <c r="B163" s="39"/>
    </row>
    <row r="164" spans="2:2">
      <c r="B164" s="39"/>
    </row>
    <row r="165" spans="2:2">
      <c r="B165" s="39"/>
    </row>
    <row r="166" spans="2:2">
      <c r="B166" s="39"/>
    </row>
    <row r="167" spans="2:2">
      <c r="B167" s="39"/>
    </row>
    <row r="168" spans="2:2">
      <c r="B168" s="39"/>
    </row>
    <row r="169" spans="2:2">
      <c r="B169" s="39"/>
    </row>
    <row r="170" spans="2:2">
      <c r="B170" s="39"/>
    </row>
    <row r="171" spans="2:2">
      <c r="B171" s="39"/>
    </row>
    <row r="172" spans="2:2">
      <c r="B172" s="39"/>
    </row>
    <row r="173" spans="2:2">
      <c r="B173" s="39"/>
    </row>
    <row r="174" spans="2:2">
      <c r="B174" s="39"/>
    </row>
    <row r="175" spans="2:2">
      <c r="B175" s="39"/>
    </row>
    <row r="176" spans="2:2">
      <c r="B176" s="39"/>
    </row>
    <row r="177" spans="2:2">
      <c r="B177" s="39"/>
    </row>
    <row r="178" spans="2:2">
      <c r="B178" s="39"/>
    </row>
    <row r="179" spans="2:2">
      <c r="B179" s="39"/>
    </row>
    <row r="180" spans="2:2">
      <c r="B180" s="39"/>
    </row>
    <row r="181" spans="2:2">
      <c r="B181" s="39"/>
    </row>
    <row r="182" spans="2:2">
      <c r="B182" s="39"/>
    </row>
    <row r="183" spans="2:2">
      <c r="B183" s="39"/>
    </row>
    <row r="184" spans="2:2">
      <c r="B184" s="39"/>
    </row>
    <row r="185" spans="2:2">
      <c r="B185" s="39"/>
    </row>
    <row r="186" spans="2:2">
      <c r="B186" s="39"/>
    </row>
    <row r="187" spans="2:2">
      <c r="B187" s="39"/>
    </row>
    <row r="188" spans="2:2">
      <c r="B188" s="39"/>
    </row>
    <row r="189" spans="2:2">
      <c r="B189" s="39"/>
    </row>
    <row r="190" spans="2:2">
      <c r="B190" s="39"/>
    </row>
    <row r="191" spans="2:2">
      <c r="B191" s="39"/>
    </row>
    <row r="192" spans="2:2">
      <c r="B192" s="39"/>
    </row>
    <row r="193" spans="2:2">
      <c r="B193" s="39"/>
    </row>
    <row r="194" spans="2:2">
      <c r="B194" s="39"/>
    </row>
    <row r="195" spans="2:2">
      <c r="B195" s="39"/>
    </row>
    <row r="196" spans="2:2">
      <c r="B196" s="39"/>
    </row>
    <row r="197" spans="2:2">
      <c r="B197" s="39"/>
    </row>
    <row r="198" spans="2:2">
      <c r="B198" s="39"/>
    </row>
    <row r="199" spans="2:2">
      <c r="B199" s="39"/>
    </row>
    <row r="200" spans="2:2">
      <c r="B200" s="39"/>
    </row>
    <row r="201" spans="2:2">
      <c r="B201" s="39"/>
    </row>
    <row r="202" spans="2:2">
      <c r="B202" s="39"/>
    </row>
    <row r="203" spans="2:2">
      <c r="B203" s="39"/>
    </row>
    <row r="204" spans="2:2">
      <c r="B204" s="39"/>
    </row>
    <row r="205" spans="2:2">
      <c r="B205" s="39"/>
    </row>
    <row r="206" spans="2:2">
      <c r="B206" s="39"/>
    </row>
    <row r="207" spans="2:2">
      <c r="B207" s="39"/>
    </row>
    <row r="208" spans="2:2">
      <c r="B208" s="39"/>
    </row>
    <row r="209" spans="2:2">
      <c r="B209" s="39"/>
    </row>
    <row r="210" spans="2:2">
      <c r="B210" s="39"/>
    </row>
    <row r="211" spans="2:2">
      <c r="B211" s="39"/>
    </row>
    <row r="212" spans="2:2">
      <c r="B212" s="39"/>
    </row>
    <row r="213" spans="2:2">
      <c r="B213" s="39"/>
    </row>
    <row r="214" spans="2:2">
      <c r="B214" s="39"/>
    </row>
    <row r="215" spans="2:2">
      <c r="B215" s="39"/>
    </row>
    <row r="216" spans="2:2">
      <c r="B216" s="39"/>
    </row>
    <row r="217" spans="2:2">
      <c r="B217" s="39"/>
    </row>
    <row r="218" spans="2:2">
      <c r="B218" s="39"/>
    </row>
    <row r="219" spans="2:2">
      <c r="B219" s="39"/>
    </row>
    <row r="220" spans="2:2">
      <c r="B220" s="39"/>
    </row>
    <row r="221" spans="2:2">
      <c r="B221" s="39"/>
    </row>
    <row r="222" spans="2:2">
      <c r="B222" s="39"/>
    </row>
    <row r="223" spans="2:2">
      <c r="B223" s="39"/>
    </row>
    <row r="224" spans="2:2">
      <c r="B224" s="39"/>
    </row>
    <row r="225" spans="2:2">
      <c r="B225" s="39"/>
    </row>
    <row r="226" spans="2:2">
      <c r="B226" s="39"/>
    </row>
    <row r="227" spans="2:2">
      <c r="B227" s="39"/>
    </row>
    <row r="228" spans="2:2">
      <c r="B228" s="39"/>
    </row>
    <row r="229" spans="2:2">
      <c r="B229" s="39"/>
    </row>
    <row r="230" spans="2:2">
      <c r="B230" s="39"/>
    </row>
    <row r="231" spans="2:2">
      <c r="B231" s="39"/>
    </row>
    <row r="232" spans="2:2">
      <c r="B232" s="39"/>
    </row>
    <row r="233" spans="2:2">
      <c r="B233" s="39"/>
    </row>
    <row r="234" spans="2:2">
      <c r="B234" s="39"/>
    </row>
    <row r="235" spans="2:2">
      <c r="B235" s="39"/>
    </row>
    <row r="236" spans="2:2">
      <c r="B236" s="39"/>
    </row>
    <row r="237" spans="2:2">
      <c r="B237" s="39"/>
    </row>
    <row r="238" spans="2:2">
      <c r="B238" s="39"/>
    </row>
    <row r="239" spans="2:2">
      <c r="B239" s="39"/>
    </row>
    <row r="240" spans="2:2">
      <c r="B240" s="39"/>
    </row>
    <row r="241" spans="2:2">
      <c r="B241" s="39"/>
    </row>
    <row r="242" spans="2:2">
      <c r="B242" s="39"/>
    </row>
    <row r="243" spans="2:2">
      <c r="B243" s="39"/>
    </row>
    <row r="244" spans="2:2">
      <c r="B244" s="39"/>
    </row>
    <row r="245" spans="2:2">
      <c r="B245" s="39"/>
    </row>
    <row r="246" spans="2:2">
      <c r="B246" s="39"/>
    </row>
    <row r="247" spans="2:2">
      <c r="B247" s="39"/>
    </row>
    <row r="248" spans="2:2">
      <c r="B248" s="39"/>
    </row>
    <row r="249" spans="2:2">
      <c r="B249" s="39"/>
    </row>
    <row r="250" spans="2:2">
      <c r="B250" s="39"/>
    </row>
    <row r="251" spans="2:2">
      <c r="B251" s="39"/>
    </row>
    <row r="252" spans="2:2">
      <c r="B252" s="39"/>
    </row>
    <row r="253" spans="2:2">
      <c r="B253" s="39"/>
    </row>
    <row r="254" spans="2:2">
      <c r="B254" s="39"/>
    </row>
    <row r="255" spans="2:2">
      <c r="B255" s="39"/>
    </row>
    <row r="256" spans="2:2">
      <c r="B256" s="39"/>
    </row>
    <row r="257" spans="2:2">
      <c r="B257" s="39"/>
    </row>
    <row r="258" spans="2:2">
      <c r="B258" s="39"/>
    </row>
    <row r="259" spans="2:2">
      <c r="B259" s="39"/>
    </row>
    <row r="260" spans="2:2">
      <c r="B260" s="39"/>
    </row>
    <row r="261" spans="2:2">
      <c r="B261" s="39"/>
    </row>
    <row r="262" spans="2:2">
      <c r="B262" s="39"/>
    </row>
    <row r="263" spans="2:2">
      <c r="B263" s="39"/>
    </row>
    <row r="264" spans="2:2">
      <c r="B264" s="39"/>
    </row>
    <row r="265" spans="2:2">
      <c r="B265" s="39"/>
    </row>
    <row r="266" spans="2:2">
      <c r="B266" s="39"/>
    </row>
    <row r="267" spans="2:2">
      <c r="B267" s="39"/>
    </row>
    <row r="268" spans="2:2">
      <c r="B268" s="39"/>
    </row>
    <row r="269" spans="2:2">
      <c r="B269" s="39"/>
    </row>
    <row r="270" spans="2:2">
      <c r="B270" s="39"/>
    </row>
    <row r="271" spans="2:2">
      <c r="B271" s="39"/>
    </row>
    <row r="272" spans="2:2">
      <c r="B272" s="39"/>
    </row>
    <row r="273" spans="2:2">
      <c r="B273" s="39"/>
    </row>
    <row r="274" spans="2:2">
      <c r="B274" s="39"/>
    </row>
    <row r="275" spans="2:2">
      <c r="B275" s="39"/>
    </row>
    <row r="276" spans="2:2">
      <c r="B276" s="39"/>
    </row>
    <row r="277" spans="2:2">
      <c r="B277" s="39"/>
    </row>
    <row r="278" spans="2:2">
      <c r="B278" s="39"/>
    </row>
    <row r="279" spans="2:2">
      <c r="B279" s="39"/>
    </row>
    <row r="280" spans="2:2">
      <c r="B280" s="39"/>
    </row>
    <row r="281" spans="2:2">
      <c r="B281" s="39"/>
    </row>
    <row r="282" spans="2:2">
      <c r="B282" s="39"/>
    </row>
    <row r="283" spans="2:2">
      <c r="B283" s="39"/>
    </row>
    <row r="284" spans="2:2">
      <c r="B284" s="39"/>
    </row>
    <row r="285" spans="2:2">
      <c r="B285" s="39"/>
    </row>
    <row r="286" spans="2:2">
      <c r="B286" s="39"/>
    </row>
    <row r="287" spans="2:2">
      <c r="B287" s="39"/>
    </row>
    <row r="288" spans="2:2">
      <c r="B288" s="39"/>
    </row>
    <row r="289" spans="2:2">
      <c r="B289" s="39"/>
    </row>
    <row r="290" spans="2:2">
      <c r="B290" s="39"/>
    </row>
    <row r="291" spans="2:2">
      <c r="B291" s="39"/>
    </row>
    <row r="292" spans="2:2">
      <c r="B292" s="39"/>
    </row>
    <row r="293" spans="2:2">
      <c r="B293" s="39"/>
    </row>
    <row r="294" spans="2:2">
      <c r="B294" s="39"/>
    </row>
    <row r="295" spans="2:2">
      <c r="B295" s="39"/>
    </row>
    <row r="296" spans="2:2">
      <c r="B296" s="39"/>
    </row>
    <row r="297" spans="2:2">
      <c r="B297" s="39"/>
    </row>
    <row r="298" spans="2:2">
      <c r="B298" s="39"/>
    </row>
    <row r="299" spans="2:2">
      <c r="B299" s="39"/>
    </row>
    <row r="300" spans="2:2">
      <c r="B300" s="39"/>
    </row>
    <row r="301" spans="2:2">
      <c r="B301" s="39"/>
    </row>
    <row r="302" spans="2:2">
      <c r="B302" s="39"/>
    </row>
    <row r="303" spans="2:2">
      <c r="B303" s="39"/>
    </row>
    <row r="304" spans="2:2">
      <c r="B304" s="39"/>
    </row>
    <row r="305" spans="2:2">
      <c r="B305" s="39"/>
    </row>
    <row r="306" spans="2:2">
      <c r="B306" s="39"/>
    </row>
    <row r="307" spans="2:2">
      <c r="B307" s="39"/>
    </row>
    <row r="308" spans="2:2">
      <c r="B308" s="39"/>
    </row>
    <row r="309" spans="2:2">
      <c r="B309" s="39"/>
    </row>
    <row r="310" spans="2:2">
      <c r="B310" s="39"/>
    </row>
    <row r="311" spans="2:2">
      <c r="B311" s="39"/>
    </row>
    <row r="312" spans="2:2">
      <c r="B312" s="39"/>
    </row>
    <row r="313" spans="2:2">
      <c r="B313" s="39"/>
    </row>
    <row r="314" spans="2:2">
      <c r="B314" s="39"/>
    </row>
    <row r="315" spans="2:2">
      <c r="B315" s="39"/>
    </row>
    <row r="316" spans="2:2">
      <c r="B316" s="39"/>
    </row>
    <row r="317" spans="2:2">
      <c r="B317" s="39"/>
    </row>
    <row r="318" spans="2:2">
      <c r="B318" s="39"/>
    </row>
    <row r="319" spans="2:2">
      <c r="B319" s="39"/>
    </row>
    <row r="320" spans="2:2">
      <c r="B320" s="39"/>
    </row>
    <row r="321" spans="2:2">
      <c r="B321" s="39"/>
    </row>
    <row r="322" spans="2:2">
      <c r="B322" s="39"/>
    </row>
    <row r="323" spans="2:2">
      <c r="B323" s="39"/>
    </row>
    <row r="324" spans="2:2">
      <c r="B324" s="39"/>
    </row>
    <row r="325" spans="2:2">
      <c r="B325" s="39"/>
    </row>
    <row r="326" spans="2:2">
      <c r="B326" s="39"/>
    </row>
    <row r="327" spans="2:2">
      <c r="B327" s="39"/>
    </row>
    <row r="328" spans="2:2">
      <c r="B328" s="39"/>
    </row>
    <row r="329" spans="2:2">
      <c r="B329" s="39"/>
    </row>
    <row r="330" spans="2:2">
      <c r="B330" s="39"/>
    </row>
    <row r="331" spans="2:2">
      <c r="B331" s="39"/>
    </row>
    <row r="332" spans="2:2">
      <c r="B332" s="39"/>
    </row>
    <row r="333" spans="2:2">
      <c r="B333" s="39"/>
    </row>
    <row r="334" spans="2:2">
      <c r="B334" s="39"/>
    </row>
    <row r="335" spans="2:2">
      <c r="B335" s="39"/>
    </row>
    <row r="336" spans="2:2">
      <c r="B336" s="39"/>
    </row>
    <row r="337" spans="2:2">
      <c r="B337" s="39"/>
    </row>
    <row r="338" spans="2:2">
      <c r="B338" s="39"/>
    </row>
    <row r="339" spans="2:2">
      <c r="B339" s="39"/>
    </row>
    <row r="340" spans="2:2">
      <c r="B340" s="39"/>
    </row>
    <row r="341" spans="2:2">
      <c r="B341" s="39"/>
    </row>
    <row r="342" spans="2:2">
      <c r="B342" s="39"/>
    </row>
    <row r="343" spans="2:2">
      <c r="B343" s="39"/>
    </row>
    <row r="344" spans="2:2">
      <c r="B344" s="39"/>
    </row>
    <row r="345" spans="2:2">
      <c r="B345" s="39"/>
    </row>
    <row r="346" spans="2:2">
      <c r="B346" s="39"/>
    </row>
    <row r="347" spans="2:2">
      <c r="B347" s="39"/>
    </row>
    <row r="348" spans="2:2">
      <c r="B348" s="39"/>
    </row>
    <row r="349" spans="2:2">
      <c r="B349" s="39"/>
    </row>
    <row r="350" spans="2:2">
      <c r="B350" s="39"/>
    </row>
    <row r="351" spans="2:2">
      <c r="B351" s="39"/>
    </row>
    <row r="352" spans="2:2">
      <c r="B352" s="39"/>
    </row>
    <row r="353" spans="2:2">
      <c r="B353" s="39"/>
    </row>
    <row r="354" spans="2:2">
      <c r="B354" s="39"/>
    </row>
    <row r="355" spans="2:2">
      <c r="B355" s="39"/>
    </row>
    <row r="356" spans="2:2">
      <c r="B356" s="39"/>
    </row>
    <row r="357" spans="2:2">
      <c r="B357" s="39"/>
    </row>
    <row r="358" spans="2:2">
      <c r="B358" s="39"/>
    </row>
    <row r="359" spans="2:2">
      <c r="B359" s="39"/>
    </row>
    <row r="360" spans="2:2">
      <c r="B360" s="39"/>
    </row>
    <row r="361" spans="2:2">
      <c r="B361" s="39"/>
    </row>
    <row r="362" spans="2:2">
      <c r="B362" s="39"/>
    </row>
    <row r="363" spans="2:2">
      <c r="B363" s="39"/>
    </row>
    <row r="364" spans="2:2">
      <c r="B364" s="39"/>
    </row>
    <row r="365" spans="2:2">
      <c r="B365" s="39"/>
    </row>
    <row r="366" spans="2:2">
      <c r="B366" s="39"/>
    </row>
    <row r="367" spans="2:2">
      <c r="B367" s="39"/>
    </row>
    <row r="368" spans="2:2">
      <c r="B368" s="39"/>
    </row>
    <row r="369" spans="2:2">
      <c r="B369" s="39"/>
    </row>
    <row r="370" spans="2:2">
      <c r="B370" s="39"/>
    </row>
    <row r="371" spans="2:2">
      <c r="B371" s="39"/>
    </row>
    <row r="372" spans="2:2">
      <c r="B372" s="39"/>
    </row>
    <row r="373" spans="2:2">
      <c r="B373" s="39"/>
    </row>
    <row r="374" spans="2:2">
      <c r="B374" s="39"/>
    </row>
    <row r="375" spans="2:2">
      <c r="B375" s="39"/>
    </row>
    <row r="376" spans="2:2">
      <c r="B376" s="39"/>
    </row>
    <row r="377" spans="2:2">
      <c r="B377" s="39"/>
    </row>
    <row r="378" spans="2:2">
      <c r="B378" s="39"/>
    </row>
    <row r="379" spans="2:2">
      <c r="B379" s="39"/>
    </row>
    <row r="380" spans="2:2">
      <c r="B380" s="39"/>
    </row>
    <row r="381" spans="2:2">
      <c r="B381" s="39"/>
    </row>
    <row r="382" spans="2:2">
      <c r="B382" s="39"/>
    </row>
    <row r="383" spans="2:2">
      <c r="B383" s="39"/>
    </row>
    <row r="384" spans="2:2">
      <c r="B384" s="39"/>
    </row>
    <row r="385" spans="2:2">
      <c r="B385" s="39"/>
    </row>
    <row r="386" spans="2:2">
      <c r="B386" s="39"/>
    </row>
    <row r="387" spans="2:2">
      <c r="B387" s="39"/>
    </row>
    <row r="388" spans="2:2">
      <c r="B388" s="39"/>
    </row>
    <row r="389" spans="2:2">
      <c r="B389" s="39"/>
    </row>
    <row r="390" spans="2:2">
      <c r="B390" s="39"/>
    </row>
    <row r="391" spans="2:2">
      <c r="B391" s="39"/>
    </row>
    <row r="392" spans="2:2">
      <c r="B392" s="39"/>
    </row>
    <row r="393" spans="2:2">
      <c r="B393" s="39"/>
    </row>
    <row r="394" spans="2:2">
      <c r="B394" s="39"/>
    </row>
    <row r="395" spans="2:2">
      <c r="B395" s="39"/>
    </row>
    <row r="396" spans="2:2">
      <c r="B396" s="39"/>
    </row>
    <row r="397" spans="2:2">
      <c r="B397" s="39"/>
    </row>
    <row r="398" spans="2:2">
      <c r="B398" s="39"/>
    </row>
    <row r="399" spans="2:2">
      <c r="B399" s="39"/>
    </row>
    <row r="400" spans="2:2">
      <c r="B400" s="39"/>
    </row>
    <row r="401" spans="2:2">
      <c r="B401" s="39"/>
    </row>
    <row r="402" spans="2:2">
      <c r="B402" s="39"/>
    </row>
    <row r="403" spans="2:2">
      <c r="B403" s="39"/>
    </row>
    <row r="404" spans="2:2">
      <c r="B404" s="39"/>
    </row>
    <row r="405" spans="2:2">
      <c r="B405" s="39"/>
    </row>
    <row r="406" spans="2:2">
      <c r="B406" s="39"/>
    </row>
    <row r="407" spans="2:2">
      <c r="B407" s="39"/>
    </row>
    <row r="408" spans="2:2">
      <c r="B408" s="39"/>
    </row>
    <row r="409" spans="2:2">
      <c r="B409" s="39"/>
    </row>
    <row r="410" spans="2:2">
      <c r="B410" s="39"/>
    </row>
    <row r="411" spans="2:2">
      <c r="B411" s="39"/>
    </row>
    <row r="412" spans="2:2">
      <c r="B412" s="39"/>
    </row>
    <row r="413" spans="2:2">
      <c r="B413" s="39"/>
    </row>
    <row r="414" spans="2:2">
      <c r="B414" s="39"/>
    </row>
    <row r="415" spans="2:2">
      <c r="B415" s="39"/>
    </row>
    <row r="416" spans="2:2">
      <c r="B416" s="39"/>
    </row>
    <row r="417" spans="2:2">
      <c r="B417" s="39"/>
    </row>
    <row r="418" spans="2:2">
      <c r="B418" s="39"/>
    </row>
    <row r="419" spans="2:2">
      <c r="B419" s="39"/>
    </row>
    <row r="420" spans="2:2">
      <c r="B420" s="39"/>
    </row>
    <row r="421" spans="2:2">
      <c r="B421" s="39"/>
    </row>
    <row r="422" spans="2:2">
      <c r="B422" s="39"/>
    </row>
    <row r="423" spans="2:2">
      <c r="B423" s="39"/>
    </row>
    <row r="424" spans="2:2">
      <c r="B424" s="39"/>
    </row>
    <row r="425" spans="2:2">
      <c r="B425" s="39"/>
    </row>
    <row r="426" spans="2:2">
      <c r="B426" s="39"/>
    </row>
    <row r="427" spans="2:2">
      <c r="B427" s="39"/>
    </row>
    <row r="428" spans="2:2">
      <c r="B428" s="39"/>
    </row>
    <row r="429" spans="2:2">
      <c r="B429" s="39"/>
    </row>
    <row r="430" spans="2:2">
      <c r="B430" s="39"/>
    </row>
    <row r="431" spans="2:2">
      <c r="B431" s="39"/>
    </row>
    <row r="432" spans="2:2">
      <c r="B432" s="39"/>
    </row>
    <row r="433" spans="2:2">
      <c r="B433" s="39"/>
    </row>
    <row r="434" spans="2:2">
      <c r="B434" s="39"/>
    </row>
    <row r="435" spans="2:2">
      <c r="B435" s="39"/>
    </row>
    <row r="436" spans="2:2">
      <c r="B436" s="39"/>
    </row>
    <row r="437" spans="2:2">
      <c r="B437" s="39"/>
    </row>
    <row r="438" spans="2:2">
      <c r="B438" s="39"/>
    </row>
    <row r="439" spans="2:2">
      <c r="B439" s="39"/>
    </row>
    <row r="440" spans="2:2">
      <c r="B440" s="39"/>
    </row>
    <row r="441" spans="2:2">
      <c r="B441" s="39"/>
    </row>
    <row r="442" spans="2:2">
      <c r="B442" s="39"/>
    </row>
    <row r="443" spans="2:2">
      <c r="B443" s="39"/>
    </row>
    <row r="444" spans="2:2">
      <c r="B444" s="39"/>
    </row>
    <row r="445" spans="2:2">
      <c r="B445" s="39"/>
    </row>
    <row r="446" spans="2:2">
      <c r="B446" s="39"/>
    </row>
    <row r="447" spans="2:2">
      <c r="B447" s="39"/>
    </row>
    <row r="448" spans="2:2">
      <c r="B448" s="39"/>
    </row>
    <row r="449" spans="2:2">
      <c r="B449" s="39"/>
    </row>
    <row r="450" spans="2:2">
      <c r="B450" s="39"/>
    </row>
    <row r="451" spans="2:2">
      <c r="B451" s="39"/>
    </row>
    <row r="452" spans="2:2">
      <c r="B452" s="39"/>
    </row>
    <row r="453" spans="2:2">
      <c r="B453" s="39"/>
    </row>
    <row r="454" spans="2:2">
      <c r="B454" s="39"/>
    </row>
    <row r="455" spans="2:2">
      <c r="B455" s="39"/>
    </row>
    <row r="456" spans="2:2">
      <c r="B456" s="39"/>
    </row>
    <row r="457" spans="2:2">
      <c r="B457" s="39"/>
    </row>
    <row r="458" spans="2:2">
      <c r="B458" s="39"/>
    </row>
    <row r="459" spans="2:2">
      <c r="B459" s="39"/>
    </row>
    <row r="460" spans="2:2">
      <c r="B460" s="39"/>
    </row>
    <row r="461" spans="2:2">
      <c r="B461" s="39"/>
    </row>
    <row r="462" spans="2:2">
      <c r="B462" s="39"/>
    </row>
    <row r="465" spans="1:2">
      <c r="B465" s="39"/>
    </row>
    <row r="466" spans="1:2">
      <c r="B466" s="39"/>
    </row>
    <row r="467" spans="1:2">
      <c r="B467" s="39"/>
    </row>
    <row r="468" spans="1:2">
      <c r="B468" s="39"/>
    </row>
    <row r="469" spans="1:2">
      <c r="B469" s="39"/>
    </row>
    <row r="470" spans="1:2">
      <c r="B470" s="39"/>
    </row>
    <row r="471" spans="1:2">
      <c r="B471" s="39"/>
    </row>
    <row r="472" spans="1:2">
      <c r="B472" s="39"/>
    </row>
    <row r="473" spans="1:2">
      <c r="B473" s="39"/>
    </row>
    <row r="474" spans="1:2">
      <c r="B474" s="39"/>
    </row>
    <row r="475" spans="1:2">
      <c r="B475" s="39"/>
    </row>
    <row r="476" spans="1:2">
      <c r="B476" s="39"/>
    </row>
    <row r="477" spans="1:2">
      <c r="A477" s="39"/>
    </row>
    <row r="478" spans="1:2">
      <c r="A478" s="3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E48AE-D96A-44F9-A86C-1D16AEAF6473}">
  <dimension ref="A1:AE365"/>
  <sheetViews>
    <sheetView topLeftCell="C1" workbookViewId="0">
      <selection activeCell="H12" sqref="H12"/>
    </sheetView>
  </sheetViews>
  <sheetFormatPr defaultRowHeight="12.75"/>
  <cols>
    <col min="2" max="2" width="91.42578125" customWidth="1"/>
  </cols>
  <sheetData>
    <row r="1" spans="1:15">
      <c r="A1" t="s">
        <v>47</v>
      </c>
      <c r="B1" t="s">
        <v>2</v>
      </c>
      <c r="C1" t="s">
        <v>32</v>
      </c>
      <c r="D1" t="s">
        <v>327</v>
      </c>
      <c r="E1" s="2" t="s">
        <v>1399</v>
      </c>
      <c r="F1" s="2" t="s">
        <v>3</v>
      </c>
      <c r="G1" s="2" t="s">
        <v>4</v>
      </c>
      <c r="H1" s="2" t="s">
        <v>328</v>
      </c>
      <c r="I1" s="2" t="s">
        <v>329</v>
      </c>
      <c r="J1" s="2" t="s">
        <v>330</v>
      </c>
      <c r="K1" s="2" t="s">
        <v>331</v>
      </c>
      <c r="L1" s="2" t="s">
        <v>332</v>
      </c>
      <c r="M1" s="2" t="s">
        <v>1432</v>
      </c>
      <c r="N1" s="2" t="s">
        <v>325</v>
      </c>
      <c r="O1" s="2" t="s">
        <v>6</v>
      </c>
    </row>
    <row r="2" spans="1:15">
      <c r="A2" t="s">
        <v>4274</v>
      </c>
      <c r="B2" s="39" t="str">
        <f>HYPERLINK('citations-it3-studies'!$D4,'citations-it3-studies'!$B4)</f>
        <v>An Approach to Bridge ROS 1 and ROS 2 Devices into an OPC UA-based Testbed for Industry 4.0</v>
      </c>
      <c r="C2">
        <f>'citations-it3-studies'!$C4</f>
        <v>2022</v>
      </c>
      <c r="D2">
        <f>'citations-it3-studies'!$H4</f>
        <v>6</v>
      </c>
      <c r="E2" t="s">
        <v>1398</v>
      </c>
      <c r="F2" s="10" t="s">
        <v>51</v>
      </c>
      <c r="G2" s="10" t="s">
        <v>51</v>
      </c>
      <c r="H2" s="10" t="s">
        <v>51</v>
      </c>
      <c r="I2" s="10" t="s">
        <v>51</v>
      </c>
      <c r="J2" s="10" t="s">
        <v>51</v>
      </c>
      <c r="K2" s="10" t="s">
        <v>51</v>
      </c>
      <c r="L2" s="10" t="s">
        <v>1397</v>
      </c>
      <c r="M2" s="10"/>
      <c r="N2" t="str">
        <f t="shared" ref="N2:N10" si="0">IF(COUNTIF(F2:M2,"X")&gt;0,"Exclude",IF(UPPER(TRIM(E2))="O","Include",""))</f>
        <v>Exclude</v>
      </c>
      <c r="O2" s="9" t="s">
        <v>5571</v>
      </c>
    </row>
    <row r="3" spans="1:15">
      <c r="A3" t="s">
        <v>4274</v>
      </c>
      <c r="B3" s="39" t="str">
        <f>HYPERLINK('citations-it3-studies'!$D5,'citations-it3-studies'!$B5)</f>
        <v>RMPF: Real-Time Message Processing Framework on Multi-Service Domains</v>
      </c>
      <c r="C3">
        <f>'citations-it3-studies'!$C5</f>
        <v>2024</v>
      </c>
      <c r="D3">
        <f>'citations-it3-studies'!$H5</f>
        <v>17</v>
      </c>
      <c r="E3" t="s">
        <v>1398</v>
      </c>
      <c r="F3" s="10" t="s">
        <v>51</v>
      </c>
      <c r="G3" s="10" t="s">
        <v>51</v>
      </c>
      <c r="H3" s="10" t="s">
        <v>1397</v>
      </c>
      <c r="I3" s="10" t="s">
        <v>51</v>
      </c>
      <c r="J3" s="10" t="s">
        <v>51</v>
      </c>
      <c r="K3" s="10" t="s">
        <v>51</v>
      </c>
      <c r="L3" s="10" t="s">
        <v>51</v>
      </c>
      <c r="M3" s="10" t="s">
        <v>1397</v>
      </c>
      <c r="N3" t="str">
        <f t="shared" si="0"/>
        <v>Exclude</v>
      </c>
      <c r="O3" s="40" t="s">
        <v>5564</v>
      </c>
    </row>
    <row r="4" spans="1:15">
      <c r="A4" t="s">
        <v>4274</v>
      </c>
      <c r="B4" s="39" t="str">
        <f>HYPERLINK('citations-it3-studies'!$D6,'citations-it3-studies'!$B6)</f>
        <v>SCADA Systems With Focus on Continuous Manufacturing and Steel Industry: A Survey on Architectures, Standards, Challenges and Industry 5.0</v>
      </c>
      <c r="C4">
        <f>'citations-it3-studies'!$C6</f>
        <v>2022</v>
      </c>
      <c r="D4">
        <f>'citations-it3-studies'!$H6</f>
        <v>36</v>
      </c>
      <c r="E4" t="s">
        <v>1398</v>
      </c>
      <c r="F4" s="10" t="s">
        <v>51</v>
      </c>
      <c r="G4" s="10" t="s">
        <v>51</v>
      </c>
      <c r="H4" s="10" t="s">
        <v>51</v>
      </c>
      <c r="I4" s="10" t="s">
        <v>51</v>
      </c>
      <c r="J4" s="10" t="s">
        <v>1397</v>
      </c>
      <c r="K4" s="10" t="s">
        <v>51</v>
      </c>
      <c r="L4" s="10" t="s">
        <v>51</v>
      </c>
      <c r="M4" s="10" t="s">
        <v>1397</v>
      </c>
      <c r="N4" t="str">
        <f t="shared" si="0"/>
        <v>Exclude</v>
      </c>
      <c r="O4" s="40" t="s">
        <v>5562</v>
      </c>
    </row>
    <row r="5" spans="1:15">
      <c r="A5" t="s">
        <v>4274</v>
      </c>
      <c r="B5" s="39" t="str">
        <f>HYPERLINK('citations-it3-studies'!$D7,'citations-it3-studies'!$B7)</f>
        <v>AUTOSAR AP and ROS 2 Collaboration Framework</v>
      </c>
      <c r="C5">
        <f>'citations-it3-studies'!$C7</f>
        <v>2024</v>
      </c>
      <c r="D5">
        <f>'citations-it3-studies'!$H7</f>
        <v>8</v>
      </c>
      <c r="E5" t="s">
        <v>1398</v>
      </c>
      <c r="F5" s="10" t="s">
        <v>51</v>
      </c>
      <c r="G5" s="10" t="s">
        <v>51</v>
      </c>
      <c r="H5" s="10" t="s">
        <v>1397</v>
      </c>
      <c r="I5" s="10" t="s">
        <v>51</v>
      </c>
      <c r="J5" s="10" t="s">
        <v>51</v>
      </c>
      <c r="K5" s="10" t="s">
        <v>51</v>
      </c>
      <c r="L5" s="10" t="s">
        <v>51</v>
      </c>
      <c r="M5" s="10"/>
      <c r="N5" t="str">
        <f t="shared" si="0"/>
        <v>Exclude</v>
      </c>
      <c r="O5" s="10" t="s">
        <v>5572</v>
      </c>
    </row>
    <row r="6" spans="1:15">
      <c r="A6" t="s">
        <v>4274</v>
      </c>
      <c r="B6" s="39" t="str">
        <f>HYPERLINK('citations-it3-studies'!$D9,'citations-it3-studies'!$B9)</f>
        <v>AUTOSAR AP and ROS 2 Collaboration Framework for Development in Cloud Environment</v>
      </c>
      <c r="C6">
        <f>'citations-it3-studies'!$C9</f>
        <v>2025</v>
      </c>
      <c r="D6">
        <f>'citations-it3-studies'!$H9</f>
        <v>13</v>
      </c>
      <c r="E6" t="s">
        <v>1398</v>
      </c>
      <c r="F6" s="9" t="s">
        <v>51</v>
      </c>
      <c r="G6" s="9" t="s">
        <v>51</v>
      </c>
      <c r="H6" s="9" t="s">
        <v>1397</v>
      </c>
      <c r="I6" s="9" t="s">
        <v>51</v>
      </c>
      <c r="J6" s="9" t="s">
        <v>51</v>
      </c>
      <c r="K6" s="9" t="s">
        <v>51</v>
      </c>
      <c r="L6" s="9" t="s">
        <v>51</v>
      </c>
      <c r="M6" s="10"/>
      <c r="N6" t="str">
        <f t="shared" si="0"/>
        <v>Exclude</v>
      </c>
      <c r="O6" s="9" t="s">
        <v>5572</v>
      </c>
    </row>
    <row r="7" spans="1:15">
      <c r="A7" t="s">
        <v>4274</v>
      </c>
      <c r="B7" s="39" t="str">
        <f>HYPERLINK('citations-it3-studies'!$D10,'citations-it3-studies'!$B10)</f>
        <v>Edge- AI and Internet of Things for Intelligent Systems: Architectures, Applications and Future Perspectives</v>
      </c>
      <c r="C7">
        <f>'citations-it3-studies'!$C10</f>
        <v>2025</v>
      </c>
      <c r="D7">
        <f>'citations-it3-studies'!$H10</f>
        <v>12</v>
      </c>
      <c r="E7" t="s">
        <v>1398</v>
      </c>
      <c r="F7" s="10" t="s">
        <v>51</v>
      </c>
      <c r="G7" s="10" t="s">
        <v>51</v>
      </c>
      <c r="H7" s="10" t="s">
        <v>1397</v>
      </c>
      <c r="I7" s="10" t="s">
        <v>51</v>
      </c>
      <c r="J7" s="10" t="s">
        <v>51</v>
      </c>
      <c r="K7" s="10" t="s">
        <v>51</v>
      </c>
      <c r="L7" s="10" t="s">
        <v>51</v>
      </c>
      <c r="M7" s="10" t="s">
        <v>1397</v>
      </c>
      <c r="N7" t="str">
        <f t="shared" si="0"/>
        <v>Exclude</v>
      </c>
      <c r="O7" s="40" t="s">
        <v>5566</v>
      </c>
    </row>
    <row r="8" spans="1:15">
      <c r="A8" t="s">
        <v>4274</v>
      </c>
      <c r="B8" s="39" t="str">
        <f>HYPERLINK('citations-it3-studies'!$D16,'citations-it3-studies'!$B16)</f>
        <v>Industry 5.0: An Extended Experimental Case for Implementing a Multi-Level Framework for Enterprise Integration</v>
      </c>
      <c r="C8">
        <f>'citations-it3-studies'!$C16</f>
        <v>2026</v>
      </c>
      <c r="D8">
        <f>'citations-it3-studies'!$H16</f>
        <v>15</v>
      </c>
      <c r="E8" t="s">
        <v>1398</v>
      </c>
      <c r="F8" s="9" t="s">
        <v>51</v>
      </c>
      <c r="G8" s="9" t="s">
        <v>51</v>
      </c>
      <c r="H8" s="9" t="s">
        <v>51</v>
      </c>
      <c r="I8" s="9" t="s">
        <v>51</v>
      </c>
      <c r="J8" s="9" t="s">
        <v>51</v>
      </c>
      <c r="K8" s="9" t="s">
        <v>51</v>
      </c>
      <c r="L8" s="9" t="s">
        <v>1397</v>
      </c>
      <c r="M8" s="9" t="s">
        <v>1397</v>
      </c>
      <c r="N8" t="str">
        <f t="shared" si="0"/>
        <v>Exclude</v>
      </c>
      <c r="O8" s="41" t="s">
        <v>5563</v>
      </c>
    </row>
    <row r="9" spans="1:15">
      <c r="A9" t="s">
        <v>4274</v>
      </c>
      <c r="B9" s="39" t="str">
        <f>HYPERLINK('citations-it3-studies'!$D17,'citations-it3-studies'!$B17)</f>
        <v>Monitor and Analyze Rare ROS2 Performance Issues with A Unified Tracing Framework</v>
      </c>
      <c r="C9">
        <f>'citations-it3-studies'!$C17</f>
        <v>2024</v>
      </c>
      <c r="D9">
        <f>'citations-it3-studies'!$H17</f>
        <v>10</v>
      </c>
      <c r="E9" t="s">
        <v>1398</v>
      </c>
      <c r="F9" s="9" t="s">
        <v>51</v>
      </c>
      <c r="G9" s="9" t="s">
        <v>51</v>
      </c>
      <c r="H9" s="9" t="s">
        <v>1397</v>
      </c>
      <c r="I9" s="9" t="s">
        <v>51</v>
      </c>
      <c r="J9" s="9" t="s">
        <v>51</v>
      </c>
      <c r="K9" s="9" t="s">
        <v>51</v>
      </c>
      <c r="L9" s="9" t="s">
        <v>51</v>
      </c>
      <c r="M9" s="10"/>
      <c r="N9" t="str">
        <f>IF(COUNTIF(F9:M9,"X")&gt;0,"Exclude",IF(UPPER(TRIM(E9))="O","Include",""))</f>
        <v>Exclude</v>
      </c>
      <c r="O9" s="9" t="s">
        <v>5572</v>
      </c>
    </row>
    <row r="10" spans="1:15">
      <c r="A10" t="s">
        <v>4274</v>
      </c>
      <c r="B10" s="39" t="str">
        <f>HYPERLINK('citations-it3-studies'!$D18,'citations-it3-studies'!$B18)</f>
        <v>Stepping Toward Zenoh Protocol in Automotive Scenarios</v>
      </c>
      <c r="C10">
        <f>'citations-it3-studies'!$C18</f>
        <v>2025</v>
      </c>
      <c r="D10">
        <f>'citations-it3-studies'!$H18</f>
        <v>14</v>
      </c>
      <c r="E10" t="s">
        <v>1398</v>
      </c>
      <c r="F10" s="9" t="s">
        <v>51</v>
      </c>
      <c r="G10" s="9" t="s">
        <v>51</v>
      </c>
      <c r="H10" s="9" t="s">
        <v>1397</v>
      </c>
      <c r="I10" s="9" t="s">
        <v>51</v>
      </c>
      <c r="J10" s="9" t="s">
        <v>51</v>
      </c>
      <c r="K10" s="9" t="s">
        <v>51</v>
      </c>
      <c r="L10" s="9" t="s">
        <v>51</v>
      </c>
      <c r="M10" s="9" t="s">
        <v>1397</v>
      </c>
      <c r="N10" t="str">
        <f t="shared" si="0"/>
        <v>Exclude</v>
      </c>
      <c r="O10" s="41" t="s">
        <v>5565</v>
      </c>
    </row>
    <row r="11" spans="1:15">
      <c r="A11" t="s">
        <v>4275</v>
      </c>
      <c r="B11" s="39" t="str">
        <f>HYPERLINK('references-it3-studies'!$D2,'references-it3-studies'!$B2)</f>
        <v>Improving OPC UA Publish-Subscribe Mechanism over UDP with Synchronization Algorithm and Multithreading Broker Application.</v>
      </c>
      <c r="C11">
        <f>'references-it3-studies'!$C2</f>
        <v>2020</v>
      </c>
      <c r="D11">
        <f>'references-it3-studies'!$H2</f>
        <v>0</v>
      </c>
      <c r="E11" t="s">
        <v>1398</v>
      </c>
      <c r="F11" s="9" t="s">
        <v>51</v>
      </c>
      <c r="G11" s="9" t="s">
        <v>51</v>
      </c>
      <c r="H11" s="9" t="s">
        <v>51</v>
      </c>
      <c r="I11" s="9" t="s">
        <v>51</v>
      </c>
      <c r="J11" s="9" t="s">
        <v>51</v>
      </c>
      <c r="K11" s="9" t="s">
        <v>51</v>
      </c>
      <c r="L11" s="9" t="s">
        <v>1397</v>
      </c>
      <c r="M11" s="9"/>
      <c r="N11" t="str">
        <f t="shared" ref="N11:N25" si="1">IF(COUNTIF(F11:M11,"X")&gt;0,"Exclude",IF(UPPER(TRIM(E11))="O","Include",""))</f>
        <v>Exclude</v>
      </c>
      <c r="O11" s="10" t="s">
        <v>5569</v>
      </c>
    </row>
    <row r="12" spans="1:15">
      <c r="A12" t="s">
        <v>4275</v>
      </c>
      <c r="B12" s="39" t="str">
        <f>HYPERLINK('references-it3-studies'!$D3,'references-it3-studies'!$B3)</f>
        <v>A Proposal to Improve Interoperability in the Industry 4.0 Based on the Open Platform Communications Unified Architecture Standard</v>
      </c>
      <c r="C12">
        <f>'references-it3-studies'!$C3</f>
        <v>2021</v>
      </c>
      <c r="D12">
        <f>'references-it3-studies'!$H3</f>
        <v>0</v>
      </c>
      <c r="E12" t="s">
        <v>1398</v>
      </c>
      <c r="F12" s="10" t="s">
        <v>51</v>
      </c>
      <c r="G12" s="10" t="s">
        <v>51</v>
      </c>
      <c r="H12" s="10" t="s">
        <v>51</v>
      </c>
      <c r="I12" s="10" t="s">
        <v>51</v>
      </c>
      <c r="J12" s="10" t="s">
        <v>51</v>
      </c>
      <c r="K12" s="10" t="s">
        <v>51</v>
      </c>
      <c r="L12" s="10" t="s">
        <v>1397</v>
      </c>
      <c r="M12" s="10" t="s">
        <v>1397</v>
      </c>
      <c r="N12" t="str">
        <f t="shared" si="1"/>
        <v>Exclude</v>
      </c>
      <c r="O12" s="40" t="s">
        <v>5563</v>
      </c>
    </row>
    <row r="13" spans="1:15">
      <c r="A13" t="s">
        <v>4275</v>
      </c>
      <c r="B13" s="39" t="str">
        <f>HYPERLINK('references-it3-studies'!$D4,'references-it3-studies'!$B4)</f>
        <v>INDIN - Achieving interoperability using low-cost middleware OPC UA wrapping structure. Case study in the water industry</v>
      </c>
      <c r="C13">
        <f>'references-it3-studies'!$C4</f>
        <v>2017</v>
      </c>
      <c r="D13">
        <f>'references-it3-studies'!$H4</f>
        <v>6</v>
      </c>
      <c r="E13" t="s">
        <v>1398</v>
      </c>
      <c r="F13" s="9" t="s">
        <v>51</v>
      </c>
      <c r="G13" s="9" t="s">
        <v>51</v>
      </c>
      <c r="H13" s="9" t="s">
        <v>51</v>
      </c>
      <c r="I13" s="9" t="s">
        <v>51</v>
      </c>
      <c r="J13" s="9" t="s">
        <v>51</v>
      </c>
      <c r="K13" s="9" t="s">
        <v>51</v>
      </c>
      <c r="L13" s="9" t="s">
        <v>1397</v>
      </c>
      <c r="M13" s="9" t="s">
        <v>1397</v>
      </c>
      <c r="N13" t="str">
        <f t="shared" si="1"/>
        <v>Exclude</v>
      </c>
      <c r="O13" s="41" t="s">
        <v>5563</v>
      </c>
    </row>
    <row r="14" spans="1:15">
      <c r="A14" t="s">
        <v>4275</v>
      </c>
      <c r="B14" s="39" t="str">
        <f>HYPERLINK('references-it3-studies'!$D5,'references-it3-studies'!$B5)</f>
        <v>SysCon - Performance Study of the Robot Operating System 2 with QoS and Cyber Security Settings</v>
      </c>
      <c r="C14">
        <f>'references-it3-studies'!$C5</f>
        <v>2020</v>
      </c>
      <c r="D14">
        <f>'references-it3-studies'!$H5</f>
        <v>6</v>
      </c>
      <c r="E14" t="s">
        <v>1398</v>
      </c>
      <c r="F14" s="10" t="s">
        <v>51</v>
      </c>
      <c r="G14" s="10" t="s">
        <v>51</v>
      </c>
      <c r="H14" s="10" t="s">
        <v>1397</v>
      </c>
      <c r="I14" s="10" t="s">
        <v>51</v>
      </c>
      <c r="J14" s="10" t="s">
        <v>51</v>
      </c>
      <c r="K14" s="10" t="s">
        <v>51</v>
      </c>
      <c r="L14" s="10" t="s">
        <v>51</v>
      </c>
      <c r="M14" s="10" t="s">
        <v>1397</v>
      </c>
      <c r="N14" t="str">
        <f t="shared" si="1"/>
        <v>Exclude</v>
      </c>
      <c r="O14" s="40" t="s">
        <v>5565</v>
      </c>
    </row>
    <row r="15" spans="1:15">
      <c r="A15" t="s">
        <v>4275</v>
      </c>
      <c r="B15" s="39" t="str">
        <f>HYPERLINK('references-it3-studies'!$D7,'references-it3-studies'!$B7)</f>
        <v>Information Distribution in Multi-Robot Systems: Utility-Based Evaluation Model</v>
      </c>
      <c r="C15">
        <f>'references-it3-studies'!$C7</f>
        <v>2020</v>
      </c>
      <c r="D15">
        <f>'references-it3-studies'!$H7</f>
        <v>0</v>
      </c>
      <c r="E15" t="s">
        <v>1398</v>
      </c>
      <c r="F15" s="10" t="s">
        <v>51</v>
      </c>
      <c r="G15" s="10" t="s">
        <v>51</v>
      </c>
      <c r="H15" s="10" t="s">
        <v>1397</v>
      </c>
      <c r="I15" s="10" t="s">
        <v>51</v>
      </c>
      <c r="J15" s="10" t="s">
        <v>51</v>
      </c>
      <c r="K15" s="10" t="s">
        <v>51</v>
      </c>
      <c r="L15" s="10" t="s">
        <v>51</v>
      </c>
      <c r="M15" s="10" t="s">
        <v>1397</v>
      </c>
      <c r="N15" t="str">
        <f t="shared" si="1"/>
        <v>Exclude</v>
      </c>
      <c r="O15" s="40" t="s">
        <v>5565</v>
      </c>
    </row>
    <row r="16" spans="1:15">
      <c r="A16" t="s">
        <v>4275</v>
      </c>
      <c r="B16" s="39" t="str">
        <f>HYPERLINK('references-it3-studies'!$D8,'references-it3-studies'!$B8)</f>
        <v>OPC UA Publish-Subscribe and VSOME/IP Notify-Subscribe Based Gateway Application in the Context of Car to Infrastructure Communication.</v>
      </c>
      <c r="C16">
        <f>'references-it3-studies'!$C8</f>
        <v>2020</v>
      </c>
      <c r="D16">
        <f>'references-it3-studies'!$H8</f>
        <v>0</v>
      </c>
      <c r="E16" t="s">
        <v>1398</v>
      </c>
      <c r="F16" s="9" t="s">
        <v>51</v>
      </c>
      <c r="G16" s="9" t="s">
        <v>51</v>
      </c>
      <c r="H16" s="9" t="s">
        <v>51</v>
      </c>
      <c r="I16" s="9" t="s">
        <v>51</v>
      </c>
      <c r="J16" s="9" t="s">
        <v>51</v>
      </c>
      <c r="K16" s="9" t="s">
        <v>51</v>
      </c>
      <c r="L16" s="9" t="s">
        <v>1397</v>
      </c>
      <c r="M16" s="9" t="s">
        <v>1397</v>
      </c>
      <c r="N16" t="str">
        <f t="shared" si="1"/>
        <v>Exclude</v>
      </c>
      <c r="O16" s="41" t="s">
        <v>5563</v>
      </c>
    </row>
    <row r="17" spans="1:31">
      <c r="A17" t="s">
        <v>4275</v>
      </c>
      <c r="B17" s="39" t="str">
        <f>HYPERLINK('references-it3-studies'!$D9,'references-it3-studies'!$B9)</f>
        <v>An Optimized, Data Distribution Service-Based Solution for Reliable Data Exchange Among Autonomous Underwater Vehicles</v>
      </c>
      <c r="C17">
        <f>'references-it3-studies'!$C9</f>
        <v>2017</v>
      </c>
      <c r="D17">
        <f>'references-it3-studies'!$H9</f>
        <v>0</v>
      </c>
      <c r="E17" t="s">
        <v>1398</v>
      </c>
      <c r="F17" s="10" t="s">
        <v>51</v>
      </c>
      <c r="G17" s="10" t="s">
        <v>51</v>
      </c>
      <c r="H17" s="10" t="s">
        <v>1397</v>
      </c>
      <c r="I17" s="10" t="s">
        <v>51</v>
      </c>
      <c r="J17" s="10" t="s">
        <v>51</v>
      </c>
      <c r="K17" s="10" t="s">
        <v>51</v>
      </c>
      <c r="L17" s="10" t="s">
        <v>51</v>
      </c>
      <c r="M17" s="10" t="s">
        <v>1397</v>
      </c>
      <c r="N17" t="str">
        <f t="shared" si="1"/>
        <v>Exclude</v>
      </c>
      <c r="O17" s="40" t="s">
        <v>5565</v>
      </c>
    </row>
    <row r="18" spans="1:31">
      <c r="A18" t="s">
        <v>4275</v>
      </c>
      <c r="B18" s="39" t="str">
        <f>HYPERLINK('references-it3-studies'!$D10,'references-it3-studies'!$B10)</f>
        <v>SysCon - Evaluation of the Robot Operating System 2 in Lossy Unmanned Networks</v>
      </c>
      <c r="C18">
        <f>'references-it3-studies'!$C10</f>
        <v>2020</v>
      </c>
      <c r="D18">
        <f>'references-it3-studies'!$H10</f>
        <v>8</v>
      </c>
      <c r="E18" t="s">
        <v>1398</v>
      </c>
      <c r="F18" s="9" t="s">
        <v>51</v>
      </c>
      <c r="G18" s="9" t="s">
        <v>51</v>
      </c>
      <c r="H18" s="9" t="s">
        <v>1397</v>
      </c>
      <c r="I18" s="9" t="s">
        <v>51</v>
      </c>
      <c r="J18" s="9" t="s">
        <v>51</v>
      </c>
      <c r="K18" s="9" t="s">
        <v>51</v>
      </c>
      <c r="L18" s="9" t="s">
        <v>51</v>
      </c>
      <c r="M18" s="9" t="s">
        <v>1397</v>
      </c>
      <c r="N18" t="str">
        <f t="shared" si="1"/>
        <v>Exclude</v>
      </c>
      <c r="O18" s="41" t="s">
        <v>5565</v>
      </c>
    </row>
    <row r="19" spans="1:31">
      <c r="A19" t="s">
        <v>4275</v>
      </c>
      <c r="B19" s="39" t="str">
        <f>HYPERLINK('references-it3-studies'!$D11,'references-it3-studies'!$B11)</f>
        <v>More Sustainability in Industry through Industrial Internet of Things</v>
      </c>
      <c r="C19">
        <f>'references-it3-studies'!$C11</f>
        <v>2018</v>
      </c>
      <c r="D19">
        <f>'references-it3-studies'!$H11</f>
        <v>0</v>
      </c>
      <c r="E19" t="s">
        <v>1398</v>
      </c>
      <c r="F19" s="10" t="s">
        <v>51</v>
      </c>
      <c r="G19" s="10" t="s">
        <v>51</v>
      </c>
      <c r="H19" s="10" t="s">
        <v>51</v>
      </c>
      <c r="I19" s="10" t="s">
        <v>51</v>
      </c>
      <c r="J19" s="10" t="s">
        <v>51</v>
      </c>
      <c r="K19" s="10" t="s">
        <v>51</v>
      </c>
      <c r="L19" s="10" t="s">
        <v>1397</v>
      </c>
      <c r="M19" s="10" t="s">
        <v>1397</v>
      </c>
      <c r="N19" t="str">
        <f t="shared" si="1"/>
        <v>Exclude</v>
      </c>
      <c r="O19" s="40" t="s">
        <v>5563</v>
      </c>
    </row>
    <row r="20" spans="1:31">
      <c r="A20" t="s">
        <v>4275</v>
      </c>
      <c r="B20" s="39" t="str">
        <f>HYPERLINK('references-it3-studies'!$D12,'references-it3-studies'!$B12)</f>
        <v>Data Distribution Service Converter Based on the Open Platform Communications Unified Architecture Publish–Subscribe Protocol</v>
      </c>
      <c r="C20">
        <f>'references-it3-studies'!$C12</f>
        <v>2021</v>
      </c>
      <c r="D20">
        <f>'references-it3-studies'!$H12</f>
        <v>0</v>
      </c>
      <c r="E20" t="s">
        <v>1398</v>
      </c>
      <c r="F20" s="9" t="s">
        <v>51</v>
      </c>
      <c r="G20" s="9" t="s">
        <v>51</v>
      </c>
      <c r="H20" s="9" t="s">
        <v>51</v>
      </c>
      <c r="I20" s="9" t="s">
        <v>51</v>
      </c>
      <c r="J20" s="9" t="s">
        <v>51</v>
      </c>
      <c r="K20" s="9" t="s">
        <v>51</v>
      </c>
      <c r="L20" s="9" t="s">
        <v>1397</v>
      </c>
      <c r="M20" s="9"/>
      <c r="N20" t="str">
        <f t="shared" si="1"/>
        <v>Exclude</v>
      </c>
      <c r="O20" s="10" t="s">
        <v>5570</v>
      </c>
    </row>
    <row r="21" spans="1:31">
      <c r="A21" t="s">
        <v>4275</v>
      </c>
      <c r="B21" s="39" t="str">
        <f>HYPERLINK('references-it3-studies'!$D13,'references-it3-studies'!$B13)</f>
        <v>Towards IoT-Aided Human-Robot Interaction Using NEP and ROS: A Platform-Independent, Accessible and Distributed Approach.</v>
      </c>
      <c r="C21">
        <f>'references-it3-studies'!$C13</f>
        <v>2020</v>
      </c>
      <c r="D21">
        <f>'references-it3-studies'!$H13</f>
        <v>0</v>
      </c>
      <c r="E21" t="s">
        <v>1398</v>
      </c>
      <c r="F21" s="10" t="s">
        <v>51</v>
      </c>
      <c r="G21" s="10" t="s">
        <v>51</v>
      </c>
      <c r="H21" s="10" t="s">
        <v>1397</v>
      </c>
      <c r="I21" s="10" t="s">
        <v>51</v>
      </c>
      <c r="J21" s="10" t="s">
        <v>51</v>
      </c>
      <c r="K21" s="10" t="s">
        <v>51</v>
      </c>
      <c r="L21" s="10" t="s">
        <v>51</v>
      </c>
      <c r="M21" s="10" t="s">
        <v>1397</v>
      </c>
      <c r="N21" t="str">
        <f t="shared" si="1"/>
        <v>Exclude</v>
      </c>
      <c r="O21" s="40" t="s">
        <v>5565</v>
      </c>
    </row>
    <row r="22" spans="1:31">
      <c r="A22" t="s">
        <v>4275</v>
      </c>
      <c r="B22" s="39" t="str">
        <f>HYPERLINK('references-it3-studies'!$D14,'references-it3-studies'!$B14)</f>
        <v>ICE/ITMC - VSOMEIP - OPC UA Gateway Solution for the Automotive Industry</v>
      </c>
      <c r="C22">
        <f>'references-it3-studies'!$C14</f>
        <v>2019</v>
      </c>
      <c r="D22">
        <f>'references-it3-studies'!$H14</f>
        <v>6</v>
      </c>
      <c r="E22" t="s">
        <v>1398</v>
      </c>
      <c r="F22" s="10" t="s">
        <v>51</v>
      </c>
      <c r="G22" s="10" t="s">
        <v>51</v>
      </c>
      <c r="H22" s="10" t="s">
        <v>1397</v>
      </c>
      <c r="I22" s="10"/>
      <c r="J22" s="10"/>
      <c r="K22" s="10"/>
      <c r="L22" s="10"/>
      <c r="M22" s="10" t="s">
        <v>1397</v>
      </c>
      <c r="N22" t="str">
        <f t="shared" si="1"/>
        <v>Exclude</v>
      </c>
      <c r="O22" s="40" t="s">
        <v>5691</v>
      </c>
    </row>
    <row r="23" spans="1:31">
      <c r="A23" t="s">
        <v>4275</v>
      </c>
      <c r="B23" s="39" t="str">
        <f>HYPERLINK('references-it3-studies'!$D15,'references-it3-studies'!$B15)</f>
        <v>ETFA - Non-Invasive Control Solution inside Higher-Level OPC UA based Wrapper for Optimizing Groups of Wastewater Systems</v>
      </c>
      <c r="C23">
        <f>'references-it3-studies'!$C15</f>
        <v>2018</v>
      </c>
      <c r="D23">
        <f>'references-it3-studies'!$H15</f>
        <v>8</v>
      </c>
      <c r="E23" t="s">
        <v>1398</v>
      </c>
      <c r="F23" s="9" t="s">
        <v>51</v>
      </c>
      <c r="G23" s="9" t="s">
        <v>51</v>
      </c>
      <c r="H23" s="9" t="s">
        <v>51</v>
      </c>
      <c r="I23" s="9"/>
      <c r="J23" s="9"/>
      <c r="K23" s="9"/>
      <c r="L23" s="9"/>
      <c r="M23" s="9" t="s">
        <v>1397</v>
      </c>
      <c r="N23" t="str">
        <f t="shared" si="1"/>
        <v>Exclude</v>
      </c>
      <c r="O23" s="50" t="s">
        <v>5692</v>
      </c>
    </row>
    <row r="24" spans="1:31">
      <c r="A24" t="s">
        <v>4275</v>
      </c>
      <c r="B24" s="39" t="str">
        <f>HYPERLINK('references-it3-studies'!$D16,'references-it3-studies'!$B16)</f>
        <v>Process Automation in an IoT–Fog–Cloud Ecosystem: A Survey and Taxonomy</v>
      </c>
      <c r="C24">
        <f>'references-it3-studies'!$C16</f>
        <v>2021</v>
      </c>
      <c r="D24">
        <f>'references-it3-studies'!$H16</f>
        <v>27</v>
      </c>
      <c r="E24" t="s">
        <v>1398</v>
      </c>
      <c r="F24" s="10" t="s">
        <v>51</v>
      </c>
      <c r="G24" s="10" t="s">
        <v>51</v>
      </c>
      <c r="H24" s="10" t="s">
        <v>51</v>
      </c>
      <c r="I24" s="10" t="s">
        <v>51</v>
      </c>
      <c r="J24" s="10" t="s">
        <v>1397</v>
      </c>
      <c r="K24" s="10" t="s">
        <v>51</v>
      </c>
      <c r="L24" s="10" t="s">
        <v>51</v>
      </c>
      <c r="M24" s="10" t="s">
        <v>1397</v>
      </c>
      <c r="N24" t="str">
        <f t="shared" si="1"/>
        <v>Exclude</v>
      </c>
      <c r="O24" s="40" t="s">
        <v>5567</v>
      </c>
    </row>
    <row r="25" spans="1:31">
      <c r="A25" t="s">
        <v>4275</v>
      </c>
      <c r="B25" s="39" t="str">
        <f>HYPERLINK('references-it3-studies'!$D17,'references-it3-studies'!$B17)</f>
        <v>FDDS: An Integrated Conceptual FDDS Framework for DDS Based Middleware</v>
      </c>
      <c r="C25">
        <f>'references-it3-studies'!$C17</f>
        <v>2019</v>
      </c>
      <c r="D25">
        <f>'references-it3-studies'!$H17</f>
        <v>5</v>
      </c>
      <c r="E25" t="s">
        <v>1398</v>
      </c>
      <c r="F25" s="9" t="s">
        <v>51</v>
      </c>
      <c r="G25" s="9" t="s">
        <v>51</v>
      </c>
      <c r="H25" s="9" t="s">
        <v>51</v>
      </c>
      <c r="I25" s="9" t="s">
        <v>51</v>
      </c>
      <c r="J25" s="9" t="s">
        <v>51</v>
      </c>
      <c r="K25" s="9" t="s">
        <v>51</v>
      </c>
      <c r="L25" s="9" t="s">
        <v>1397</v>
      </c>
      <c r="M25" s="9"/>
      <c r="N25" t="str">
        <f t="shared" si="1"/>
        <v>Exclude</v>
      </c>
      <c r="O25" s="10" t="s">
        <v>5568</v>
      </c>
    </row>
    <row r="26" spans="1:31">
      <c r="A26" t="s">
        <v>4275</v>
      </c>
      <c r="B26" s="39" t="str">
        <f>HYPERLINK('references-it3-studies'!$D18,'references-it3-studies'!$B18)</f>
        <v>ETFA - Real-time capable OPC-UA Programs over TSN for distributed industrial control</v>
      </c>
      <c r="C26">
        <f>'references-it3-studies'!$C18</f>
        <v>2020</v>
      </c>
      <c r="D26">
        <f>'references-it3-studies'!$H18</f>
        <v>8</v>
      </c>
      <c r="E26" t="s">
        <v>1398</v>
      </c>
      <c r="F26" s="10"/>
      <c r="G26" s="10"/>
      <c r="H26" s="10"/>
      <c r="I26" s="10"/>
      <c r="J26" s="10"/>
      <c r="K26" s="10"/>
      <c r="L26" s="10" t="s">
        <v>1397</v>
      </c>
      <c r="M26" s="10" t="s">
        <v>1397</v>
      </c>
      <c r="N26" t="str">
        <f t="shared" ref="N26:N27" si="2">IF(COUNTIF(F26:M26,"X")&gt;0,"Exclude",IF(UPPER(TRIM(E26))="O","Include",""))</f>
        <v>Exclude</v>
      </c>
      <c r="O26" t="s">
        <v>5697</v>
      </c>
      <c r="U26" s="2" t="s">
        <v>1522</v>
      </c>
      <c r="V26" t="s">
        <v>1406</v>
      </c>
      <c r="W26" t="s">
        <v>1407</v>
      </c>
      <c r="Y26" s="2" t="s">
        <v>1523</v>
      </c>
      <c r="Z26" t="s">
        <v>1406</v>
      </c>
      <c r="AA26" t="s">
        <v>1407</v>
      </c>
      <c r="AC26" s="23" t="s">
        <v>1524</v>
      </c>
      <c r="AD26" s="18" t="s">
        <v>1406</v>
      </c>
      <c r="AE26" s="21" t="s">
        <v>1407</v>
      </c>
    </row>
    <row r="27" spans="1:31">
      <c r="A27" t="s">
        <v>4275</v>
      </c>
      <c r="B27" s="39" t="str">
        <f>HYPERLINK('references-it3-studies'!$D19,'references-it3-studies'!$B19)</f>
        <v>Approaching OPC UA Publish–Subscribe in the Context of UDP-Based Multi-Channel Communication and Image Transmission</v>
      </c>
      <c r="C27">
        <f>'references-it3-studies'!$C19</f>
        <v>2021</v>
      </c>
      <c r="D27">
        <f>'references-it3-studies'!$H19</f>
        <v>0</v>
      </c>
      <c r="E27" t="s">
        <v>1398</v>
      </c>
      <c r="F27" s="9"/>
      <c r="G27" s="9"/>
      <c r="H27" s="9"/>
      <c r="I27" s="9"/>
      <c r="J27" s="9"/>
      <c r="K27" s="9"/>
      <c r="L27" s="9" t="s">
        <v>1397</v>
      </c>
      <c r="M27" s="9" t="s">
        <v>1397</v>
      </c>
      <c r="N27" t="str">
        <f t="shared" si="2"/>
        <v>Exclude</v>
      </c>
      <c r="O27" t="s">
        <v>5697</v>
      </c>
      <c r="U27" t="s">
        <v>1403</v>
      </c>
      <c r="V27" s="1">
        <f>COUNTIF(A2:A1959,"&lt;&gt;")</f>
        <v>26</v>
      </c>
      <c r="Y27" t="s">
        <v>1403</v>
      </c>
      <c r="Z27" s="1">
        <f>COUNTIF($A2:$A1959,"&lt;&gt;")</f>
        <v>26</v>
      </c>
      <c r="AC27" s="19" t="s">
        <v>1403</v>
      </c>
      <c r="AD27" s="24">
        <f>Z29</f>
        <v>7</v>
      </c>
      <c r="AE27" s="22"/>
    </row>
    <row r="28" spans="1:31">
      <c r="F28" s="10"/>
      <c r="G28" s="10"/>
      <c r="H28" s="10"/>
      <c r="I28" s="10"/>
      <c r="J28" s="10"/>
      <c r="K28" s="10"/>
      <c r="L28" s="10"/>
      <c r="M28" s="10"/>
      <c r="U28" t="s">
        <v>1404</v>
      </c>
      <c r="V28">
        <f>COUNTIF(N2:N1959,"Exclude")</f>
        <v>26</v>
      </c>
      <c r="W28" s="15">
        <f>((V28/V27))</f>
        <v>1</v>
      </c>
      <c r="Y28" t="s">
        <v>1404</v>
      </c>
      <c r="Z28">
        <f>COUNTIFS($N2:$N1959,"Exclude",$M2:$M1959,"X")</f>
        <v>19</v>
      </c>
      <c r="AA28" s="15">
        <f>((Z28/Z27))</f>
        <v>0.73076923076923073</v>
      </c>
      <c r="AC28" s="19" t="s">
        <v>1404</v>
      </c>
      <c r="AD28" s="20">
        <f>COUNTIFS($N2:$N1959,"Exclude",$M2:$M1959,"&lt;&gt;X")</f>
        <v>7</v>
      </c>
      <c r="AE28" s="25">
        <f>((AD28/AD27))</f>
        <v>1</v>
      </c>
    </row>
    <row r="29" spans="1:31">
      <c r="F29" s="9"/>
      <c r="G29" s="9"/>
      <c r="H29" s="9"/>
      <c r="I29" s="9"/>
      <c r="J29" s="9"/>
      <c r="K29" s="9"/>
      <c r="L29" s="9"/>
      <c r="M29" s="9"/>
      <c r="U29" t="s">
        <v>1405</v>
      </c>
      <c r="V29">
        <f>COUNTIF(N2:N1959,"Include")</f>
        <v>0</v>
      </c>
      <c r="W29" s="15">
        <f>((V29/V27))</f>
        <v>0</v>
      </c>
      <c r="Y29" t="s">
        <v>1405</v>
      </c>
      <c r="Z29">
        <f>COUNTIFS($M2:$M1959,"&lt;&gt;X",$E2:$E1959,"O")</f>
        <v>7</v>
      </c>
      <c r="AA29" s="15">
        <f>((Z29/Z27))</f>
        <v>0.26923076923076922</v>
      </c>
      <c r="AC29" s="19" t="s">
        <v>1405</v>
      </c>
      <c r="AD29" s="20">
        <f>COUNTIFS($N2:$N1959,"Include", $M2:$M1959,"&lt;&gt;X")</f>
        <v>0</v>
      </c>
      <c r="AE29" s="25">
        <f>((AD29/AD27))</f>
        <v>0</v>
      </c>
    </row>
    <row r="30" spans="1:31">
      <c r="F30" s="10"/>
      <c r="G30" s="10"/>
      <c r="H30" s="10"/>
      <c r="I30" s="10"/>
      <c r="J30" s="10"/>
      <c r="K30" s="10"/>
      <c r="L30" s="10"/>
      <c r="M30" s="10"/>
      <c r="U30" s="2" t="s">
        <v>1408</v>
      </c>
      <c r="Y30" s="2" t="s">
        <v>1408</v>
      </c>
      <c r="AC30" s="26" t="s">
        <v>1408</v>
      </c>
      <c r="AD30" s="20"/>
      <c r="AE30" s="22"/>
    </row>
    <row r="31" spans="1:31">
      <c r="F31" s="9"/>
      <c r="G31" s="9"/>
      <c r="H31" s="9"/>
      <c r="I31" s="9"/>
      <c r="J31" s="9"/>
      <c r="K31" s="9"/>
      <c r="L31" s="9"/>
      <c r="M31" s="9"/>
      <c r="U31" t="s">
        <v>3</v>
      </c>
      <c r="V31">
        <f>COUNTIF($F$2:$F$1959,"X")</f>
        <v>0</v>
      </c>
      <c r="W31" s="15">
        <f t="shared" ref="W31:W38" si="3">((V31/V$27))</f>
        <v>0</v>
      </c>
      <c r="Y31" t="s">
        <v>3</v>
      </c>
      <c r="Z31">
        <f>COUNTIFS($F2:$F1959,"X", $M2:$M1959,"X")</f>
        <v>0</v>
      </c>
      <c r="AA31" s="15">
        <f t="shared" ref="AA31:AA37" si="4">((Z31/Z$27))</f>
        <v>0</v>
      </c>
      <c r="AC31" s="19" t="s">
        <v>3</v>
      </c>
      <c r="AD31" s="20">
        <f>COUNTIFS($F2:$F1959,"X", $M2:$M1959,"&lt;&gt;X")</f>
        <v>0</v>
      </c>
      <c r="AE31" s="25">
        <f t="shared" ref="AE31:AE37" si="5">((AD31/AD$27))</f>
        <v>0</v>
      </c>
    </row>
    <row r="32" spans="1:31">
      <c r="F32" s="10"/>
      <c r="G32" s="10"/>
      <c r="H32" s="10"/>
      <c r="I32" s="10"/>
      <c r="J32" s="10"/>
      <c r="K32" s="10"/>
      <c r="L32" s="10"/>
      <c r="M32" s="10"/>
      <c r="U32" t="s">
        <v>4</v>
      </c>
      <c r="V32">
        <f>COUNTIF($G$2:$G$1959,"X")</f>
        <v>0</v>
      </c>
      <c r="W32" s="15">
        <f t="shared" si="3"/>
        <v>0</v>
      </c>
      <c r="Y32" t="s">
        <v>4</v>
      </c>
      <c r="Z32">
        <f>COUNTIFS($G2:$G1959,"X", $M2:$M1959,"X")</f>
        <v>0</v>
      </c>
      <c r="AA32" s="15">
        <f t="shared" si="4"/>
        <v>0</v>
      </c>
      <c r="AC32" s="19" t="s">
        <v>4</v>
      </c>
      <c r="AD32" s="20">
        <f>COUNTIFS($G2:$G1959,"X", $M2:$M1959,"&lt;&gt;X")</f>
        <v>0</v>
      </c>
      <c r="AE32" s="25">
        <f t="shared" si="5"/>
        <v>0</v>
      </c>
    </row>
    <row r="33" spans="2:31">
      <c r="F33" s="9"/>
      <c r="G33" s="9"/>
      <c r="H33" s="9"/>
      <c r="I33" s="9"/>
      <c r="J33" s="9"/>
      <c r="K33" s="9"/>
      <c r="L33" s="9"/>
      <c r="M33" s="9"/>
      <c r="U33" t="s">
        <v>328</v>
      </c>
      <c r="V33">
        <f>COUNTIF($H$2:$H$1959,"X")</f>
        <v>12</v>
      </c>
      <c r="W33" s="15">
        <f t="shared" si="3"/>
        <v>0.46153846153846156</v>
      </c>
      <c r="Y33" t="s">
        <v>328</v>
      </c>
      <c r="Z33">
        <f>COUNTIFS($H2:$H1959,"X", $M2:$M1959,"X")</f>
        <v>9</v>
      </c>
      <c r="AA33" s="15">
        <f t="shared" si="4"/>
        <v>0.34615384615384615</v>
      </c>
      <c r="AC33" s="19" t="s">
        <v>328</v>
      </c>
      <c r="AD33" s="20">
        <f>COUNTIFS($H2:$H1959,"X", $M2:$M1959,"&lt;&gt;X")</f>
        <v>3</v>
      </c>
      <c r="AE33" s="25">
        <f t="shared" si="5"/>
        <v>0.42857142857142855</v>
      </c>
    </row>
    <row r="34" spans="2:31">
      <c r="F34" s="10"/>
      <c r="G34" s="10"/>
      <c r="H34" s="10"/>
      <c r="I34" s="10"/>
      <c r="J34" s="10"/>
      <c r="K34" s="10"/>
      <c r="L34" s="10"/>
      <c r="M34" s="10"/>
      <c r="U34" t="s">
        <v>329</v>
      </c>
      <c r="V34">
        <f>COUNTIF($I$2:$I$1959,"X")</f>
        <v>0</v>
      </c>
      <c r="W34" s="15">
        <f t="shared" si="3"/>
        <v>0</v>
      </c>
      <c r="Y34" t="s">
        <v>329</v>
      </c>
      <c r="Z34">
        <f>COUNTIFS($I2:$I1959,"X", $M2:$M1959,"X")</f>
        <v>0</v>
      </c>
      <c r="AA34" s="15">
        <f t="shared" si="4"/>
        <v>0</v>
      </c>
      <c r="AC34" s="19" t="s">
        <v>329</v>
      </c>
      <c r="AD34" s="20">
        <f>COUNTIFS($I2:$I1959,"X", $M2:$M1959,"&lt;&gt;X")</f>
        <v>0</v>
      </c>
      <c r="AE34" s="25">
        <f t="shared" si="5"/>
        <v>0</v>
      </c>
    </row>
    <row r="35" spans="2:31">
      <c r="F35" s="9"/>
      <c r="G35" s="9"/>
      <c r="H35" s="9"/>
      <c r="I35" s="9"/>
      <c r="J35" s="9"/>
      <c r="K35" s="9"/>
      <c r="L35" s="9"/>
      <c r="M35" s="9"/>
      <c r="U35" t="s">
        <v>330</v>
      </c>
      <c r="V35">
        <f>COUNTIF(J$2:J$1959,"X")</f>
        <v>2</v>
      </c>
      <c r="W35" s="15">
        <f t="shared" si="3"/>
        <v>7.6923076923076927E-2</v>
      </c>
      <c r="Y35" t="s">
        <v>330</v>
      </c>
      <c r="Z35">
        <f>COUNTIFS($J2:$J1959,"X", $M2:$M1959,"X")</f>
        <v>2</v>
      </c>
      <c r="AA35" s="15">
        <f t="shared" si="4"/>
        <v>7.6923076923076927E-2</v>
      </c>
      <c r="AC35" s="19" t="s">
        <v>330</v>
      </c>
      <c r="AD35" s="20">
        <f>COUNTIFS($J2:$J1959,"X", $M2:$M1959,"&lt;&gt;X")</f>
        <v>0</v>
      </c>
      <c r="AE35" s="25">
        <f t="shared" si="5"/>
        <v>0</v>
      </c>
    </row>
    <row r="36" spans="2:31">
      <c r="F36" s="10"/>
      <c r="G36" s="10"/>
      <c r="H36" s="10"/>
      <c r="I36" s="10"/>
      <c r="J36" s="10"/>
      <c r="K36" s="10"/>
      <c r="L36" s="10"/>
      <c r="M36" s="10"/>
      <c r="U36" t="s">
        <v>331</v>
      </c>
      <c r="V36">
        <f>COUNTIF($K$2:$K$1959,"X")</f>
        <v>0</v>
      </c>
      <c r="W36" s="15">
        <f t="shared" si="3"/>
        <v>0</v>
      </c>
      <c r="Y36" t="s">
        <v>331</v>
      </c>
      <c r="Z36">
        <f>COUNTIFS($K2:$K1959,"X", $M2:$M1959,"X")</f>
        <v>0</v>
      </c>
      <c r="AA36" s="15">
        <f t="shared" si="4"/>
        <v>0</v>
      </c>
      <c r="AC36" s="19" t="s">
        <v>331</v>
      </c>
      <c r="AD36" s="20">
        <f>COUNTIFS($K2:$K1959,"X", $M2:$M1959,"&lt;&gt;X")</f>
        <v>0</v>
      </c>
      <c r="AE36" s="25">
        <f t="shared" si="5"/>
        <v>0</v>
      </c>
    </row>
    <row r="37" spans="2:31">
      <c r="F37" s="9"/>
      <c r="G37" s="9"/>
      <c r="H37" s="9"/>
      <c r="I37" s="9"/>
      <c r="J37" s="9"/>
      <c r="K37" s="9"/>
      <c r="L37" s="9"/>
      <c r="M37" s="9"/>
      <c r="U37" t="s">
        <v>332</v>
      </c>
      <c r="V37">
        <f>COUNTIF($L$2:$L$1959,"X")</f>
        <v>11</v>
      </c>
      <c r="W37" s="15">
        <f t="shared" si="3"/>
        <v>0.42307692307692307</v>
      </c>
      <c r="Y37" t="s">
        <v>332</v>
      </c>
      <c r="Z37">
        <f>COUNTIFS($L2:$L1959,"X", $M2:$M1959,"X")</f>
        <v>7</v>
      </c>
      <c r="AA37" s="15">
        <f t="shared" si="4"/>
        <v>0.26923076923076922</v>
      </c>
      <c r="AC37" s="27" t="s">
        <v>332</v>
      </c>
      <c r="AD37" s="28">
        <f>COUNTIFS($L2:$L1959,"X", $M2:$M1959,"&lt;&gt;X")</f>
        <v>4</v>
      </c>
      <c r="AE37" s="29">
        <f t="shared" si="5"/>
        <v>0.5714285714285714</v>
      </c>
    </row>
    <row r="38" spans="2:31">
      <c r="F38" s="10"/>
      <c r="G38" s="10"/>
      <c r="H38" s="10"/>
      <c r="I38" s="10"/>
      <c r="J38" s="10"/>
      <c r="K38" s="10"/>
      <c r="L38" s="10"/>
      <c r="M38" s="10"/>
      <c r="U38" t="s">
        <v>1432</v>
      </c>
      <c r="V38">
        <f>COUNTIF($M$2:$M$1959,"X")</f>
        <v>19</v>
      </c>
      <c r="W38" s="15">
        <f t="shared" si="3"/>
        <v>0.73076923076923073</v>
      </c>
      <c r="AA38" s="30"/>
      <c r="AE38" s="15"/>
    </row>
    <row r="39" spans="2:31">
      <c r="F39" s="9"/>
      <c r="G39" s="9"/>
      <c r="H39" s="9"/>
      <c r="I39" s="9"/>
      <c r="J39" s="9"/>
      <c r="K39" s="9"/>
      <c r="L39" s="9"/>
      <c r="M39" s="9"/>
    </row>
    <row r="40" spans="2:31">
      <c r="F40" s="10"/>
      <c r="G40" s="10"/>
      <c r="H40" s="10"/>
      <c r="I40" s="10"/>
      <c r="J40" s="10"/>
      <c r="K40" s="10"/>
      <c r="L40" s="10"/>
      <c r="M40" s="10"/>
    </row>
    <row r="41" spans="2:31">
      <c r="F41" s="9"/>
      <c r="G41" s="9"/>
      <c r="H41" s="9"/>
      <c r="I41" s="9"/>
      <c r="J41" s="9"/>
      <c r="K41" s="9"/>
      <c r="L41" s="9"/>
      <c r="M41" s="9"/>
    </row>
    <row r="42" spans="2:31">
      <c r="B42" s="39"/>
      <c r="F42" s="10"/>
      <c r="G42" s="10"/>
      <c r="H42" s="10"/>
      <c r="I42" s="10"/>
      <c r="J42" s="10"/>
      <c r="K42" s="10"/>
      <c r="L42" s="10"/>
      <c r="M42" s="10"/>
    </row>
    <row r="43" spans="2:31">
      <c r="B43" s="39"/>
      <c r="F43" s="9"/>
      <c r="G43" s="9"/>
      <c r="H43" s="9"/>
      <c r="I43" s="9"/>
      <c r="J43" s="9"/>
      <c r="K43" s="9"/>
      <c r="L43" s="9"/>
      <c r="M43" s="9"/>
    </row>
    <row r="44" spans="2:31">
      <c r="B44" s="39"/>
      <c r="F44" s="10"/>
      <c r="G44" s="10"/>
      <c r="H44" s="10"/>
      <c r="I44" s="10"/>
      <c r="J44" s="10"/>
      <c r="K44" s="10"/>
      <c r="L44" s="10"/>
      <c r="M44" s="10"/>
    </row>
    <row r="45" spans="2:31">
      <c r="B45" s="39"/>
      <c r="F45" s="9"/>
      <c r="G45" s="9"/>
      <c r="H45" s="9"/>
      <c r="I45" s="9"/>
      <c r="J45" s="9"/>
      <c r="K45" s="9"/>
      <c r="L45" s="9"/>
      <c r="M45" s="9"/>
    </row>
    <row r="46" spans="2:31">
      <c r="B46" s="39"/>
      <c r="F46" s="10"/>
      <c r="G46" s="10"/>
      <c r="H46" s="10"/>
      <c r="I46" s="10"/>
      <c r="J46" s="10"/>
      <c r="K46" s="10"/>
      <c r="L46" s="10"/>
      <c r="M46" s="10"/>
    </row>
    <row r="47" spans="2:31">
      <c r="B47" s="39"/>
      <c r="F47" s="9"/>
      <c r="G47" s="9"/>
      <c r="H47" s="9"/>
      <c r="I47" s="9"/>
      <c r="J47" s="9"/>
      <c r="K47" s="9"/>
      <c r="L47" s="9"/>
      <c r="M47" s="9"/>
    </row>
    <row r="48" spans="2:31">
      <c r="B48" s="39"/>
      <c r="F48" s="10"/>
      <c r="G48" s="10"/>
      <c r="H48" s="10"/>
      <c r="I48" s="10"/>
      <c r="J48" s="10"/>
      <c r="K48" s="10"/>
      <c r="L48" s="10"/>
      <c r="M48" s="10"/>
    </row>
    <row r="49" spans="2:13">
      <c r="B49" s="39"/>
      <c r="F49" s="9"/>
      <c r="G49" s="9"/>
      <c r="H49" s="9"/>
      <c r="I49" s="9"/>
      <c r="J49" s="9"/>
      <c r="K49" s="9"/>
      <c r="L49" s="9"/>
      <c r="M49" s="9"/>
    </row>
    <row r="50" spans="2:13">
      <c r="B50" s="39"/>
      <c r="F50" s="10"/>
      <c r="G50" s="10"/>
      <c r="H50" s="10"/>
      <c r="I50" s="10"/>
      <c r="J50" s="10"/>
      <c r="K50" s="10"/>
      <c r="L50" s="10"/>
      <c r="M50" s="10"/>
    </row>
    <row r="51" spans="2:13">
      <c r="B51" s="39"/>
      <c r="F51" s="9"/>
      <c r="G51" s="9"/>
      <c r="H51" s="9"/>
      <c r="I51" s="9"/>
      <c r="J51" s="9"/>
      <c r="K51" s="9"/>
      <c r="L51" s="9"/>
      <c r="M51" s="9"/>
    </row>
    <row r="52" spans="2:13">
      <c r="B52" s="39"/>
      <c r="F52" s="10"/>
      <c r="G52" s="10"/>
      <c r="H52" s="10"/>
      <c r="I52" s="10"/>
      <c r="J52" s="10"/>
      <c r="K52" s="10"/>
      <c r="L52" s="10"/>
      <c r="M52" s="10"/>
    </row>
    <row r="53" spans="2:13">
      <c r="B53" s="39"/>
      <c r="F53" s="9"/>
      <c r="G53" s="9"/>
      <c r="H53" s="9"/>
      <c r="I53" s="9"/>
      <c r="J53" s="9"/>
      <c r="K53" s="9"/>
      <c r="L53" s="9"/>
      <c r="M53" s="9"/>
    </row>
    <row r="54" spans="2:13">
      <c r="B54" s="39"/>
      <c r="F54" s="10"/>
      <c r="G54" s="10"/>
      <c r="H54" s="10"/>
      <c r="I54" s="10"/>
      <c r="J54" s="10"/>
      <c r="K54" s="10"/>
      <c r="L54" s="10"/>
      <c r="M54" s="10"/>
    </row>
    <row r="55" spans="2:13">
      <c r="B55" s="39"/>
      <c r="F55" s="9"/>
      <c r="G55" s="9"/>
      <c r="H55" s="9"/>
      <c r="I55" s="9"/>
      <c r="J55" s="9"/>
      <c r="K55" s="9"/>
      <c r="L55" s="9"/>
      <c r="M55" s="9"/>
    </row>
    <row r="56" spans="2:13">
      <c r="B56" s="39"/>
      <c r="F56" s="10"/>
      <c r="G56" s="10"/>
      <c r="H56" s="10"/>
      <c r="I56" s="10"/>
      <c r="J56" s="10"/>
      <c r="K56" s="10"/>
      <c r="L56" s="10"/>
      <c r="M56" s="10"/>
    </row>
    <row r="57" spans="2:13">
      <c r="B57" s="39"/>
      <c r="F57" s="9"/>
      <c r="G57" s="9"/>
      <c r="H57" s="9"/>
      <c r="I57" s="9"/>
      <c r="J57" s="9"/>
      <c r="K57" s="9"/>
      <c r="L57" s="9"/>
      <c r="M57" s="9"/>
    </row>
    <row r="58" spans="2:13">
      <c r="B58" s="39"/>
      <c r="F58" s="10"/>
      <c r="G58" s="10"/>
      <c r="H58" s="10"/>
      <c r="I58" s="10"/>
      <c r="J58" s="10"/>
      <c r="K58" s="10"/>
      <c r="L58" s="10"/>
      <c r="M58" s="10"/>
    </row>
    <row r="59" spans="2:13">
      <c r="B59" s="39"/>
      <c r="F59" s="9"/>
      <c r="G59" s="9"/>
      <c r="H59" s="9"/>
      <c r="I59" s="9"/>
      <c r="J59" s="9"/>
      <c r="K59" s="9"/>
      <c r="L59" s="9"/>
      <c r="M59" s="9"/>
    </row>
    <row r="60" spans="2:13">
      <c r="B60" s="39"/>
      <c r="F60" s="10"/>
      <c r="G60" s="10"/>
      <c r="H60" s="10"/>
      <c r="I60" s="10"/>
      <c r="J60" s="10"/>
      <c r="K60" s="10"/>
      <c r="L60" s="10"/>
      <c r="M60" s="10"/>
    </row>
    <row r="61" spans="2:13">
      <c r="B61" s="39"/>
      <c r="F61" s="9"/>
      <c r="G61" s="9"/>
      <c r="H61" s="9"/>
      <c r="I61" s="9"/>
      <c r="J61" s="9"/>
      <c r="K61" s="9"/>
      <c r="L61" s="9"/>
      <c r="M61" s="9"/>
    </row>
    <row r="62" spans="2:13">
      <c r="B62" s="39"/>
      <c r="F62" s="10"/>
      <c r="G62" s="10"/>
      <c r="H62" s="10"/>
      <c r="I62" s="10"/>
      <c r="J62" s="10"/>
      <c r="K62" s="10"/>
      <c r="L62" s="10"/>
      <c r="M62" s="10"/>
    </row>
    <row r="63" spans="2:13">
      <c r="B63" s="39"/>
      <c r="F63" s="9"/>
      <c r="G63" s="9"/>
      <c r="H63" s="9"/>
      <c r="I63" s="9"/>
      <c r="J63" s="9"/>
      <c r="K63" s="9"/>
      <c r="L63" s="9"/>
      <c r="M63" s="9"/>
    </row>
    <row r="64" spans="2:13">
      <c r="B64" s="39"/>
      <c r="F64" s="10"/>
      <c r="G64" s="10"/>
      <c r="H64" s="10"/>
      <c r="I64" s="10"/>
      <c r="J64" s="10"/>
      <c r="K64" s="10"/>
      <c r="L64" s="10"/>
      <c r="M64" s="10"/>
    </row>
    <row r="65" spans="2:13">
      <c r="B65" s="39"/>
      <c r="F65" s="9"/>
      <c r="G65" s="9"/>
      <c r="H65" s="9"/>
      <c r="I65" s="9"/>
      <c r="J65" s="9"/>
      <c r="K65" s="9"/>
      <c r="L65" s="9"/>
      <c r="M65" s="9"/>
    </row>
    <row r="66" spans="2:13">
      <c r="B66" s="39"/>
      <c r="F66" s="10"/>
      <c r="G66" s="10"/>
      <c r="H66" s="10"/>
      <c r="I66" s="10"/>
      <c r="J66" s="10"/>
      <c r="K66" s="10"/>
      <c r="L66" s="10"/>
      <c r="M66" s="10"/>
    </row>
    <row r="67" spans="2:13">
      <c r="B67" s="39"/>
      <c r="F67" s="9"/>
      <c r="G67" s="9"/>
      <c r="H67" s="9"/>
      <c r="I67" s="9"/>
      <c r="J67" s="9"/>
      <c r="K67" s="9"/>
      <c r="L67" s="9"/>
      <c r="M67" s="9"/>
    </row>
    <row r="68" spans="2:13">
      <c r="B68" s="39"/>
      <c r="F68" s="10"/>
      <c r="G68" s="10"/>
      <c r="H68" s="10"/>
      <c r="I68" s="10"/>
      <c r="J68" s="10"/>
      <c r="K68" s="10"/>
      <c r="L68" s="10"/>
      <c r="M68" s="10"/>
    </row>
    <row r="69" spans="2:13">
      <c r="B69" s="39"/>
      <c r="F69" s="9"/>
      <c r="G69" s="9"/>
      <c r="H69" s="9"/>
      <c r="I69" s="9"/>
      <c r="J69" s="9"/>
      <c r="K69" s="9"/>
      <c r="L69" s="9"/>
      <c r="M69" s="9"/>
    </row>
    <row r="70" spans="2:13">
      <c r="B70" s="39"/>
      <c r="F70" s="10"/>
      <c r="G70" s="10"/>
      <c r="H70" s="10"/>
      <c r="I70" s="10"/>
      <c r="J70" s="10"/>
      <c r="K70" s="10"/>
      <c r="L70" s="10"/>
      <c r="M70" s="10"/>
    </row>
    <row r="71" spans="2:13">
      <c r="B71" s="39"/>
      <c r="F71" s="9"/>
      <c r="G71" s="9"/>
      <c r="H71" s="9"/>
      <c r="I71" s="9"/>
      <c r="J71" s="9"/>
      <c r="K71" s="9"/>
      <c r="L71" s="9"/>
      <c r="M71" s="9"/>
    </row>
    <row r="72" spans="2:13">
      <c r="B72" s="39"/>
      <c r="F72" s="10"/>
      <c r="G72" s="10"/>
      <c r="H72" s="10"/>
      <c r="I72" s="10"/>
      <c r="J72" s="10"/>
      <c r="K72" s="10"/>
      <c r="L72" s="10"/>
      <c r="M72" s="10"/>
    </row>
    <row r="73" spans="2:13">
      <c r="B73" s="39"/>
      <c r="F73" s="9"/>
      <c r="G73" s="9"/>
      <c r="H73" s="9"/>
      <c r="I73" s="9"/>
      <c r="J73" s="9"/>
      <c r="K73" s="9"/>
      <c r="L73" s="9"/>
      <c r="M73" s="9"/>
    </row>
    <row r="74" spans="2:13">
      <c r="B74" s="39"/>
      <c r="F74" s="10"/>
      <c r="G74" s="10"/>
      <c r="H74" s="10"/>
      <c r="I74" s="10"/>
      <c r="J74" s="10"/>
      <c r="K74" s="10"/>
      <c r="L74" s="10"/>
      <c r="M74" s="10"/>
    </row>
    <row r="75" spans="2:13">
      <c r="B75" s="39"/>
      <c r="F75" s="9"/>
      <c r="G75" s="9"/>
      <c r="H75" s="9"/>
      <c r="I75" s="9"/>
      <c r="J75" s="9"/>
      <c r="K75" s="9"/>
      <c r="L75" s="9"/>
      <c r="M75" s="9"/>
    </row>
    <row r="76" spans="2:13">
      <c r="B76" s="39"/>
      <c r="F76" s="10"/>
      <c r="G76" s="10"/>
      <c r="H76" s="10"/>
      <c r="I76" s="10"/>
      <c r="J76" s="10"/>
      <c r="K76" s="10"/>
      <c r="L76" s="10"/>
      <c r="M76" s="10"/>
    </row>
    <row r="77" spans="2:13">
      <c r="B77" s="39"/>
      <c r="F77" s="9"/>
      <c r="G77" s="9"/>
      <c r="H77" s="9"/>
      <c r="I77" s="9"/>
      <c r="J77" s="9"/>
      <c r="K77" s="9"/>
      <c r="L77" s="9"/>
      <c r="M77" s="9"/>
    </row>
    <row r="78" spans="2:13">
      <c r="B78" s="39"/>
      <c r="F78" s="10"/>
      <c r="G78" s="10"/>
      <c r="H78" s="10"/>
      <c r="I78" s="10"/>
      <c r="J78" s="10"/>
      <c r="K78" s="10"/>
      <c r="L78" s="10"/>
      <c r="M78" s="10"/>
    </row>
    <row r="79" spans="2:13">
      <c r="B79" s="39"/>
      <c r="F79" s="9"/>
      <c r="G79" s="9"/>
      <c r="H79" s="9"/>
      <c r="I79" s="9"/>
      <c r="J79" s="9"/>
      <c r="K79" s="9"/>
      <c r="L79" s="9"/>
      <c r="M79" s="9"/>
    </row>
    <row r="80" spans="2:13">
      <c r="B80" s="39"/>
      <c r="F80" s="10"/>
      <c r="G80" s="10"/>
      <c r="H80" s="10"/>
      <c r="I80" s="10"/>
      <c r="J80" s="10"/>
      <c r="K80" s="10"/>
      <c r="L80" s="10"/>
      <c r="M80" s="10"/>
    </row>
    <row r="81" spans="2:13">
      <c r="B81" s="39"/>
      <c r="F81" s="9"/>
      <c r="G81" s="9"/>
      <c r="H81" s="9"/>
      <c r="I81" s="9"/>
      <c r="J81" s="9"/>
      <c r="K81" s="9"/>
      <c r="L81" s="9"/>
      <c r="M81" s="9"/>
    </row>
    <row r="82" spans="2:13">
      <c r="B82" s="39"/>
      <c r="F82" s="10"/>
      <c r="G82" s="10"/>
      <c r="H82" s="10"/>
      <c r="I82" s="10"/>
      <c r="J82" s="10"/>
      <c r="K82" s="10"/>
      <c r="L82" s="10"/>
      <c r="M82" s="10"/>
    </row>
    <row r="83" spans="2:13">
      <c r="B83" s="39"/>
      <c r="F83" s="9"/>
      <c r="G83" s="9"/>
      <c r="H83" s="9"/>
      <c r="I83" s="9"/>
      <c r="J83" s="9"/>
      <c r="K83" s="9"/>
      <c r="L83" s="9"/>
      <c r="M83" s="9"/>
    </row>
    <row r="84" spans="2:13">
      <c r="B84" s="39"/>
      <c r="F84" s="10"/>
      <c r="G84" s="10"/>
      <c r="H84" s="10"/>
      <c r="I84" s="10"/>
      <c r="J84" s="10"/>
      <c r="K84" s="10"/>
      <c r="L84" s="10"/>
      <c r="M84" s="10"/>
    </row>
    <row r="85" spans="2:13">
      <c r="B85" s="39"/>
      <c r="F85" s="9"/>
      <c r="G85" s="9"/>
      <c r="H85" s="9"/>
      <c r="I85" s="9"/>
      <c r="J85" s="9"/>
      <c r="K85" s="9"/>
      <c r="L85" s="9"/>
      <c r="M85" s="9"/>
    </row>
    <row r="86" spans="2:13">
      <c r="B86" s="39"/>
      <c r="F86" s="10"/>
      <c r="G86" s="10"/>
      <c r="H86" s="10"/>
      <c r="I86" s="10"/>
      <c r="J86" s="10"/>
      <c r="K86" s="10"/>
      <c r="L86" s="10"/>
      <c r="M86" s="10"/>
    </row>
    <row r="87" spans="2:13">
      <c r="B87" s="39"/>
      <c r="F87" s="9"/>
      <c r="G87" s="9"/>
      <c r="H87" s="9"/>
      <c r="I87" s="9"/>
      <c r="J87" s="9"/>
      <c r="K87" s="9"/>
      <c r="L87" s="9"/>
      <c r="M87" s="9"/>
    </row>
    <row r="88" spans="2:13">
      <c r="B88" s="39"/>
      <c r="F88" s="10"/>
      <c r="G88" s="10"/>
      <c r="H88" s="10"/>
      <c r="I88" s="10"/>
      <c r="J88" s="10"/>
      <c r="K88" s="10"/>
      <c r="L88" s="10"/>
      <c r="M88" s="10"/>
    </row>
    <row r="89" spans="2:13">
      <c r="B89" s="39"/>
      <c r="F89" s="9"/>
      <c r="G89" s="9"/>
      <c r="H89" s="9"/>
      <c r="I89" s="9"/>
      <c r="J89" s="9"/>
      <c r="K89" s="9"/>
      <c r="L89" s="9"/>
      <c r="M89" s="9"/>
    </row>
    <row r="90" spans="2:13">
      <c r="B90" s="39"/>
      <c r="F90" s="10"/>
      <c r="G90" s="10"/>
      <c r="H90" s="10"/>
      <c r="I90" s="10"/>
      <c r="J90" s="10"/>
      <c r="K90" s="10"/>
      <c r="L90" s="10"/>
      <c r="M90" s="10"/>
    </row>
    <row r="91" spans="2:13">
      <c r="B91" s="39"/>
      <c r="F91" s="9"/>
      <c r="G91" s="9"/>
      <c r="H91" s="9"/>
      <c r="I91" s="9"/>
      <c r="J91" s="9"/>
      <c r="K91" s="9"/>
      <c r="L91" s="9"/>
      <c r="M91" s="9"/>
    </row>
    <row r="92" spans="2:13">
      <c r="B92" s="39"/>
      <c r="F92" s="10"/>
      <c r="G92" s="10"/>
      <c r="H92" s="10"/>
      <c r="I92" s="10"/>
      <c r="J92" s="10"/>
      <c r="K92" s="10"/>
      <c r="L92" s="10"/>
      <c r="M92" s="10"/>
    </row>
    <row r="93" spans="2:13">
      <c r="B93" s="39"/>
      <c r="F93" s="9"/>
      <c r="G93" s="9"/>
      <c r="H93" s="9"/>
      <c r="I93" s="9"/>
      <c r="J93" s="9"/>
      <c r="K93" s="9"/>
      <c r="L93" s="9"/>
      <c r="M93" s="9"/>
    </row>
    <row r="94" spans="2:13">
      <c r="B94" s="39"/>
      <c r="F94" s="10"/>
      <c r="G94" s="10"/>
      <c r="H94" s="10"/>
      <c r="I94" s="10"/>
      <c r="J94" s="10"/>
      <c r="K94" s="10"/>
      <c r="L94" s="10"/>
      <c r="M94" s="10"/>
    </row>
    <row r="95" spans="2:13">
      <c r="B95" s="39"/>
      <c r="F95" s="9"/>
      <c r="G95" s="9"/>
      <c r="H95" s="9"/>
      <c r="I95" s="9"/>
      <c r="J95" s="9"/>
      <c r="K95" s="9"/>
      <c r="L95" s="9"/>
      <c r="M95" s="9"/>
    </row>
    <row r="96" spans="2:13">
      <c r="B96" s="39"/>
      <c r="F96" s="10"/>
      <c r="G96" s="10"/>
      <c r="H96" s="10"/>
      <c r="I96" s="10"/>
      <c r="J96" s="10"/>
      <c r="K96" s="10"/>
      <c r="L96" s="10"/>
      <c r="M96" s="10"/>
    </row>
    <row r="97" spans="2:13">
      <c r="B97" s="39"/>
      <c r="F97" s="9"/>
      <c r="G97" s="9"/>
      <c r="H97" s="9"/>
      <c r="I97" s="9"/>
      <c r="J97" s="9"/>
      <c r="K97" s="9"/>
      <c r="L97" s="9"/>
      <c r="M97" s="9"/>
    </row>
    <row r="98" spans="2:13">
      <c r="B98" s="39"/>
      <c r="F98" s="10"/>
      <c r="G98" s="10"/>
      <c r="H98" s="10"/>
      <c r="I98" s="10"/>
      <c r="J98" s="10"/>
      <c r="K98" s="10"/>
      <c r="L98" s="10"/>
      <c r="M98" s="10"/>
    </row>
    <row r="99" spans="2:13">
      <c r="B99" s="39"/>
      <c r="F99" s="9"/>
      <c r="G99" s="9"/>
      <c r="H99" s="9"/>
      <c r="I99" s="9"/>
      <c r="J99" s="9"/>
      <c r="K99" s="9"/>
      <c r="L99" s="9"/>
      <c r="M99" s="9"/>
    </row>
    <row r="100" spans="2:13">
      <c r="B100" s="39"/>
      <c r="F100" s="10"/>
      <c r="G100" s="10"/>
      <c r="H100" s="10"/>
      <c r="I100" s="10"/>
      <c r="J100" s="10"/>
      <c r="K100" s="10"/>
      <c r="L100" s="10"/>
      <c r="M100" s="10"/>
    </row>
    <row r="101" spans="2:13">
      <c r="B101" s="39"/>
      <c r="F101" s="9"/>
      <c r="G101" s="9"/>
      <c r="H101" s="9"/>
      <c r="I101" s="9"/>
      <c r="J101" s="9"/>
      <c r="K101" s="9"/>
      <c r="L101" s="9"/>
      <c r="M101" s="9"/>
    </row>
    <row r="102" spans="2:13">
      <c r="B102" s="39"/>
      <c r="F102" s="10"/>
      <c r="G102" s="10"/>
      <c r="H102" s="10"/>
      <c r="I102" s="10"/>
      <c r="J102" s="10"/>
      <c r="K102" s="10"/>
      <c r="L102" s="10"/>
      <c r="M102" s="10"/>
    </row>
    <row r="103" spans="2:13">
      <c r="B103" s="39"/>
      <c r="F103" s="9"/>
      <c r="G103" s="9"/>
      <c r="H103" s="9"/>
      <c r="I103" s="9"/>
      <c r="J103" s="9"/>
      <c r="K103" s="9"/>
      <c r="L103" s="9"/>
      <c r="M103" s="9"/>
    </row>
    <row r="104" spans="2:13">
      <c r="B104" s="39"/>
      <c r="F104" s="10"/>
      <c r="G104" s="10"/>
      <c r="H104" s="10"/>
      <c r="I104" s="10"/>
      <c r="J104" s="10"/>
      <c r="K104" s="10"/>
      <c r="L104" s="10"/>
      <c r="M104" s="10"/>
    </row>
    <row r="105" spans="2:13">
      <c r="B105" s="39"/>
      <c r="F105" s="9"/>
      <c r="G105" s="9"/>
      <c r="H105" s="9"/>
      <c r="I105" s="9"/>
      <c r="J105" s="9"/>
      <c r="K105" s="9"/>
      <c r="L105" s="9"/>
      <c r="M105" s="9"/>
    </row>
    <row r="106" spans="2:13">
      <c r="B106" s="39"/>
      <c r="F106" s="10"/>
      <c r="G106" s="10"/>
      <c r="H106" s="10"/>
      <c r="I106" s="10"/>
      <c r="J106" s="10"/>
      <c r="K106" s="10"/>
      <c r="L106" s="10"/>
      <c r="M106" s="10"/>
    </row>
    <row r="107" spans="2:13">
      <c r="B107" s="39"/>
      <c r="F107" s="9"/>
      <c r="G107" s="9"/>
      <c r="H107" s="9"/>
      <c r="I107" s="9"/>
      <c r="J107" s="9"/>
      <c r="K107" s="9"/>
      <c r="L107" s="9"/>
      <c r="M107" s="9"/>
    </row>
    <row r="108" spans="2:13">
      <c r="B108" s="39"/>
      <c r="F108" s="10"/>
      <c r="G108" s="10"/>
      <c r="H108" s="10"/>
      <c r="I108" s="10"/>
      <c r="J108" s="10"/>
      <c r="K108" s="10"/>
      <c r="L108" s="10"/>
      <c r="M108" s="10"/>
    </row>
    <row r="109" spans="2:13">
      <c r="B109" s="39"/>
      <c r="F109" s="9"/>
      <c r="G109" s="9"/>
      <c r="H109" s="9"/>
      <c r="I109" s="9"/>
      <c r="J109" s="9"/>
      <c r="K109" s="9"/>
      <c r="L109" s="9"/>
      <c r="M109" s="9"/>
    </row>
    <row r="110" spans="2:13">
      <c r="B110" s="39"/>
      <c r="F110" s="10"/>
      <c r="G110" s="10"/>
      <c r="H110" s="10"/>
      <c r="I110" s="10"/>
      <c r="J110" s="10"/>
      <c r="K110" s="10"/>
      <c r="L110" s="10"/>
      <c r="M110" s="10"/>
    </row>
    <row r="111" spans="2:13">
      <c r="B111" s="39"/>
      <c r="F111" s="9"/>
      <c r="G111" s="9"/>
      <c r="H111" s="9"/>
      <c r="I111" s="9"/>
      <c r="J111" s="9"/>
      <c r="K111" s="9"/>
      <c r="L111" s="9"/>
      <c r="M111" s="9"/>
    </row>
    <row r="112" spans="2:13">
      <c r="B112" s="39"/>
      <c r="F112" s="10"/>
      <c r="G112" s="10"/>
      <c r="H112" s="10"/>
      <c r="I112" s="10"/>
      <c r="J112" s="10"/>
      <c r="K112" s="10"/>
      <c r="L112" s="10"/>
      <c r="M112" s="10"/>
    </row>
    <row r="113" spans="2:13">
      <c r="B113" s="39"/>
      <c r="F113" s="9"/>
      <c r="G113" s="9"/>
      <c r="H113" s="9"/>
      <c r="I113" s="9"/>
      <c r="J113" s="9"/>
      <c r="K113" s="9"/>
      <c r="L113" s="9"/>
      <c r="M113" s="9"/>
    </row>
    <row r="114" spans="2:13">
      <c r="B114" s="39"/>
      <c r="F114" s="10"/>
      <c r="G114" s="10"/>
      <c r="H114" s="10"/>
      <c r="I114" s="10"/>
      <c r="J114" s="10"/>
      <c r="K114" s="10"/>
      <c r="L114" s="10"/>
      <c r="M114" s="10"/>
    </row>
    <row r="115" spans="2:13">
      <c r="B115" s="39"/>
      <c r="F115" s="9"/>
      <c r="G115" s="9"/>
      <c r="H115" s="9"/>
      <c r="I115" s="9"/>
      <c r="J115" s="9"/>
      <c r="K115" s="9"/>
      <c r="L115" s="9"/>
      <c r="M115" s="9"/>
    </row>
    <row r="116" spans="2:13">
      <c r="B116" s="39"/>
      <c r="F116" s="10"/>
      <c r="G116" s="10"/>
      <c r="H116" s="10"/>
      <c r="I116" s="10"/>
      <c r="J116" s="10"/>
      <c r="K116" s="10"/>
      <c r="L116" s="10"/>
      <c r="M116" s="10"/>
    </row>
    <row r="117" spans="2:13">
      <c r="B117" s="39"/>
      <c r="F117" s="9"/>
      <c r="G117" s="9"/>
      <c r="H117" s="9"/>
      <c r="I117" s="9"/>
      <c r="J117" s="9"/>
      <c r="K117" s="9"/>
      <c r="L117" s="9"/>
      <c r="M117" s="9"/>
    </row>
    <row r="118" spans="2:13">
      <c r="B118" s="39"/>
      <c r="F118" s="10"/>
      <c r="G118" s="10"/>
      <c r="H118" s="10"/>
      <c r="I118" s="10"/>
      <c r="J118" s="10"/>
      <c r="K118" s="10"/>
      <c r="L118" s="10"/>
      <c r="M118" s="10"/>
    </row>
    <row r="119" spans="2:13">
      <c r="B119" s="39"/>
      <c r="F119" s="9"/>
      <c r="G119" s="9"/>
      <c r="H119" s="9"/>
      <c r="I119" s="9"/>
      <c r="J119" s="9"/>
      <c r="K119" s="9"/>
      <c r="L119" s="9"/>
      <c r="M119" s="9"/>
    </row>
    <row r="120" spans="2:13">
      <c r="B120" s="39"/>
      <c r="F120" s="10"/>
      <c r="G120" s="10"/>
      <c r="H120" s="10"/>
      <c r="I120" s="10"/>
      <c r="J120" s="10"/>
      <c r="K120" s="10"/>
      <c r="L120" s="10"/>
      <c r="M120" s="10"/>
    </row>
    <row r="121" spans="2:13">
      <c r="B121" s="39"/>
      <c r="F121" s="9"/>
      <c r="G121" s="9"/>
      <c r="H121" s="9"/>
      <c r="I121" s="9"/>
      <c r="J121" s="9"/>
      <c r="K121" s="9"/>
      <c r="L121" s="9"/>
      <c r="M121" s="9"/>
    </row>
    <row r="122" spans="2:13">
      <c r="B122" s="39"/>
      <c r="F122" s="10"/>
      <c r="G122" s="10"/>
      <c r="H122" s="10"/>
      <c r="I122" s="10"/>
      <c r="J122" s="10"/>
      <c r="K122" s="10"/>
      <c r="L122" s="10"/>
      <c r="M122" s="10"/>
    </row>
    <row r="123" spans="2:13">
      <c r="B123" s="39"/>
      <c r="F123" s="9"/>
      <c r="G123" s="9"/>
      <c r="H123" s="9"/>
      <c r="I123" s="9"/>
      <c r="J123" s="9"/>
      <c r="K123" s="9"/>
      <c r="L123" s="9"/>
      <c r="M123" s="9"/>
    </row>
    <row r="124" spans="2:13">
      <c r="B124" s="39"/>
      <c r="F124" s="10"/>
      <c r="G124" s="10"/>
      <c r="H124" s="10"/>
      <c r="I124" s="10"/>
      <c r="J124" s="10"/>
      <c r="K124" s="10"/>
      <c r="L124" s="10"/>
      <c r="M124" s="10"/>
    </row>
    <row r="125" spans="2:13">
      <c r="B125" s="39"/>
      <c r="F125" s="9"/>
      <c r="G125" s="9"/>
      <c r="H125" s="9"/>
      <c r="I125" s="9"/>
      <c r="J125" s="9"/>
      <c r="K125" s="9"/>
      <c r="L125" s="9"/>
      <c r="M125" s="9"/>
    </row>
    <row r="126" spans="2:13">
      <c r="B126" s="39"/>
      <c r="F126" s="10"/>
      <c r="G126" s="10"/>
      <c r="H126" s="10"/>
      <c r="I126" s="10"/>
      <c r="J126" s="10"/>
      <c r="K126" s="10"/>
      <c r="L126" s="10"/>
      <c r="M126" s="10"/>
    </row>
    <row r="127" spans="2:13">
      <c r="B127" s="39"/>
      <c r="F127" s="9"/>
      <c r="G127" s="9"/>
      <c r="H127" s="9"/>
      <c r="I127" s="9"/>
      <c r="J127" s="9"/>
      <c r="K127" s="9"/>
      <c r="L127" s="9"/>
      <c r="M127" s="9"/>
    </row>
    <row r="128" spans="2:13">
      <c r="B128" s="39"/>
      <c r="F128" s="10"/>
      <c r="G128" s="10"/>
      <c r="H128" s="10"/>
      <c r="I128" s="10"/>
      <c r="J128" s="10"/>
      <c r="K128" s="10"/>
      <c r="L128" s="10"/>
      <c r="M128" s="10"/>
    </row>
    <row r="129" spans="2:13">
      <c r="B129" s="39"/>
      <c r="F129" s="9"/>
      <c r="G129" s="9"/>
      <c r="H129" s="9"/>
      <c r="I129" s="9"/>
      <c r="J129" s="9"/>
      <c r="K129" s="9"/>
      <c r="L129" s="9"/>
      <c r="M129" s="9"/>
    </row>
    <row r="130" spans="2:13">
      <c r="B130" s="39"/>
      <c r="F130" s="10"/>
      <c r="G130" s="10"/>
      <c r="H130" s="10"/>
      <c r="I130" s="10"/>
      <c r="J130" s="10"/>
      <c r="K130" s="10"/>
      <c r="L130" s="10"/>
      <c r="M130" s="10"/>
    </row>
    <row r="131" spans="2:13">
      <c r="B131" s="39"/>
      <c r="F131" s="9"/>
      <c r="G131" s="9"/>
      <c r="H131" s="9"/>
      <c r="I131" s="9"/>
      <c r="J131" s="9"/>
      <c r="K131" s="9"/>
      <c r="L131" s="9"/>
      <c r="M131" s="9"/>
    </row>
    <row r="132" spans="2:13">
      <c r="B132" s="39"/>
      <c r="F132" s="10"/>
      <c r="G132" s="10"/>
      <c r="H132" s="10"/>
      <c r="I132" s="10"/>
      <c r="J132" s="10"/>
      <c r="K132" s="10"/>
      <c r="L132" s="10"/>
      <c r="M132" s="10"/>
    </row>
    <row r="133" spans="2:13">
      <c r="B133" s="39"/>
      <c r="F133" s="9"/>
      <c r="G133" s="9"/>
      <c r="H133" s="9"/>
      <c r="I133" s="9"/>
      <c r="J133" s="9"/>
      <c r="K133" s="9"/>
      <c r="L133" s="9"/>
      <c r="M133" s="9"/>
    </row>
    <row r="134" spans="2:13">
      <c r="B134" s="39"/>
      <c r="F134" s="10"/>
      <c r="G134" s="10"/>
      <c r="H134" s="10"/>
      <c r="I134" s="10"/>
      <c r="J134" s="10"/>
      <c r="K134" s="10"/>
      <c r="L134" s="10"/>
      <c r="M134" s="10"/>
    </row>
    <row r="135" spans="2:13">
      <c r="B135" s="39"/>
      <c r="F135" s="9"/>
      <c r="G135" s="9"/>
      <c r="H135" s="9"/>
      <c r="I135" s="9"/>
      <c r="J135" s="9"/>
      <c r="K135" s="9"/>
      <c r="L135" s="9"/>
      <c r="M135" s="9"/>
    </row>
    <row r="136" spans="2:13">
      <c r="B136" s="39"/>
      <c r="F136" s="10"/>
      <c r="G136" s="10"/>
      <c r="H136" s="10"/>
      <c r="I136" s="10"/>
      <c r="J136" s="10"/>
      <c r="K136" s="10"/>
      <c r="L136" s="10"/>
      <c r="M136" s="10"/>
    </row>
    <row r="137" spans="2:13">
      <c r="B137" s="39"/>
      <c r="F137" s="9"/>
      <c r="G137" s="9"/>
      <c r="H137" s="9"/>
      <c r="I137" s="9"/>
      <c r="J137" s="9"/>
      <c r="K137" s="9"/>
      <c r="L137" s="9"/>
      <c r="M137" s="9"/>
    </row>
    <row r="138" spans="2:13">
      <c r="B138" s="39"/>
      <c r="F138" s="10"/>
      <c r="G138" s="10"/>
      <c r="H138" s="10"/>
      <c r="I138" s="10"/>
      <c r="J138" s="10"/>
      <c r="K138" s="10"/>
      <c r="L138" s="10"/>
      <c r="M138" s="10"/>
    </row>
    <row r="139" spans="2:13">
      <c r="B139" s="39"/>
      <c r="F139" s="9"/>
      <c r="G139" s="9"/>
      <c r="H139" s="9"/>
      <c r="I139" s="9"/>
      <c r="J139" s="9"/>
      <c r="K139" s="9"/>
      <c r="L139" s="9"/>
      <c r="M139" s="9"/>
    </row>
    <row r="140" spans="2:13">
      <c r="B140" s="39"/>
      <c r="F140" s="10"/>
      <c r="G140" s="10"/>
      <c r="H140" s="10"/>
      <c r="I140" s="10"/>
      <c r="J140" s="10"/>
      <c r="K140" s="10"/>
      <c r="L140" s="10"/>
      <c r="M140" s="10"/>
    </row>
    <row r="141" spans="2:13">
      <c r="B141" s="39"/>
      <c r="F141" s="9"/>
      <c r="G141" s="9"/>
      <c r="H141" s="9"/>
      <c r="I141" s="9"/>
      <c r="J141" s="9"/>
      <c r="K141" s="9"/>
      <c r="L141" s="9"/>
      <c r="M141" s="9"/>
    </row>
    <row r="142" spans="2:13">
      <c r="B142" s="39"/>
      <c r="F142" s="10"/>
      <c r="G142" s="10"/>
      <c r="H142" s="10"/>
      <c r="I142" s="10"/>
      <c r="J142" s="10"/>
      <c r="K142" s="10"/>
      <c r="L142" s="10"/>
      <c r="M142" s="10"/>
    </row>
    <row r="143" spans="2:13">
      <c r="B143" s="39"/>
      <c r="F143" s="9"/>
      <c r="G143" s="9"/>
      <c r="H143" s="9"/>
      <c r="I143" s="9"/>
      <c r="J143" s="9"/>
      <c r="K143" s="9"/>
      <c r="L143" s="9"/>
      <c r="M143" s="9"/>
    </row>
    <row r="144" spans="2:13">
      <c r="B144" s="39"/>
      <c r="F144" s="10"/>
      <c r="G144" s="10"/>
      <c r="H144" s="10"/>
      <c r="I144" s="10"/>
      <c r="J144" s="10"/>
      <c r="K144" s="10"/>
      <c r="L144" s="10"/>
      <c r="M144" s="10"/>
    </row>
    <row r="145" spans="2:13">
      <c r="B145" s="39"/>
      <c r="F145" s="9"/>
      <c r="G145" s="9"/>
      <c r="H145" s="9"/>
      <c r="I145" s="9"/>
      <c r="J145" s="9"/>
      <c r="K145" s="9"/>
      <c r="L145" s="9"/>
      <c r="M145" s="9"/>
    </row>
    <row r="146" spans="2:13">
      <c r="B146" s="39"/>
      <c r="F146" s="10"/>
      <c r="G146" s="10"/>
      <c r="H146" s="10"/>
      <c r="I146" s="10"/>
      <c r="J146" s="10"/>
      <c r="K146" s="10"/>
      <c r="L146" s="10"/>
      <c r="M146" s="10"/>
    </row>
    <row r="147" spans="2:13">
      <c r="B147" s="39"/>
      <c r="F147" s="9"/>
      <c r="G147" s="9"/>
      <c r="H147" s="9"/>
      <c r="I147" s="9"/>
      <c r="J147" s="9"/>
      <c r="K147" s="9"/>
      <c r="L147" s="9"/>
      <c r="M147" s="9"/>
    </row>
    <row r="148" spans="2:13">
      <c r="B148" s="39"/>
      <c r="F148" s="10"/>
      <c r="G148" s="10"/>
      <c r="H148" s="10"/>
      <c r="I148" s="10"/>
      <c r="J148" s="10"/>
      <c r="K148" s="10"/>
      <c r="L148" s="10"/>
      <c r="M148" s="10"/>
    </row>
    <row r="149" spans="2:13">
      <c r="B149" s="39"/>
      <c r="F149" s="9"/>
      <c r="G149" s="9"/>
      <c r="H149" s="9"/>
      <c r="I149" s="9"/>
      <c r="J149" s="9"/>
      <c r="K149" s="9"/>
      <c r="L149" s="9"/>
      <c r="M149" s="9"/>
    </row>
    <row r="150" spans="2:13">
      <c r="B150" s="39"/>
      <c r="F150" s="10"/>
      <c r="G150" s="10"/>
      <c r="H150" s="10"/>
      <c r="I150" s="10"/>
      <c r="J150" s="10"/>
      <c r="K150" s="10"/>
      <c r="L150" s="10"/>
      <c r="M150" s="10"/>
    </row>
    <row r="151" spans="2:13">
      <c r="B151" s="39"/>
      <c r="F151" s="9"/>
      <c r="G151" s="9"/>
      <c r="H151" s="9"/>
      <c r="I151" s="9"/>
      <c r="J151" s="9"/>
      <c r="K151" s="9"/>
      <c r="L151" s="9"/>
      <c r="M151" s="9"/>
    </row>
    <row r="152" spans="2:13">
      <c r="B152" s="39"/>
      <c r="F152" s="10"/>
      <c r="G152" s="10"/>
      <c r="H152" s="10"/>
      <c r="I152" s="10"/>
      <c r="J152" s="10"/>
      <c r="K152" s="10"/>
      <c r="L152" s="10"/>
      <c r="M152" s="10"/>
    </row>
    <row r="153" spans="2:13">
      <c r="B153" s="39"/>
      <c r="F153" s="9"/>
      <c r="G153" s="9"/>
      <c r="H153" s="9"/>
      <c r="I153" s="9"/>
      <c r="J153" s="9"/>
      <c r="K153" s="9"/>
      <c r="L153" s="9"/>
      <c r="M153" s="9"/>
    </row>
    <row r="154" spans="2:13">
      <c r="B154" s="39"/>
      <c r="F154" s="10"/>
      <c r="G154" s="10"/>
      <c r="H154" s="10"/>
      <c r="I154" s="10"/>
      <c r="J154" s="10"/>
      <c r="K154" s="10"/>
      <c r="L154" s="10"/>
      <c r="M154" s="10"/>
    </row>
    <row r="155" spans="2:13">
      <c r="B155" s="39"/>
      <c r="F155" s="9"/>
      <c r="G155" s="9"/>
      <c r="H155" s="9"/>
      <c r="I155" s="9"/>
      <c r="J155" s="9"/>
      <c r="K155" s="9"/>
      <c r="L155" s="9"/>
      <c r="M155" s="9"/>
    </row>
    <row r="156" spans="2:13">
      <c r="B156" s="39"/>
      <c r="F156" s="10"/>
      <c r="G156" s="10"/>
      <c r="H156" s="10"/>
      <c r="I156" s="10"/>
      <c r="J156" s="10"/>
      <c r="K156" s="10"/>
      <c r="L156" s="10"/>
      <c r="M156" s="10"/>
    </row>
    <row r="157" spans="2:13">
      <c r="B157" s="39"/>
      <c r="F157" s="9"/>
      <c r="G157" s="9"/>
      <c r="H157" s="9"/>
      <c r="I157" s="9"/>
      <c r="J157" s="9"/>
      <c r="K157" s="9"/>
      <c r="L157" s="9"/>
      <c r="M157" s="9"/>
    </row>
    <row r="158" spans="2:13">
      <c r="B158" s="39"/>
      <c r="F158" s="10"/>
      <c r="G158" s="10"/>
      <c r="H158" s="10"/>
      <c r="I158" s="10"/>
      <c r="J158" s="10"/>
      <c r="K158" s="10"/>
      <c r="L158" s="10"/>
      <c r="M158" s="10"/>
    </row>
    <row r="159" spans="2:13">
      <c r="B159" s="39"/>
      <c r="F159" s="9"/>
      <c r="G159" s="9"/>
      <c r="H159" s="9"/>
      <c r="I159" s="9"/>
      <c r="J159" s="9"/>
      <c r="K159" s="9"/>
      <c r="L159" s="9"/>
      <c r="M159" s="9"/>
    </row>
    <row r="160" spans="2:13">
      <c r="B160" s="39"/>
      <c r="F160" s="10"/>
      <c r="G160" s="10"/>
      <c r="H160" s="10"/>
      <c r="I160" s="10"/>
      <c r="J160" s="10"/>
      <c r="K160" s="10"/>
      <c r="L160" s="10"/>
      <c r="M160" s="10"/>
    </row>
    <row r="161" spans="2:13">
      <c r="B161" s="39"/>
      <c r="F161" s="9"/>
      <c r="G161" s="9"/>
      <c r="H161" s="9"/>
      <c r="I161" s="9"/>
      <c r="J161" s="9"/>
      <c r="K161" s="9"/>
      <c r="L161" s="9"/>
      <c r="M161" s="9"/>
    </row>
    <row r="162" spans="2:13">
      <c r="B162" s="39"/>
      <c r="F162" s="10"/>
      <c r="G162" s="10"/>
      <c r="H162" s="10"/>
      <c r="I162" s="10"/>
      <c r="J162" s="10"/>
      <c r="K162" s="10"/>
      <c r="L162" s="10"/>
      <c r="M162" s="10"/>
    </row>
    <row r="163" spans="2:13">
      <c r="B163" s="39"/>
      <c r="F163" s="9"/>
      <c r="G163" s="9"/>
      <c r="H163" s="9"/>
      <c r="I163" s="9"/>
      <c r="J163" s="9"/>
      <c r="K163" s="9"/>
      <c r="L163" s="9"/>
      <c r="M163" s="9"/>
    </row>
    <row r="164" spans="2:13">
      <c r="B164" s="39"/>
      <c r="F164" s="10"/>
      <c r="G164" s="10"/>
      <c r="H164" s="10"/>
      <c r="I164" s="10"/>
      <c r="J164" s="10"/>
      <c r="K164" s="10"/>
      <c r="L164" s="10"/>
      <c r="M164" s="10"/>
    </row>
    <row r="165" spans="2:13">
      <c r="B165" s="39"/>
      <c r="F165" s="9"/>
      <c r="G165" s="9"/>
      <c r="H165" s="9"/>
      <c r="I165" s="9"/>
      <c r="J165" s="9"/>
      <c r="K165" s="9"/>
      <c r="L165" s="9"/>
      <c r="M165" s="9"/>
    </row>
    <row r="166" spans="2:13">
      <c r="B166" s="39"/>
      <c r="F166" s="10"/>
      <c r="G166" s="10"/>
      <c r="H166" s="10"/>
      <c r="I166" s="10"/>
      <c r="J166" s="10"/>
      <c r="K166" s="10"/>
      <c r="L166" s="10"/>
      <c r="M166" s="10"/>
    </row>
    <row r="167" spans="2:13">
      <c r="B167" s="39"/>
      <c r="F167" s="9"/>
      <c r="G167" s="9"/>
      <c r="H167" s="9"/>
      <c r="I167" s="9"/>
      <c r="J167" s="9"/>
      <c r="K167" s="9"/>
      <c r="L167" s="9"/>
      <c r="M167" s="9"/>
    </row>
    <row r="168" spans="2:13">
      <c r="B168" s="39"/>
      <c r="F168" s="10"/>
      <c r="G168" s="10"/>
      <c r="H168" s="10"/>
      <c r="I168" s="10"/>
      <c r="J168" s="10"/>
      <c r="K168" s="10"/>
      <c r="L168" s="10"/>
      <c r="M168" s="10"/>
    </row>
    <row r="169" spans="2:13">
      <c r="B169" s="39"/>
      <c r="F169" s="9"/>
      <c r="G169" s="9"/>
      <c r="H169" s="9"/>
      <c r="I169" s="9"/>
      <c r="J169" s="9"/>
      <c r="K169" s="9"/>
      <c r="L169" s="9"/>
      <c r="M169" s="9"/>
    </row>
    <row r="170" spans="2:13">
      <c r="B170" s="39"/>
      <c r="F170" s="10"/>
      <c r="G170" s="10"/>
      <c r="H170" s="10"/>
      <c r="I170" s="10"/>
      <c r="J170" s="10"/>
      <c r="K170" s="10"/>
      <c r="L170" s="10"/>
      <c r="M170" s="10"/>
    </row>
    <row r="171" spans="2:13">
      <c r="B171" s="39"/>
      <c r="F171" s="9"/>
      <c r="G171" s="9"/>
      <c r="H171" s="9"/>
      <c r="I171" s="9"/>
      <c r="J171" s="9"/>
      <c r="K171" s="9"/>
      <c r="L171" s="9"/>
      <c r="M171" s="9"/>
    </row>
    <row r="172" spans="2:13">
      <c r="B172" s="39"/>
      <c r="F172" s="10"/>
      <c r="G172" s="10"/>
      <c r="H172" s="10"/>
      <c r="I172" s="10"/>
      <c r="J172" s="10"/>
      <c r="K172" s="10"/>
      <c r="L172" s="10"/>
      <c r="M172" s="10"/>
    </row>
    <row r="173" spans="2:13">
      <c r="B173" s="39"/>
      <c r="F173" s="9"/>
      <c r="G173" s="9"/>
      <c r="H173" s="9"/>
      <c r="I173" s="9"/>
      <c r="J173" s="9"/>
      <c r="K173" s="9"/>
      <c r="L173" s="9"/>
      <c r="M173" s="9"/>
    </row>
    <row r="174" spans="2:13">
      <c r="B174" s="39"/>
      <c r="F174" s="10"/>
      <c r="G174" s="10"/>
      <c r="H174" s="10"/>
      <c r="I174" s="10"/>
      <c r="J174" s="10"/>
      <c r="K174" s="10"/>
      <c r="L174" s="10"/>
      <c r="M174" s="10"/>
    </row>
    <row r="175" spans="2:13">
      <c r="B175" s="39"/>
      <c r="F175" s="9"/>
      <c r="G175" s="9"/>
      <c r="H175" s="9"/>
      <c r="I175" s="9"/>
      <c r="J175" s="9"/>
      <c r="K175" s="9"/>
      <c r="L175" s="9"/>
      <c r="M175" s="9"/>
    </row>
    <row r="176" spans="2:13">
      <c r="B176" s="39"/>
      <c r="F176" s="10"/>
      <c r="G176" s="10"/>
      <c r="H176" s="10"/>
      <c r="I176" s="10"/>
      <c r="J176" s="10"/>
      <c r="K176" s="10"/>
      <c r="L176" s="10"/>
      <c r="M176" s="10"/>
    </row>
    <row r="177" spans="2:13">
      <c r="B177" s="39"/>
      <c r="F177" s="9"/>
      <c r="G177" s="9"/>
      <c r="H177" s="9"/>
      <c r="I177" s="9"/>
      <c r="J177" s="9"/>
      <c r="K177" s="9"/>
      <c r="L177" s="9"/>
      <c r="M177" s="9"/>
    </row>
    <row r="178" spans="2:13">
      <c r="B178" s="39"/>
      <c r="F178" s="10"/>
      <c r="G178" s="10"/>
      <c r="H178" s="10"/>
      <c r="I178" s="10"/>
      <c r="J178" s="10"/>
      <c r="K178" s="10"/>
      <c r="L178" s="10"/>
      <c r="M178" s="10"/>
    </row>
    <row r="179" spans="2:13">
      <c r="B179" s="39"/>
      <c r="F179" s="9"/>
      <c r="G179" s="9"/>
      <c r="H179" s="9"/>
      <c r="I179" s="9"/>
      <c r="J179" s="9"/>
      <c r="K179" s="9"/>
      <c r="L179" s="9"/>
      <c r="M179" s="9"/>
    </row>
    <row r="180" spans="2:13">
      <c r="B180" s="39"/>
      <c r="F180" s="10"/>
      <c r="G180" s="10"/>
      <c r="H180" s="10"/>
      <c r="I180" s="10"/>
      <c r="J180" s="10"/>
      <c r="K180" s="10"/>
      <c r="L180" s="10"/>
      <c r="M180" s="10"/>
    </row>
    <row r="181" spans="2:13">
      <c r="B181" s="39"/>
      <c r="F181" s="9"/>
      <c r="G181" s="9"/>
      <c r="H181" s="9"/>
      <c r="I181" s="9"/>
      <c r="J181" s="9"/>
      <c r="K181" s="9"/>
      <c r="L181" s="9"/>
      <c r="M181" s="9"/>
    </row>
    <row r="182" spans="2:13">
      <c r="B182" s="39"/>
      <c r="F182" s="10"/>
      <c r="G182" s="10"/>
      <c r="H182" s="10"/>
      <c r="I182" s="10"/>
      <c r="J182" s="10"/>
      <c r="K182" s="10"/>
      <c r="L182" s="10"/>
      <c r="M182" s="10"/>
    </row>
    <row r="183" spans="2:13">
      <c r="B183" s="39"/>
      <c r="F183" s="9"/>
      <c r="G183" s="9"/>
      <c r="H183" s="9"/>
      <c r="I183" s="9"/>
      <c r="J183" s="9"/>
      <c r="K183" s="9"/>
      <c r="L183" s="9"/>
      <c r="M183" s="9"/>
    </row>
    <row r="184" spans="2:13">
      <c r="B184" s="39"/>
      <c r="F184" s="10"/>
      <c r="G184" s="10"/>
      <c r="H184" s="10"/>
      <c r="I184" s="10"/>
      <c r="J184" s="10"/>
      <c r="K184" s="10"/>
      <c r="L184" s="10"/>
      <c r="M184" s="10"/>
    </row>
    <row r="185" spans="2:13">
      <c r="B185" s="39"/>
      <c r="F185" s="9"/>
      <c r="G185" s="9"/>
      <c r="H185" s="9"/>
      <c r="I185" s="9"/>
      <c r="J185" s="9"/>
      <c r="K185" s="9"/>
      <c r="L185" s="9"/>
      <c r="M185" s="9"/>
    </row>
    <row r="186" spans="2:13">
      <c r="B186" s="39"/>
      <c r="F186" s="10"/>
      <c r="G186" s="10"/>
      <c r="H186" s="10"/>
      <c r="I186" s="10"/>
      <c r="J186" s="10"/>
      <c r="K186" s="10"/>
      <c r="L186" s="10"/>
      <c r="M186" s="10"/>
    </row>
    <row r="187" spans="2:13">
      <c r="B187" s="39"/>
      <c r="F187" s="9"/>
      <c r="G187" s="9"/>
      <c r="H187" s="9"/>
      <c r="I187" s="9"/>
      <c r="J187" s="9"/>
      <c r="K187" s="9"/>
      <c r="L187" s="9"/>
      <c r="M187" s="9"/>
    </row>
    <row r="188" spans="2:13">
      <c r="B188" s="39"/>
      <c r="F188" s="10"/>
      <c r="G188" s="10"/>
      <c r="H188" s="10"/>
      <c r="I188" s="10"/>
      <c r="J188" s="10"/>
      <c r="K188" s="10"/>
      <c r="L188" s="10"/>
      <c r="M188" s="10"/>
    </row>
    <row r="189" spans="2:13">
      <c r="B189" s="39"/>
      <c r="F189" s="9"/>
      <c r="G189" s="9"/>
      <c r="H189" s="9"/>
      <c r="I189" s="9"/>
      <c r="J189" s="9"/>
      <c r="K189" s="9"/>
      <c r="L189" s="9"/>
      <c r="M189" s="9"/>
    </row>
    <row r="190" spans="2:13">
      <c r="B190" s="39"/>
      <c r="F190" s="10"/>
      <c r="G190" s="10"/>
      <c r="H190" s="10"/>
      <c r="I190" s="10"/>
      <c r="J190" s="10"/>
      <c r="K190" s="10"/>
      <c r="L190" s="10"/>
      <c r="M190" s="10"/>
    </row>
    <row r="191" spans="2:13">
      <c r="B191" s="39"/>
      <c r="F191" s="9"/>
      <c r="G191" s="9"/>
      <c r="H191" s="9"/>
      <c r="I191" s="9"/>
      <c r="J191" s="9"/>
      <c r="K191" s="9"/>
      <c r="L191" s="9"/>
      <c r="M191" s="9"/>
    </row>
    <row r="192" spans="2:13">
      <c r="B192" s="39"/>
      <c r="F192" s="10"/>
      <c r="G192" s="10"/>
      <c r="H192" s="10"/>
      <c r="I192" s="10"/>
      <c r="J192" s="10"/>
      <c r="K192" s="10"/>
      <c r="L192" s="10"/>
      <c r="M192" s="10"/>
    </row>
    <row r="193" spans="2:13">
      <c r="B193" s="39"/>
      <c r="F193" s="9"/>
      <c r="G193" s="9"/>
      <c r="H193" s="9"/>
      <c r="I193" s="9"/>
      <c r="J193" s="9"/>
      <c r="K193" s="9"/>
      <c r="L193" s="9"/>
      <c r="M193" s="9"/>
    </row>
    <row r="194" spans="2:13">
      <c r="B194" s="39"/>
      <c r="F194" s="10"/>
      <c r="G194" s="10"/>
      <c r="H194" s="10"/>
      <c r="I194" s="10"/>
      <c r="J194" s="10"/>
      <c r="K194" s="10"/>
      <c r="L194" s="10"/>
      <c r="M194" s="10"/>
    </row>
    <row r="195" spans="2:13">
      <c r="B195" s="39"/>
      <c r="F195" s="9"/>
      <c r="G195" s="9"/>
      <c r="H195" s="9"/>
      <c r="I195" s="9"/>
      <c r="J195" s="9"/>
      <c r="K195" s="9"/>
      <c r="L195" s="9"/>
      <c r="M195" s="9"/>
    </row>
    <row r="196" spans="2:13">
      <c r="B196" s="39"/>
      <c r="F196" s="10"/>
      <c r="G196" s="10"/>
      <c r="H196" s="10"/>
      <c r="I196" s="10"/>
      <c r="J196" s="10"/>
      <c r="K196" s="10"/>
      <c r="L196" s="10"/>
      <c r="M196" s="10"/>
    </row>
    <row r="197" spans="2:13">
      <c r="B197" s="39"/>
      <c r="F197" s="9"/>
      <c r="G197" s="9"/>
      <c r="H197" s="9"/>
      <c r="I197" s="9"/>
      <c r="J197" s="9"/>
      <c r="K197" s="9"/>
      <c r="L197" s="9"/>
      <c r="M197" s="9"/>
    </row>
    <row r="198" spans="2:13">
      <c r="B198" s="39"/>
      <c r="F198" s="10"/>
      <c r="G198" s="10"/>
      <c r="H198" s="10"/>
      <c r="I198" s="10"/>
      <c r="J198" s="10"/>
      <c r="K198" s="10"/>
      <c r="L198" s="10"/>
      <c r="M198" s="10"/>
    </row>
    <row r="199" spans="2:13">
      <c r="B199" s="39"/>
      <c r="F199" s="9"/>
      <c r="G199" s="9"/>
      <c r="H199" s="9"/>
      <c r="I199" s="9"/>
      <c r="J199" s="9"/>
      <c r="K199" s="9"/>
      <c r="L199" s="9"/>
      <c r="M199" s="9"/>
    </row>
    <row r="200" spans="2:13">
      <c r="B200" s="39"/>
      <c r="F200" s="10"/>
      <c r="G200" s="10"/>
      <c r="H200" s="10"/>
      <c r="I200" s="10"/>
      <c r="J200" s="10"/>
      <c r="K200" s="10"/>
      <c r="L200" s="10"/>
      <c r="M200" s="10"/>
    </row>
    <row r="201" spans="2:13">
      <c r="B201" s="39"/>
      <c r="F201" s="9"/>
      <c r="G201" s="9"/>
      <c r="H201" s="9"/>
      <c r="I201" s="9"/>
      <c r="J201" s="9"/>
      <c r="K201" s="9"/>
      <c r="L201" s="9"/>
      <c r="M201" s="9"/>
    </row>
    <row r="202" spans="2:13">
      <c r="B202" s="39"/>
      <c r="F202" s="10"/>
      <c r="G202" s="10"/>
      <c r="H202" s="10"/>
      <c r="I202" s="10"/>
      <c r="J202" s="10"/>
      <c r="K202" s="10"/>
      <c r="L202" s="10"/>
      <c r="M202" s="10"/>
    </row>
    <row r="203" spans="2:13">
      <c r="B203" s="39"/>
      <c r="F203" s="9"/>
      <c r="G203" s="9"/>
      <c r="H203" s="9"/>
      <c r="I203" s="9"/>
      <c r="J203" s="9"/>
      <c r="K203" s="9"/>
      <c r="L203" s="9"/>
      <c r="M203" s="9"/>
    </row>
    <row r="204" spans="2:13">
      <c r="B204" s="39"/>
      <c r="F204" s="10"/>
      <c r="G204" s="10"/>
      <c r="H204" s="10"/>
      <c r="I204" s="10"/>
      <c r="J204" s="10"/>
      <c r="K204" s="10"/>
      <c r="L204" s="10"/>
      <c r="M204" s="10"/>
    </row>
    <row r="205" spans="2:13">
      <c r="B205" s="39"/>
      <c r="F205" s="9"/>
      <c r="G205" s="9"/>
      <c r="H205" s="9"/>
      <c r="I205" s="9"/>
      <c r="J205" s="9"/>
      <c r="K205" s="9"/>
      <c r="L205" s="9"/>
      <c r="M205" s="9"/>
    </row>
    <row r="206" spans="2:13">
      <c r="B206" s="39"/>
      <c r="F206" s="10"/>
      <c r="G206" s="10"/>
      <c r="H206" s="10"/>
      <c r="I206" s="10"/>
      <c r="J206" s="10"/>
      <c r="K206" s="10"/>
      <c r="L206" s="10"/>
      <c r="M206" s="10"/>
    </row>
    <row r="207" spans="2:13">
      <c r="B207" s="39"/>
      <c r="F207" s="9"/>
      <c r="G207" s="9"/>
      <c r="H207" s="9"/>
      <c r="I207" s="9"/>
      <c r="J207" s="9"/>
      <c r="K207" s="9"/>
      <c r="L207" s="9"/>
      <c r="M207" s="9"/>
    </row>
    <row r="208" spans="2:13">
      <c r="B208" s="39"/>
      <c r="F208" s="10"/>
      <c r="G208" s="10"/>
      <c r="H208" s="10"/>
      <c r="I208" s="10"/>
      <c r="J208" s="10"/>
      <c r="K208" s="10"/>
      <c r="L208" s="10"/>
      <c r="M208" s="10"/>
    </row>
    <row r="209" spans="2:13">
      <c r="B209" s="39"/>
      <c r="F209" s="9"/>
      <c r="G209" s="9"/>
      <c r="H209" s="9"/>
      <c r="I209" s="9"/>
      <c r="J209" s="9"/>
      <c r="K209" s="9"/>
      <c r="L209" s="9"/>
      <c r="M209" s="9"/>
    </row>
    <row r="210" spans="2:13">
      <c r="B210" s="39"/>
      <c r="F210" s="10"/>
      <c r="G210" s="10"/>
      <c r="H210" s="10"/>
      <c r="I210" s="10"/>
      <c r="J210" s="10"/>
      <c r="K210" s="10"/>
      <c r="L210" s="10"/>
      <c r="M210" s="10"/>
    </row>
    <row r="211" spans="2:13">
      <c r="B211" s="39"/>
      <c r="F211" s="9"/>
      <c r="G211" s="9"/>
      <c r="H211" s="9"/>
      <c r="I211" s="9"/>
      <c r="J211" s="9"/>
      <c r="K211" s="9"/>
      <c r="L211" s="9"/>
      <c r="M211" s="9"/>
    </row>
    <row r="212" spans="2:13">
      <c r="B212" s="39"/>
      <c r="F212" s="10"/>
      <c r="G212" s="10"/>
      <c r="H212" s="10"/>
      <c r="I212" s="10"/>
      <c r="J212" s="10"/>
      <c r="K212" s="10"/>
      <c r="L212" s="10"/>
      <c r="M212" s="10"/>
    </row>
    <row r="213" spans="2:13">
      <c r="B213" s="39"/>
      <c r="F213" s="9"/>
      <c r="G213" s="9"/>
      <c r="H213" s="9"/>
      <c r="I213" s="9"/>
      <c r="J213" s="9"/>
      <c r="K213" s="9"/>
      <c r="L213" s="9"/>
      <c r="M213" s="9"/>
    </row>
    <row r="214" spans="2:13">
      <c r="B214" s="39"/>
      <c r="F214" s="10"/>
      <c r="G214" s="10"/>
      <c r="H214" s="10"/>
      <c r="I214" s="10"/>
      <c r="J214" s="10"/>
      <c r="K214" s="10"/>
      <c r="L214" s="10"/>
      <c r="M214" s="10"/>
    </row>
    <row r="215" spans="2:13">
      <c r="B215" s="39"/>
      <c r="F215" s="9"/>
      <c r="G215" s="9"/>
      <c r="H215" s="9"/>
      <c r="I215" s="9"/>
      <c r="J215" s="9"/>
      <c r="K215" s="9"/>
      <c r="L215" s="9"/>
      <c r="M215" s="9"/>
    </row>
    <row r="216" spans="2:13">
      <c r="B216" s="39"/>
      <c r="F216" s="10"/>
      <c r="G216" s="10"/>
      <c r="H216" s="10"/>
      <c r="I216" s="10"/>
      <c r="J216" s="10"/>
      <c r="K216" s="10"/>
      <c r="L216" s="10"/>
      <c r="M216" s="10"/>
    </row>
    <row r="217" spans="2:13">
      <c r="B217" s="39"/>
      <c r="F217" s="9"/>
      <c r="G217" s="9"/>
      <c r="H217" s="9"/>
      <c r="I217" s="9"/>
      <c r="J217" s="9"/>
      <c r="K217" s="9"/>
      <c r="L217" s="9"/>
      <c r="M217" s="9"/>
    </row>
    <row r="218" spans="2:13">
      <c r="B218" s="39"/>
      <c r="F218" s="10"/>
      <c r="G218" s="10"/>
      <c r="H218" s="10"/>
      <c r="I218" s="10"/>
      <c r="J218" s="10"/>
      <c r="K218" s="10"/>
      <c r="L218" s="10"/>
      <c r="M218" s="10"/>
    </row>
    <row r="219" spans="2:13">
      <c r="B219" s="39"/>
      <c r="F219" s="9"/>
      <c r="G219" s="9"/>
      <c r="H219" s="9"/>
      <c r="I219" s="9"/>
      <c r="J219" s="9"/>
      <c r="K219" s="9"/>
      <c r="L219" s="9"/>
      <c r="M219" s="9"/>
    </row>
    <row r="220" spans="2:13">
      <c r="B220" s="39"/>
      <c r="F220" s="10"/>
      <c r="G220" s="10"/>
      <c r="H220" s="10"/>
      <c r="I220" s="10"/>
      <c r="J220" s="10"/>
      <c r="K220" s="10"/>
      <c r="L220" s="10"/>
      <c r="M220" s="10"/>
    </row>
    <row r="221" spans="2:13">
      <c r="B221" s="39"/>
      <c r="F221" s="9"/>
      <c r="G221" s="9"/>
      <c r="H221" s="9"/>
      <c r="I221" s="9"/>
      <c r="J221" s="9"/>
      <c r="K221" s="9"/>
      <c r="L221" s="9"/>
      <c r="M221" s="9"/>
    </row>
    <row r="222" spans="2:13">
      <c r="B222" s="39"/>
      <c r="F222" s="10"/>
      <c r="G222" s="10"/>
      <c r="H222" s="10"/>
      <c r="I222" s="10"/>
      <c r="J222" s="10"/>
      <c r="K222" s="10"/>
      <c r="L222" s="10"/>
      <c r="M222" s="10"/>
    </row>
    <row r="223" spans="2:13">
      <c r="B223" s="39"/>
      <c r="F223" s="9"/>
      <c r="G223" s="9"/>
      <c r="H223" s="9"/>
      <c r="I223" s="9"/>
      <c r="J223" s="9"/>
      <c r="K223" s="9"/>
      <c r="L223" s="9"/>
      <c r="M223" s="9"/>
    </row>
    <row r="224" spans="2:13">
      <c r="B224" s="39"/>
      <c r="F224" s="10"/>
      <c r="G224" s="10"/>
      <c r="H224" s="10"/>
      <c r="I224" s="10"/>
      <c r="J224" s="10"/>
      <c r="K224" s="10"/>
      <c r="L224" s="10"/>
      <c r="M224" s="10"/>
    </row>
    <row r="225" spans="2:13">
      <c r="B225" s="39"/>
      <c r="F225" s="9"/>
      <c r="G225" s="9"/>
      <c r="H225" s="9"/>
      <c r="I225" s="9"/>
      <c r="J225" s="9"/>
      <c r="K225" s="9"/>
      <c r="L225" s="9"/>
      <c r="M225" s="9"/>
    </row>
    <row r="226" spans="2:13">
      <c r="B226" s="39"/>
      <c r="F226" s="10"/>
      <c r="G226" s="10"/>
      <c r="H226" s="10"/>
      <c r="I226" s="10"/>
      <c r="J226" s="10"/>
      <c r="K226" s="10"/>
      <c r="L226" s="10"/>
      <c r="M226" s="10"/>
    </row>
    <row r="227" spans="2:13">
      <c r="B227" s="39"/>
      <c r="F227" s="9"/>
      <c r="G227" s="9"/>
      <c r="H227" s="9"/>
      <c r="I227" s="9"/>
      <c r="J227" s="9"/>
      <c r="K227" s="9"/>
      <c r="L227" s="9"/>
      <c r="M227" s="9"/>
    </row>
    <row r="228" spans="2:13">
      <c r="B228" s="39"/>
      <c r="F228" s="10"/>
      <c r="G228" s="10"/>
      <c r="H228" s="10"/>
      <c r="I228" s="10"/>
      <c r="J228" s="10"/>
      <c r="K228" s="10"/>
      <c r="L228" s="10"/>
      <c r="M228" s="10"/>
    </row>
    <row r="229" spans="2:13">
      <c r="B229" s="39"/>
      <c r="F229" s="9"/>
      <c r="G229" s="9"/>
      <c r="H229" s="9"/>
      <c r="I229" s="9"/>
      <c r="J229" s="9"/>
      <c r="K229" s="9"/>
      <c r="L229" s="9"/>
      <c r="M229" s="9"/>
    </row>
    <row r="230" spans="2:13">
      <c r="B230" s="39"/>
      <c r="F230" s="10"/>
      <c r="G230" s="10"/>
      <c r="H230" s="10"/>
      <c r="I230" s="10"/>
      <c r="J230" s="10"/>
      <c r="K230" s="10"/>
      <c r="L230" s="10"/>
      <c r="M230" s="10"/>
    </row>
    <row r="231" spans="2:13">
      <c r="B231" s="39"/>
      <c r="F231" s="9"/>
      <c r="G231" s="9"/>
      <c r="H231" s="9"/>
      <c r="I231" s="9"/>
      <c r="J231" s="9"/>
      <c r="K231" s="9"/>
      <c r="L231" s="9"/>
      <c r="M231" s="9"/>
    </row>
    <row r="232" spans="2:13">
      <c r="B232" s="39"/>
      <c r="F232" s="10"/>
      <c r="G232" s="10"/>
      <c r="H232" s="10"/>
      <c r="I232" s="10"/>
      <c r="J232" s="10"/>
      <c r="K232" s="10"/>
      <c r="L232" s="10"/>
      <c r="M232" s="10"/>
    </row>
    <row r="233" spans="2:13">
      <c r="B233" s="39"/>
      <c r="F233" s="9"/>
      <c r="G233" s="9"/>
      <c r="H233" s="9"/>
      <c r="I233" s="9"/>
      <c r="J233" s="9"/>
      <c r="K233" s="9"/>
      <c r="L233" s="9"/>
      <c r="M233" s="9"/>
    </row>
    <row r="234" spans="2:13">
      <c r="B234" s="39"/>
      <c r="F234" s="10"/>
      <c r="G234" s="10"/>
      <c r="H234" s="10"/>
      <c r="I234" s="10"/>
      <c r="J234" s="10"/>
      <c r="K234" s="10"/>
      <c r="L234" s="10"/>
      <c r="M234" s="10"/>
    </row>
    <row r="235" spans="2:13">
      <c r="B235" s="39"/>
      <c r="F235" s="9"/>
      <c r="G235" s="9"/>
      <c r="H235" s="9"/>
      <c r="I235" s="9"/>
      <c r="J235" s="9"/>
      <c r="K235" s="9"/>
      <c r="L235" s="9"/>
      <c r="M235" s="9"/>
    </row>
    <row r="236" spans="2:13">
      <c r="B236" s="39"/>
      <c r="F236" s="10"/>
      <c r="G236" s="10"/>
      <c r="H236" s="10"/>
      <c r="I236" s="10"/>
      <c r="J236" s="10"/>
      <c r="K236" s="10"/>
      <c r="L236" s="10"/>
      <c r="M236" s="10"/>
    </row>
    <row r="237" spans="2:13">
      <c r="B237" s="39"/>
      <c r="F237" s="9"/>
      <c r="G237" s="9"/>
      <c r="H237" s="9"/>
      <c r="I237" s="9"/>
      <c r="J237" s="9"/>
      <c r="K237" s="9"/>
      <c r="L237" s="9"/>
      <c r="M237" s="9"/>
    </row>
    <row r="238" spans="2:13">
      <c r="B238" s="39"/>
      <c r="F238" s="10"/>
      <c r="G238" s="10"/>
      <c r="H238" s="10"/>
      <c r="I238" s="10"/>
      <c r="J238" s="10"/>
      <c r="K238" s="10"/>
      <c r="L238" s="10"/>
      <c r="M238" s="10"/>
    </row>
    <row r="239" spans="2:13">
      <c r="B239" s="39"/>
      <c r="F239" s="9"/>
      <c r="G239" s="9"/>
      <c r="H239" s="9"/>
      <c r="I239" s="9"/>
      <c r="J239" s="9"/>
      <c r="K239" s="9"/>
      <c r="L239" s="9"/>
      <c r="M239" s="9"/>
    </row>
    <row r="240" spans="2:13">
      <c r="B240" s="39"/>
      <c r="F240" s="10"/>
      <c r="G240" s="10"/>
      <c r="H240" s="10"/>
      <c r="I240" s="10"/>
      <c r="J240" s="10"/>
      <c r="K240" s="10"/>
      <c r="L240" s="10"/>
      <c r="M240" s="10"/>
    </row>
    <row r="241" spans="2:13">
      <c r="B241" s="39"/>
      <c r="F241" s="9"/>
      <c r="G241" s="9"/>
      <c r="H241" s="9"/>
      <c r="I241" s="9"/>
      <c r="J241" s="9"/>
      <c r="K241" s="9"/>
      <c r="L241" s="9"/>
      <c r="M241" s="9"/>
    </row>
    <row r="242" spans="2:13">
      <c r="B242" s="39"/>
      <c r="F242" s="10"/>
      <c r="G242" s="10"/>
      <c r="H242" s="10"/>
      <c r="I242" s="10"/>
      <c r="J242" s="10"/>
      <c r="K242" s="10"/>
      <c r="L242" s="10"/>
      <c r="M242" s="10"/>
    </row>
    <row r="243" spans="2:13">
      <c r="B243" s="39"/>
      <c r="F243" s="9"/>
      <c r="G243" s="9"/>
      <c r="H243" s="9"/>
      <c r="I243" s="9"/>
      <c r="J243" s="9"/>
      <c r="K243" s="9"/>
      <c r="L243" s="9"/>
      <c r="M243" s="9"/>
    </row>
    <row r="244" spans="2:13">
      <c r="B244" s="39"/>
      <c r="F244" s="10"/>
      <c r="G244" s="10"/>
      <c r="H244" s="10"/>
      <c r="I244" s="10"/>
      <c r="J244" s="10"/>
      <c r="K244" s="10"/>
      <c r="L244" s="10"/>
      <c r="M244" s="10"/>
    </row>
    <row r="245" spans="2:13">
      <c r="B245" s="39"/>
      <c r="F245" s="9"/>
      <c r="G245" s="9"/>
      <c r="H245" s="9"/>
      <c r="I245" s="9"/>
      <c r="J245" s="9"/>
      <c r="K245" s="9"/>
      <c r="L245" s="9"/>
      <c r="M245" s="9"/>
    </row>
    <row r="246" spans="2:13">
      <c r="B246" s="39"/>
      <c r="F246" s="10"/>
      <c r="G246" s="10"/>
      <c r="H246" s="10"/>
      <c r="I246" s="10"/>
      <c r="J246" s="10"/>
      <c r="K246" s="10"/>
      <c r="L246" s="10"/>
      <c r="M246" s="10"/>
    </row>
    <row r="247" spans="2:13">
      <c r="B247" s="39"/>
      <c r="F247" s="9"/>
      <c r="G247" s="9"/>
      <c r="H247" s="9"/>
      <c r="I247" s="9"/>
      <c r="J247" s="9"/>
      <c r="K247" s="9"/>
      <c r="L247" s="9"/>
      <c r="M247" s="9"/>
    </row>
    <row r="248" spans="2:13">
      <c r="B248" s="39"/>
      <c r="F248" s="10"/>
      <c r="G248" s="10"/>
      <c r="H248" s="10"/>
      <c r="I248" s="10"/>
      <c r="J248" s="10"/>
      <c r="K248" s="10"/>
      <c r="L248" s="10"/>
      <c r="M248" s="10"/>
    </row>
    <row r="249" spans="2:13">
      <c r="B249" s="39"/>
      <c r="F249" s="9"/>
      <c r="G249" s="9"/>
      <c r="H249" s="9"/>
      <c r="I249" s="9"/>
      <c r="J249" s="9"/>
      <c r="K249" s="9"/>
      <c r="L249" s="9"/>
      <c r="M249" s="9"/>
    </row>
    <row r="250" spans="2:13">
      <c r="B250" s="39"/>
      <c r="F250" s="10"/>
      <c r="G250" s="10"/>
      <c r="H250" s="10"/>
      <c r="I250" s="10"/>
      <c r="J250" s="10"/>
      <c r="K250" s="10"/>
      <c r="L250" s="10"/>
      <c r="M250" s="10"/>
    </row>
    <row r="251" spans="2:13">
      <c r="B251" s="39"/>
      <c r="F251" s="9"/>
      <c r="G251" s="9"/>
      <c r="H251" s="9"/>
      <c r="I251" s="9"/>
      <c r="J251" s="9"/>
      <c r="K251" s="9"/>
      <c r="L251" s="9"/>
      <c r="M251" s="9"/>
    </row>
    <row r="252" spans="2:13">
      <c r="B252" s="39"/>
      <c r="F252" s="10"/>
      <c r="G252" s="10"/>
      <c r="H252" s="10"/>
      <c r="I252" s="10"/>
      <c r="J252" s="10"/>
      <c r="K252" s="10"/>
      <c r="L252" s="10"/>
      <c r="M252" s="10"/>
    </row>
    <row r="253" spans="2:13">
      <c r="B253" s="39"/>
      <c r="F253" s="9"/>
      <c r="G253" s="9"/>
      <c r="H253" s="9"/>
      <c r="I253" s="9"/>
      <c r="J253" s="9"/>
      <c r="K253" s="9"/>
      <c r="L253" s="9"/>
      <c r="M253" s="9"/>
    </row>
    <row r="254" spans="2:13">
      <c r="B254" s="39"/>
      <c r="F254" s="10"/>
      <c r="G254" s="10"/>
      <c r="H254" s="10"/>
      <c r="I254" s="10"/>
      <c r="J254" s="10"/>
      <c r="K254" s="10"/>
      <c r="L254" s="10"/>
      <c r="M254" s="10"/>
    </row>
    <row r="255" spans="2:13">
      <c r="B255" s="39"/>
      <c r="F255" s="9"/>
      <c r="G255" s="9"/>
      <c r="H255" s="9"/>
      <c r="I255" s="9"/>
      <c r="J255" s="9"/>
      <c r="K255" s="9"/>
      <c r="L255" s="9"/>
      <c r="M255" s="9"/>
    </row>
    <row r="256" spans="2:13">
      <c r="B256" s="39"/>
      <c r="F256" s="10"/>
      <c r="G256" s="10"/>
      <c r="H256" s="10"/>
      <c r="I256" s="10"/>
      <c r="J256" s="10"/>
      <c r="K256" s="10"/>
      <c r="L256" s="10"/>
      <c r="M256" s="10"/>
    </row>
    <row r="257" spans="2:13">
      <c r="B257" s="39"/>
      <c r="F257" s="9"/>
      <c r="G257" s="9"/>
      <c r="H257" s="9"/>
      <c r="I257" s="9"/>
      <c r="J257" s="9"/>
      <c r="K257" s="9"/>
      <c r="L257" s="9"/>
      <c r="M257" s="9"/>
    </row>
    <row r="258" spans="2:13">
      <c r="B258" s="39"/>
      <c r="F258" s="10"/>
      <c r="G258" s="10"/>
      <c r="H258" s="10"/>
      <c r="I258" s="10"/>
      <c r="J258" s="10"/>
      <c r="K258" s="10"/>
      <c r="L258" s="10"/>
      <c r="M258" s="10"/>
    </row>
    <row r="259" spans="2:13">
      <c r="B259" s="39"/>
      <c r="F259" s="9"/>
      <c r="G259" s="9"/>
      <c r="H259" s="9"/>
      <c r="I259" s="9"/>
      <c r="J259" s="9"/>
      <c r="K259" s="9"/>
      <c r="L259" s="9"/>
      <c r="M259" s="9"/>
    </row>
    <row r="260" spans="2:13">
      <c r="B260" s="39"/>
      <c r="F260" s="10"/>
      <c r="G260" s="10"/>
      <c r="H260" s="10"/>
      <c r="I260" s="10"/>
      <c r="J260" s="10"/>
      <c r="K260" s="10"/>
      <c r="L260" s="10"/>
      <c r="M260" s="10"/>
    </row>
    <row r="261" spans="2:13">
      <c r="B261" s="39"/>
      <c r="F261" s="9"/>
      <c r="G261" s="9"/>
      <c r="H261" s="9"/>
      <c r="I261" s="9"/>
      <c r="J261" s="9"/>
      <c r="K261" s="9"/>
      <c r="L261" s="9"/>
      <c r="M261" s="9"/>
    </row>
    <row r="262" spans="2:13">
      <c r="B262" s="39"/>
      <c r="F262" s="10"/>
      <c r="G262" s="10"/>
      <c r="H262" s="10"/>
      <c r="I262" s="10"/>
      <c r="J262" s="10"/>
      <c r="K262" s="10"/>
      <c r="L262" s="10"/>
      <c r="M262" s="10"/>
    </row>
    <row r="263" spans="2:13">
      <c r="B263" s="39"/>
      <c r="F263" s="9"/>
      <c r="G263" s="9"/>
      <c r="H263" s="9"/>
      <c r="I263" s="9"/>
      <c r="J263" s="9"/>
      <c r="K263" s="9"/>
      <c r="L263" s="9"/>
      <c r="M263" s="9"/>
    </row>
    <row r="264" spans="2:13">
      <c r="B264" s="39"/>
      <c r="F264" s="10"/>
      <c r="G264" s="10"/>
      <c r="H264" s="10"/>
      <c r="I264" s="10"/>
      <c r="J264" s="10"/>
      <c r="K264" s="10"/>
      <c r="L264" s="10"/>
      <c r="M264" s="10"/>
    </row>
    <row r="265" spans="2:13">
      <c r="B265" s="39"/>
      <c r="F265" s="9"/>
      <c r="G265" s="9"/>
      <c r="H265" s="9"/>
      <c r="I265" s="9"/>
      <c r="J265" s="9"/>
      <c r="K265" s="9"/>
      <c r="L265" s="9"/>
      <c r="M265" s="9"/>
    </row>
    <row r="266" spans="2:13">
      <c r="B266" s="39"/>
      <c r="F266" s="10"/>
      <c r="G266" s="10"/>
      <c r="H266" s="10"/>
      <c r="I266" s="10"/>
      <c r="J266" s="10"/>
      <c r="K266" s="10"/>
      <c r="L266" s="10"/>
      <c r="M266" s="10"/>
    </row>
    <row r="267" spans="2:13">
      <c r="B267" s="39"/>
      <c r="F267" s="9"/>
      <c r="G267" s="9"/>
      <c r="H267" s="9"/>
      <c r="I267" s="9"/>
      <c r="J267" s="9"/>
      <c r="K267" s="9"/>
      <c r="L267" s="9"/>
      <c r="M267" s="9"/>
    </row>
    <row r="268" spans="2:13">
      <c r="B268" s="39"/>
      <c r="F268" s="10"/>
      <c r="G268" s="10"/>
      <c r="H268" s="10"/>
      <c r="I268" s="10"/>
      <c r="J268" s="10"/>
      <c r="K268" s="10"/>
      <c r="L268" s="10"/>
      <c r="M268" s="10"/>
    </row>
    <row r="269" spans="2:13">
      <c r="B269" s="39"/>
      <c r="F269" s="9"/>
      <c r="G269" s="9"/>
      <c r="H269" s="9"/>
      <c r="I269" s="9"/>
      <c r="J269" s="9"/>
      <c r="K269" s="9"/>
      <c r="L269" s="9"/>
      <c r="M269" s="9"/>
    </row>
    <row r="270" spans="2:13">
      <c r="B270" s="39"/>
      <c r="F270" s="10"/>
      <c r="G270" s="10"/>
      <c r="H270" s="10"/>
      <c r="I270" s="10"/>
      <c r="J270" s="10"/>
      <c r="K270" s="10"/>
      <c r="L270" s="10"/>
      <c r="M270" s="10"/>
    </row>
    <row r="271" spans="2:13">
      <c r="B271" s="39"/>
      <c r="F271" s="9"/>
      <c r="G271" s="9"/>
      <c r="H271" s="9"/>
      <c r="I271" s="9"/>
      <c r="J271" s="9"/>
      <c r="K271" s="9"/>
      <c r="L271" s="9"/>
      <c r="M271" s="9"/>
    </row>
    <row r="272" spans="2:13">
      <c r="B272" s="39"/>
      <c r="F272" s="10"/>
      <c r="G272" s="10"/>
      <c r="H272" s="10"/>
      <c r="I272" s="10"/>
      <c r="J272" s="10"/>
      <c r="K272" s="10"/>
      <c r="L272" s="10"/>
      <c r="M272" s="10"/>
    </row>
    <row r="273" spans="2:13">
      <c r="B273" s="39"/>
      <c r="F273" s="9"/>
      <c r="G273" s="9"/>
      <c r="H273" s="9"/>
      <c r="I273" s="9"/>
      <c r="J273" s="9"/>
      <c r="K273" s="9"/>
      <c r="L273" s="9"/>
      <c r="M273" s="9"/>
    </row>
    <row r="274" spans="2:13">
      <c r="B274" s="39"/>
      <c r="F274" s="10"/>
      <c r="G274" s="10"/>
      <c r="H274" s="10"/>
      <c r="I274" s="10"/>
      <c r="J274" s="10"/>
      <c r="K274" s="10"/>
      <c r="L274" s="10"/>
      <c r="M274" s="10"/>
    </row>
    <row r="275" spans="2:13">
      <c r="B275" s="39"/>
      <c r="F275" s="9"/>
      <c r="G275" s="9"/>
      <c r="H275" s="9"/>
      <c r="I275" s="9"/>
      <c r="J275" s="9"/>
      <c r="K275" s="9"/>
      <c r="L275" s="9"/>
      <c r="M275" s="9"/>
    </row>
    <row r="276" spans="2:13">
      <c r="B276" s="39"/>
      <c r="F276" s="10"/>
      <c r="G276" s="10"/>
      <c r="H276" s="10"/>
      <c r="I276" s="10"/>
      <c r="J276" s="10"/>
      <c r="K276" s="10"/>
      <c r="L276" s="10"/>
      <c r="M276" s="10"/>
    </row>
    <row r="277" spans="2:13">
      <c r="B277" s="39"/>
      <c r="F277" s="9"/>
      <c r="G277" s="9"/>
      <c r="H277" s="9"/>
      <c r="I277" s="9"/>
      <c r="J277" s="9"/>
      <c r="K277" s="9"/>
      <c r="L277" s="9"/>
      <c r="M277" s="9"/>
    </row>
    <row r="278" spans="2:13">
      <c r="B278" s="39"/>
      <c r="F278" s="10"/>
      <c r="G278" s="10"/>
      <c r="H278" s="10"/>
      <c r="I278" s="10"/>
      <c r="J278" s="10"/>
      <c r="K278" s="10"/>
      <c r="L278" s="10"/>
      <c r="M278" s="10"/>
    </row>
    <row r="279" spans="2:13">
      <c r="B279" s="39"/>
      <c r="F279" s="9"/>
      <c r="G279" s="9"/>
      <c r="H279" s="9"/>
      <c r="I279" s="9"/>
      <c r="J279" s="9"/>
      <c r="K279" s="9"/>
      <c r="L279" s="9"/>
      <c r="M279" s="9"/>
    </row>
    <row r="280" spans="2:13">
      <c r="B280" s="39"/>
      <c r="F280" s="10"/>
      <c r="G280" s="10"/>
      <c r="H280" s="10"/>
      <c r="I280" s="10"/>
      <c r="J280" s="10"/>
      <c r="K280" s="10"/>
      <c r="L280" s="10"/>
      <c r="M280" s="10"/>
    </row>
    <row r="281" spans="2:13">
      <c r="B281" s="39"/>
      <c r="F281" s="9"/>
      <c r="G281" s="9"/>
      <c r="H281" s="9"/>
      <c r="I281" s="9"/>
      <c r="J281" s="9"/>
      <c r="K281" s="9"/>
      <c r="L281" s="9"/>
      <c r="M281" s="9"/>
    </row>
    <row r="282" spans="2:13">
      <c r="B282" s="39"/>
      <c r="F282" s="10"/>
      <c r="G282" s="10"/>
      <c r="H282" s="10"/>
      <c r="I282" s="10"/>
      <c r="J282" s="10"/>
      <c r="K282" s="10"/>
      <c r="L282" s="10"/>
      <c r="M282" s="10"/>
    </row>
    <row r="283" spans="2:13">
      <c r="B283" s="39"/>
      <c r="F283" s="9"/>
      <c r="G283" s="9"/>
      <c r="H283" s="9"/>
      <c r="I283" s="9"/>
      <c r="J283" s="9"/>
      <c r="K283" s="9"/>
      <c r="L283" s="9"/>
      <c r="M283" s="9"/>
    </row>
    <row r="284" spans="2:13">
      <c r="B284" s="39"/>
      <c r="F284" s="10"/>
      <c r="G284" s="10"/>
      <c r="H284" s="10"/>
      <c r="I284" s="10"/>
      <c r="J284" s="10"/>
      <c r="K284" s="10"/>
      <c r="L284" s="10"/>
      <c r="M284" s="10"/>
    </row>
    <row r="285" spans="2:13">
      <c r="B285" s="39"/>
      <c r="F285" s="9"/>
      <c r="G285" s="9"/>
      <c r="H285" s="9"/>
      <c r="I285" s="9"/>
      <c r="J285" s="9"/>
      <c r="K285" s="9"/>
      <c r="L285" s="9"/>
      <c r="M285" s="9"/>
    </row>
    <row r="286" spans="2:13">
      <c r="B286" s="39"/>
      <c r="F286" s="10"/>
      <c r="G286" s="10"/>
      <c r="H286" s="10"/>
      <c r="I286" s="10"/>
      <c r="J286" s="10"/>
      <c r="K286" s="10"/>
      <c r="L286" s="10"/>
      <c r="M286" s="10"/>
    </row>
    <row r="287" spans="2:13">
      <c r="B287" s="39"/>
      <c r="F287" s="9"/>
      <c r="G287" s="9"/>
      <c r="H287" s="9"/>
      <c r="I287" s="9"/>
      <c r="J287" s="9"/>
      <c r="K287" s="9"/>
      <c r="L287" s="9"/>
      <c r="M287" s="9"/>
    </row>
    <row r="288" spans="2:13">
      <c r="B288" s="39"/>
      <c r="F288" s="10"/>
      <c r="G288" s="10"/>
      <c r="H288" s="10"/>
      <c r="I288" s="10"/>
      <c r="J288" s="10"/>
      <c r="K288" s="10"/>
      <c r="L288" s="10"/>
      <c r="M288" s="10"/>
    </row>
    <row r="289" spans="2:13">
      <c r="B289" s="39"/>
      <c r="F289" s="9"/>
      <c r="G289" s="9"/>
      <c r="H289" s="9"/>
      <c r="I289" s="9"/>
      <c r="J289" s="9"/>
      <c r="K289" s="9"/>
      <c r="L289" s="9"/>
      <c r="M289" s="9"/>
    </row>
    <row r="290" spans="2:13">
      <c r="B290" s="39"/>
      <c r="F290" s="10"/>
      <c r="G290" s="10"/>
      <c r="H290" s="10"/>
      <c r="I290" s="10"/>
      <c r="J290" s="10"/>
      <c r="K290" s="10"/>
      <c r="L290" s="10"/>
      <c r="M290" s="10"/>
    </row>
    <row r="291" spans="2:13">
      <c r="B291" s="39"/>
      <c r="F291" s="9"/>
      <c r="G291" s="9"/>
      <c r="H291" s="9"/>
      <c r="I291" s="9"/>
      <c r="J291" s="9"/>
      <c r="K291" s="9"/>
      <c r="L291" s="9"/>
      <c r="M291" s="9"/>
    </row>
    <row r="292" spans="2:13">
      <c r="B292" s="39"/>
      <c r="F292" s="10"/>
      <c r="G292" s="10"/>
      <c r="H292" s="10"/>
      <c r="I292" s="10"/>
      <c r="J292" s="10"/>
      <c r="K292" s="10"/>
      <c r="L292" s="10"/>
      <c r="M292" s="10"/>
    </row>
    <row r="293" spans="2:13">
      <c r="B293" s="39"/>
      <c r="F293" s="9"/>
      <c r="G293" s="9"/>
      <c r="H293" s="9"/>
      <c r="I293" s="9"/>
      <c r="J293" s="9"/>
      <c r="K293" s="9"/>
      <c r="L293" s="9"/>
      <c r="M293" s="9"/>
    </row>
    <row r="294" spans="2:13">
      <c r="B294" s="39"/>
      <c r="F294" s="10"/>
      <c r="G294" s="10"/>
      <c r="H294" s="10"/>
      <c r="I294" s="10"/>
      <c r="J294" s="10"/>
      <c r="K294" s="10"/>
      <c r="L294" s="10"/>
      <c r="M294" s="10"/>
    </row>
    <row r="295" spans="2:13">
      <c r="B295" s="39"/>
      <c r="F295" s="9"/>
      <c r="G295" s="9"/>
      <c r="H295" s="9"/>
      <c r="I295" s="9"/>
      <c r="J295" s="9"/>
      <c r="K295" s="9"/>
      <c r="L295" s="9"/>
      <c r="M295" s="9"/>
    </row>
    <row r="296" spans="2:13">
      <c r="B296" s="39"/>
      <c r="F296" s="10"/>
      <c r="G296" s="10"/>
      <c r="H296" s="10"/>
      <c r="I296" s="10"/>
      <c r="J296" s="10"/>
      <c r="K296" s="10"/>
      <c r="L296" s="10"/>
      <c r="M296" s="10"/>
    </row>
    <row r="297" spans="2:13">
      <c r="B297" s="39"/>
      <c r="F297" s="9"/>
      <c r="G297" s="9"/>
      <c r="H297" s="9"/>
      <c r="I297" s="9"/>
      <c r="J297" s="9"/>
      <c r="K297" s="9"/>
      <c r="L297" s="9"/>
      <c r="M297" s="9"/>
    </row>
    <row r="298" spans="2:13">
      <c r="B298" s="39"/>
      <c r="F298" s="10"/>
      <c r="G298" s="10"/>
      <c r="H298" s="10"/>
      <c r="I298" s="10"/>
      <c r="J298" s="10"/>
      <c r="K298" s="10"/>
      <c r="L298" s="10"/>
      <c r="M298" s="10"/>
    </row>
    <row r="299" spans="2:13">
      <c r="B299" s="39"/>
      <c r="F299" s="9"/>
      <c r="G299" s="9"/>
      <c r="H299" s="9"/>
      <c r="I299" s="9"/>
      <c r="J299" s="9"/>
      <c r="K299" s="9"/>
      <c r="L299" s="9"/>
      <c r="M299" s="9"/>
    </row>
    <row r="300" spans="2:13">
      <c r="B300" s="39"/>
      <c r="F300" s="10"/>
      <c r="G300" s="10"/>
      <c r="H300" s="10"/>
      <c r="I300" s="10"/>
      <c r="J300" s="10"/>
      <c r="K300" s="10"/>
      <c r="L300" s="10"/>
      <c r="M300" s="10"/>
    </row>
    <row r="301" spans="2:13">
      <c r="B301" s="39"/>
      <c r="F301" s="9"/>
      <c r="G301" s="9"/>
      <c r="H301" s="9"/>
      <c r="I301" s="9"/>
      <c r="J301" s="9"/>
      <c r="K301" s="9"/>
      <c r="L301" s="9"/>
      <c r="M301" s="9"/>
    </row>
    <row r="302" spans="2:13">
      <c r="B302" s="39"/>
      <c r="F302" s="10"/>
      <c r="G302" s="10"/>
      <c r="H302" s="10"/>
      <c r="I302" s="10"/>
      <c r="J302" s="10"/>
      <c r="K302" s="10"/>
      <c r="L302" s="10"/>
      <c r="M302" s="10"/>
    </row>
    <row r="303" spans="2:13">
      <c r="B303" s="39"/>
      <c r="F303" s="9"/>
      <c r="G303" s="9"/>
      <c r="H303" s="9"/>
      <c r="I303" s="9"/>
      <c r="J303" s="9"/>
      <c r="K303" s="9"/>
      <c r="L303" s="9"/>
      <c r="M303" s="9"/>
    </row>
    <row r="304" spans="2:13">
      <c r="B304" s="39"/>
      <c r="F304" s="10"/>
      <c r="G304" s="10"/>
      <c r="H304" s="10"/>
      <c r="I304" s="10"/>
      <c r="J304" s="10"/>
      <c r="K304" s="10"/>
      <c r="L304" s="10"/>
      <c r="M304" s="10"/>
    </row>
    <row r="305" spans="2:13">
      <c r="B305" s="39"/>
      <c r="F305" s="9"/>
      <c r="G305" s="9"/>
      <c r="H305" s="9"/>
      <c r="I305" s="9"/>
      <c r="J305" s="9"/>
      <c r="K305" s="9"/>
      <c r="L305" s="9"/>
      <c r="M305" s="9"/>
    </row>
    <row r="306" spans="2:13">
      <c r="B306" s="39"/>
      <c r="F306" s="10"/>
      <c r="G306" s="10"/>
      <c r="H306" s="10"/>
      <c r="I306" s="10"/>
      <c r="J306" s="10"/>
      <c r="K306" s="10"/>
      <c r="L306" s="10"/>
      <c r="M306" s="10"/>
    </row>
    <row r="307" spans="2:13">
      <c r="B307" s="39"/>
      <c r="F307" s="9"/>
      <c r="G307" s="9"/>
      <c r="H307" s="9"/>
      <c r="I307" s="9"/>
      <c r="J307" s="9"/>
      <c r="K307" s="9"/>
      <c r="L307" s="9"/>
      <c r="M307" s="9"/>
    </row>
    <row r="308" spans="2:13">
      <c r="B308" s="39"/>
      <c r="F308" s="10"/>
      <c r="G308" s="10"/>
      <c r="H308" s="10"/>
      <c r="I308" s="10"/>
      <c r="J308" s="10"/>
      <c r="K308" s="10"/>
      <c r="L308" s="10"/>
      <c r="M308" s="10"/>
    </row>
    <row r="309" spans="2:13">
      <c r="B309" s="39"/>
      <c r="F309" s="9"/>
      <c r="G309" s="9"/>
      <c r="H309" s="9"/>
      <c r="I309" s="9"/>
      <c r="J309" s="9"/>
      <c r="K309" s="9"/>
      <c r="L309" s="9"/>
      <c r="M309" s="9"/>
    </row>
    <row r="310" spans="2:13">
      <c r="B310" s="39"/>
      <c r="F310" s="10"/>
      <c r="G310" s="10"/>
      <c r="H310" s="10"/>
      <c r="I310" s="10"/>
      <c r="J310" s="10"/>
      <c r="K310" s="10"/>
      <c r="L310" s="10"/>
      <c r="M310" s="10"/>
    </row>
    <row r="311" spans="2:13">
      <c r="B311" s="39"/>
      <c r="F311" s="9"/>
      <c r="G311" s="9"/>
      <c r="H311" s="9"/>
      <c r="I311" s="9"/>
      <c r="J311" s="9"/>
      <c r="K311" s="9"/>
      <c r="L311" s="9"/>
      <c r="M311" s="9"/>
    </row>
    <row r="312" spans="2:13">
      <c r="B312" s="39"/>
      <c r="F312" s="10"/>
      <c r="G312" s="10"/>
      <c r="H312" s="10"/>
      <c r="I312" s="10"/>
      <c r="J312" s="10"/>
      <c r="K312" s="10"/>
      <c r="L312" s="10"/>
      <c r="M312" s="10"/>
    </row>
    <row r="313" spans="2:13">
      <c r="B313" s="39"/>
      <c r="F313" s="9"/>
      <c r="G313" s="9"/>
      <c r="H313" s="9"/>
      <c r="I313" s="9"/>
      <c r="J313" s="9"/>
      <c r="K313" s="9"/>
      <c r="L313" s="9"/>
      <c r="M313" s="9"/>
    </row>
    <row r="314" spans="2:13">
      <c r="B314" s="39"/>
      <c r="F314" s="10"/>
      <c r="G314" s="10"/>
      <c r="H314" s="10"/>
      <c r="I314" s="10"/>
      <c r="J314" s="10"/>
      <c r="K314" s="10"/>
      <c r="L314" s="10"/>
      <c r="M314" s="10"/>
    </row>
    <row r="315" spans="2:13">
      <c r="B315" s="39"/>
      <c r="F315" s="9"/>
      <c r="G315" s="9"/>
      <c r="H315" s="9"/>
      <c r="I315" s="9"/>
      <c r="J315" s="9"/>
      <c r="K315" s="9"/>
      <c r="L315" s="9"/>
      <c r="M315" s="9"/>
    </row>
    <row r="316" spans="2:13">
      <c r="B316" s="39"/>
      <c r="F316" s="10"/>
      <c r="G316" s="10"/>
      <c r="H316" s="10"/>
      <c r="I316" s="10"/>
      <c r="J316" s="10"/>
      <c r="K316" s="10"/>
      <c r="L316" s="10"/>
      <c r="M316" s="10"/>
    </row>
    <row r="317" spans="2:13">
      <c r="B317" s="39"/>
      <c r="F317" s="9"/>
      <c r="G317" s="9"/>
      <c r="H317" s="9"/>
      <c r="I317" s="9"/>
      <c r="J317" s="9"/>
      <c r="K317" s="9"/>
      <c r="L317" s="9"/>
      <c r="M317" s="9"/>
    </row>
    <row r="318" spans="2:13">
      <c r="B318" s="39"/>
      <c r="F318" s="10"/>
      <c r="G318" s="10"/>
      <c r="H318" s="10"/>
      <c r="I318" s="10"/>
      <c r="J318" s="10"/>
      <c r="K318" s="10"/>
      <c r="L318" s="10"/>
      <c r="M318" s="10"/>
    </row>
    <row r="319" spans="2:13">
      <c r="B319" s="39"/>
      <c r="F319" s="9"/>
      <c r="G319" s="9"/>
      <c r="H319" s="9"/>
      <c r="I319" s="9"/>
      <c r="J319" s="9"/>
      <c r="K319" s="9"/>
      <c r="L319" s="9"/>
      <c r="M319" s="9"/>
    </row>
    <row r="320" spans="2:13">
      <c r="B320" s="39"/>
      <c r="F320" s="10"/>
      <c r="G320" s="10"/>
      <c r="H320" s="10"/>
      <c r="I320" s="10"/>
      <c r="J320" s="10"/>
      <c r="K320" s="10"/>
      <c r="L320" s="10"/>
      <c r="M320" s="10"/>
    </row>
    <row r="321" spans="2:13">
      <c r="B321" s="39"/>
      <c r="F321" s="9"/>
      <c r="G321" s="9"/>
      <c r="H321" s="9"/>
      <c r="I321" s="9"/>
      <c r="J321" s="9"/>
      <c r="K321" s="9"/>
      <c r="L321" s="9"/>
      <c r="M321" s="9"/>
    </row>
    <row r="322" spans="2:13">
      <c r="B322" s="39"/>
      <c r="F322" s="10"/>
      <c r="G322" s="10"/>
      <c r="H322" s="10"/>
      <c r="I322" s="10"/>
      <c r="J322" s="10"/>
      <c r="K322" s="10"/>
      <c r="L322" s="10"/>
      <c r="M322" s="10"/>
    </row>
    <row r="323" spans="2:13">
      <c r="B323" s="39"/>
      <c r="F323" s="9"/>
      <c r="G323" s="9"/>
      <c r="H323" s="9"/>
      <c r="I323" s="9"/>
      <c r="J323" s="9"/>
      <c r="K323" s="9"/>
      <c r="L323" s="9"/>
      <c r="M323" s="9"/>
    </row>
    <row r="324" spans="2:13">
      <c r="B324" s="39"/>
      <c r="F324" s="10"/>
      <c r="G324" s="10"/>
      <c r="H324" s="10"/>
      <c r="I324" s="10"/>
      <c r="J324" s="10"/>
      <c r="K324" s="10"/>
      <c r="L324" s="10"/>
      <c r="M324" s="10"/>
    </row>
    <row r="325" spans="2:13">
      <c r="B325" s="39"/>
      <c r="F325" s="9"/>
      <c r="G325" s="9"/>
      <c r="H325" s="9"/>
      <c r="I325" s="9"/>
      <c r="J325" s="9"/>
      <c r="K325" s="9"/>
      <c r="L325" s="9"/>
      <c r="M325" s="9"/>
    </row>
    <row r="326" spans="2:13">
      <c r="B326" s="39"/>
      <c r="F326" s="10"/>
      <c r="G326" s="10"/>
      <c r="H326" s="10"/>
      <c r="I326" s="10"/>
      <c r="J326" s="10"/>
      <c r="K326" s="10"/>
      <c r="L326" s="10"/>
      <c r="M326" s="10"/>
    </row>
    <row r="327" spans="2:13">
      <c r="B327" s="39"/>
      <c r="F327" s="9"/>
      <c r="G327" s="9"/>
      <c r="H327" s="9"/>
      <c r="I327" s="9"/>
      <c r="J327" s="9"/>
      <c r="K327" s="9"/>
      <c r="L327" s="9"/>
      <c r="M327" s="9"/>
    </row>
    <row r="328" spans="2:13">
      <c r="B328" s="39"/>
      <c r="F328" s="10"/>
      <c r="G328" s="10"/>
      <c r="H328" s="10"/>
      <c r="I328" s="10"/>
      <c r="J328" s="10"/>
      <c r="K328" s="10"/>
      <c r="L328" s="10"/>
      <c r="M328" s="10"/>
    </row>
    <row r="329" spans="2:13">
      <c r="B329" s="39"/>
      <c r="F329" s="9"/>
      <c r="G329" s="9"/>
      <c r="H329" s="9"/>
      <c r="I329" s="9"/>
      <c r="J329" s="9"/>
      <c r="K329" s="9"/>
      <c r="L329" s="9"/>
      <c r="M329" s="9"/>
    </row>
    <row r="330" spans="2:13">
      <c r="B330" s="39"/>
      <c r="F330" s="10"/>
      <c r="G330" s="10"/>
      <c r="H330" s="10"/>
      <c r="I330" s="10"/>
      <c r="J330" s="10"/>
      <c r="K330" s="10"/>
      <c r="L330" s="10"/>
      <c r="M330" s="10"/>
    </row>
    <row r="331" spans="2:13">
      <c r="B331" s="39"/>
      <c r="F331" s="9"/>
      <c r="G331" s="9"/>
      <c r="H331" s="9"/>
      <c r="I331" s="9"/>
      <c r="J331" s="9"/>
      <c r="K331" s="9"/>
      <c r="L331" s="9"/>
      <c r="M331" s="9"/>
    </row>
    <row r="332" spans="2:13">
      <c r="B332" s="39"/>
      <c r="F332" s="10"/>
      <c r="G332" s="10"/>
      <c r="H332" s="10"/>
      <c r="I332" s="10"/>
      <c r="J332" s="10"/>
      <c r="K332" s="10"/>
      <c r="L332" s="10"/>
      <c r="M332" s="10"/>
    </row>
    <row r="333" spans="2:13">
      <c r="B333" s="39"/>
      <c r="F333" s="9"/>
      <c r="G333" s="9"/>
      <c r="H333" s="9"/>
      <c r="I333" s="9"/>
      <c r="J333" s="9"/>
      <c r="K333" s="9"/>
      <c r="L333" s="9"/>
      <c r="M333" s="9"/>
    </row>
    <row r="334" spans="2:13">
      <c r="B334" s="39"/>
      <c r="F334" s="10"/>
      <c r="G334" s="10"/>
      <c r="H334" s="10"/>
      <c r="I334" s="10"/>
      <c r="J334" s="10"/>
      <c r="K334" s="10"/>
      <c r="L334" s="10"/>
      <c r="M334" s="10"/>
    </row>
    <row r="335" spans="2:13">
      <c r="B335" s="39"/>
      <c r="F335" s="9"/>
      <c r="G335" s="9"/>
      <c r="H335" s="9"/>
      <c r="I335" s="9"/>
      <c r="J335" s="9"/>
      <c r="K335" s="9"/>
      <c r="L335" s="9"/>
      <c r="M335" s="9"/>
    </row>
    <row r="336" spans="2:13">
      <c r="B336" s="39"/>
      <c r="F336" s="10"/>
      <c r="G336" s="10"/>
      <c r="H336" s="10"/>
      <c r="I336" s="10"/>
      <c r="J336" s="10"/>
      <c r="K336" s="10"/>
      <c r="L336" s="10"/>
      <c r="M336" s="10"/>
    </row>
    <row r="337" spans="1:13">
      <c r="B337" s="39"/>
      <c r="F337" s="9"/>
      <c r="G337" s="9"/>
      <c r="H337" s="9"/>
      <c r="I337" s="9"/>
      <c r="J337" s="9"/>
      <c r="K337" s="9"/>
      <c r="L337" s="9"/>
      <c r="M337" s="9"/>
    </row>
    <row r="338" spans="1:13">
      <c r="B338" s="39"/>
      <c r="F338" s="10"/>
      <c r="G338" s="10"/>
      <c r="H338" s="10"/>
      <c r="I338" s="10"/>
      <c r="J338" s="10"/>
      <c r="K338" s="10"/>
      <c r="L338" s="10"/>
      <c r="M338" s="10"/>
    </row>
    <row r="339" spans="1:13">
      <c r="B339" s="39"/>
      <c r="F339" s="9"/>
      <c r="G339" s="9"/>
      <c r="H339" s="9"/>
      <c r="I339" s="9"/>
      <c r="J339" s="9"/>
      <c r="K339" s="9"/>
      <c r="L339" s="9"/>
      <c r="M339" s="9"/>
    </row>
    <row r="340" spans="1:13">
      <c r="B340" s="39"/>
      <c r="F340" s="10"/>
      <c r="G340" s="10"/>
      <c r="H340" s="10"/>
      <c r="I340" s="10"/>
      <c r="J340" s="10"/>
      <c r="K340" s="10"/>
      <c r="L340" s="10"/>
      <c r="M340" s="10"/>
    </row>
    <row r="341" spans="1:13">
      <c r="B341" s="39"/>
      <c r="F341" s="9"/>
      <c r="G341" s="9"/>
      <c r="H341" s="9"/>
      <c r="I341" s="9"/>
      <c r="J341" s="9"/>
      <c r="K341" s="9"/>
      <c r="L341" s="9"/>
      <c r="M341" s="9"/>
    </row>
    <row r="342" spans="1:13">
      <c r="B342" s="39"/>
      <c r="F342" s="10"/>
      <c r="G342" s="10"/>
      <c r="H342" s="10"/>
      <c r="I342" s="10"/>
      <c r="J342" s="10"/>
      <c r="K342" s="10"/>
      <c r="L342" s="10"/>
      <c r="M342" s="10"/>
    </row>
    <row r="343" spans="1:13">
      <c r="B343" s="39"/>
      <c r="F343" s="9"/>
      <c r="G343" s="9"/>
      <c r="H343" s="9"/>
      <c r="I343" s="9"/>
      <c r="J343" s="9"/>
      <c r="K343" s="9"/>
      <c r="L343" s="9"/>
      <c r="M343" s="9"/>
    </row>
    <row r="344" spans="1:13">
      <c r="A344" s="39"/>
    </row>
    <row r="345" spans="1:13">
      <c r="A345" s="39"/>
    </row>
    <row r="346" spans="1:13">
      <c r="A346" s="39"/>
    </row>
    <row r="347" spans="1:13">
      <c r="A347" s="39"/>
    </row>
    <row r="348" spans="1:13">
      <c r="A348" s="39"/>
    </row>
    <row r="349" spans="1:13">
      <c r="A349" s="39"/>
    </row>
    <row r="350" spans="1:13">
      <c r="A350" s="39"/>
    </row>
    <row r="351" spans="1:13">
      <c r="A351" s="39"/>
    </row>
    <row r="352" spans="1:13">
      <c r="A352" s="39"/>
    </row>
    <row r="353" spans="1:1">
      <c r="A353" s="39"/>
    </row>
    <row r="354" spans="1:1">
      <c r="A354" s="39"/>
    </row>
    <row r="355" spans="1:1">
      <c r="A355" s="39"/>
    </row>
    <row r="356" spans="1:1">
      <c r="A356" s="39"/>
    </row>
    <row r="357" spans="1:1">
      <c r="A357" s="39"/>
    </row>
    <row r="358" spans="1:1">
      <c r="A358" s="39"/>
    </row>
    <row r="359" spans="1:1">
      <c r="A359" s="39"/>
    </row>
    <row r="360" spans="1:1">
      <c r="A360" s="39"/>
    </row>
    <row r="361" spans="1:1">
      <c r="A361" s="39"/>
    </row>
    <row r="362" spans="1:1">
      <c r="A362" s="39"/>
    </row>
    <row r="363" spans="1:1">
      <c r="A363" s="39"/>
    </row>
    <row r="364" spans="1:1">
      <c r="A364" s="39"/>
    </row>
    <row r="365" spans="1:1">
      <c r="A365" s="39"/>
    </row>
  </sheetData>
  <conditionalFormatting sqref="B42:B1048576 B1:B27">
    <cfRule type="duplicateValues" dxfId="38" priority="2139"/>
  </conditionalFormatting>
  <conditionalFormatting sqref="N2:N343">
    <cfRule type="cellIs" dxfId="37" priority="2" operator="equal">
      <formula>"Exclude"</formula>
    </cfRule>
    <cfRule type="cellIs" dxfId="36" priority="3" operator="equal">
      <formula>"Include"</formula>
    </cfRule>
  </conditionalFormatting>
  <dataValidations count="1">
    <dataValidation type="whole" operator="greaterThan" allowBlank="1" showInputMessage="1" showErrorMessage="1" sqref="D298:D1048576 D42:D291 D11:D27 D1:D10" xr:uid="{8D2B7F30-E3C0-4020-BD8B-8DE5D944511A}">
      <formula1>4</formula1>
    </dataValidation>
  </dataValidation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00DB-E1F6-4E5E-AFD5-8C81F48A4E2D}">
  <dimension ref="A1:W93"/>
  <sheetViews>
    <sheetView workbookViewId="0">
      <selection activeCell="B1" sqref="B1"/>
    </sheetView>
  </sheetViews>
  <sheetFormatPr defaultRowHeight="12.75"/>
  <cols>
    <col min="2" max="2" width="65" customWidth="1"/>
  </cols>
  <sheetData>
    <row r="1" spans="1:23">
      <c r="A1" t="s">
        <v>47</v>
      </c>
      <c r="B1" t="s">
        <v>2</v>
      </c>
      <c r="C1" t="s">
        <v>32</v>
      </c>
      <c r="D1" t="s">
        <v>327</v>
      </c>
      <c r="E1" s="2" t="s">
        <v>1399</v>
      </c>
      <c r="F1" s="2" t="s">
        <v>2244</v>
      </c>
      <c r="G1" s="2" t="s">
        <v>2245</v>
      </c>
      <c r="H1" s="2" t="s">
        <v>2246</v>
      </c>
      <c r="I1" s="2" t="s">
        <v>2247</v>
      </c>
      <c r="J1" s="2" t="s">
        <v>5575</v>
      </c>
      <c r="K1" s="2" t="s">
        <v>3</v>
      </c>
      <c r="L1" s="2" t="s">
        <v>4</v>
      </c>
      <c r="M1" s="2" t="s">
        <v>328</v>
      </c>
      <c r="N1" s="2" t="s">
        <v>329</v>
      </c>
      <c r="O1" s="2" t="s">
        <v>330</v>
      </c>
      <c r="P1" s="2" t="s">
        <v>331</v>
      </c>
      <c r="Q1" s="2" t="s">
        <v>332</v>
      </c>
      <c r="R1" s="2" t="s">
        <v>325</v>
      </c>
      <c r="S1" s="2" t="s">
        <v>6</v>
      </c>
    </row>
    <row r="2" spans="1:23">
      <c r="B2" s="39"/>
    </row>
    <row r="3" spans="1:23">
      <c r="B3" s="39"/>
    </row>
    <row r="4" spans="1:23">
      <c r="B4" s="9"/>
    </row>
    <row r="5" spans="1:23">
      <c r="B5" s="10"/>
      <c r="U5" s="2" t="s">
        <v>5626</v>
      </c>
      <c r="V5" t="s">
        <v>1406</v>
      </c>
      <c r="W5" t="s">
        <v>1407</v>
      </c>
    </row>
    <row r="6" spans="1:23">
      <c r="B6" s="9"/>
      <c r="U6" t="s">
        <v>1403</v>
      </c>
      <c r="V6" s="1">
        <f>COUNTIF(A2:A1995,"&lt;&gt;")</f>
        <v>0</v>
      </c>
    </row>
    <row r="7" spans="1:23">
      <c r="B7" s="10"/>
      <c r="U7" t="s">
        <v>1404</v>
      </c>
      <c r="V7">
        <f>COUNTIF(R2:R1995,"Exclude")</f>
        <v>0</v>
      </c>
      <c r="W7" s="15" t="e">
        <f>((V7/V6))</f>
        <v>#DIV/0!</v>
      </c>
    </row>
    <row r="8" spans="1:23">
      <c r="B8" s="9"/>
      <c r="U8" t="s">
        <v>1405</v>
      </c>
      <c r="V8">
        <f>COUNTIF(R2:R1995,"Include")</f>
        <v>0</v>
      </c>
      <c r="W8" s="15" t="e">
        <f>((V8/V6))</f>
        <v>#DIV/0!</v>
      </c>
    </row>
    <row r="9" spans="1:23">
      <c r="B9" s="10"/>
      <c r="U9" s="2" t="s">
        <v>1408</v>
      </c>
    </row>
    <row r="10" spans="1:23">
      <c r="B10" s="9"/>
      <c r="U10" t="s">
        <v>3</v>
      </c>
      <c r="V10">
        <f>COUNTIF(K$2:K$1995,"X")</f>
        <v>0</v>
      </c>
      <c r="W10" s="15" t="e">
        <f t="shared" ref="W10:W21" si="0">((V10/V$6))</f>
        <v>#DIV/0!</v>
      </c>
    </row>
    <row r="11" spans="1:23">
      <c r="B11" s="10"/>
      <c r="U11" t="s">
        <v>4</v>
      </c>
      <c r="V11">
        <f>COUNTIF(L$2:L$1995,"X")</f>
        <v>0</v>
      </c>
      <c r="W11" s="15" t="e">
        <f t="shared" si="0"/>
        <v>#DIV/0!</v>
      </c>
    </row>
    <row r="12" spans="1:23">
      <c r="B12" s="9"/>
      <c r="U12" t="s">
        <v>328</v>
      </c>
      <c r="V12">
        <f>COUNTIF(M$2:M$1995,"X")</f>
        <v>0</v>
      </c>
      <c r="W12" s="15" t="e">
        <f t="shared" si="0"/>
        <v>#DIV/0!</v>
      </c>
    </row>
    <row r="13" spans="1:23">
      <c r="B13" s="10"/>
      <c r="U13" t="s">
        <v>329</v>
      </c>
      <c r="V13">
        <f>COUNTIF(N$2:N$1995,"X")</f>
        <v>0</v>
      </c>
      <c r="W13" s="15" t="e">
        <f t="shared" si="0"/>
        <v>#DIV/0!</v>
      </c>
    </row>
    <row r="14" spans="1:23">
      <c r="B14" s="9"/>
      <c r="U14" t="s">
        <v>330</v>
      </c>
      <c r="V14">
        <f>COUNTIF(O$2:O$1995,"X")</f>
        <v>0</v>
      </c>
      <c r="W14" s="15" t="e">
        <f t="shared" si="0"/>
        <v>#DIV/0!</v>
      </c>
    </row>
    <row r="15" spans="1:23">
      <c r="B15" s="10"/>
      <c r="U15" t="s">
        <v>331</v>
      </c>
      <c r="V15">
        <f>COUNTIF(P$2:P$1995,"X")</f>
        <v>0</v>
      </c>
      <c r="W15" s="15" t="e">
        <f t="shared" si="0"/>
        <v>#DIV/0!</v>
      </c>
    </row>
    <row r="16" spans="1:23">
      <c r="B16" s="9"/>
      <c r="U16" t="s">
        <v>332</v>
      </c>
      <c r="V16">
        <f>COUNTIF(Q$2:Q$1995,"X")</f>
        <v>0</v>
      </c>
      <c r="W16" s="15" t="e">
        <f t="shared" si="0"/>
        <v>#DIV/0!</v>
      </c>
    </row>
    <row r="17" spans="2:23">
      <c r="B17" s="39"/>
      <c r="U17" t="s">
        <v>2244</v>
      </c>
      <c r="V17">
        <f>COUNTIFS(E2:E1995,"O",F$2:F$1995,"&lt;&gt;X")</f>
        <v>0</v>
      </c>
      <c r="W17" s="15" t="e">
        <f t="shared" si="0"/>
        <v>#DIV/0!</v>
      </c>
    </row>
    <row r="18" spans="2:23">
      <c r="B18" s="39"/>
      <c r="U18" t="s">
        <v>2245</v>
      </c>
      <c r="V18">
        <f>COUNTIFS(E2:E1995,"O",G$2:G$1995,"&lt;&gt;X")</f>
        <v>0</v>
      </c>
      <c r="W18" s="15" t="e">
        <f t="shared" si="0"/>
        <v>#DIV/0!</v>
      </c>
    </row>
    <row r="19" spans="2:23">
      <c r="B19" s="39"/>
      <c r="U19" t="s">
        <v>2246</v>
      </c>
      <c r="V19">
        <f>COUNTIFS(E2:E1995,"O",H$2:H$1995,"&lt;&gt;X")</f>
        <v>0</v>
      </c>
      <c r="W19" s="15" t="e">
        <f t="shared" si="0"/>
        <v>#DIV/0!</v>
      </c>
    </row>
    <row r="20" spans="2:23">
      <c r="B20" s="39"/>
      <c r="U20" t="s">
        <v>2247</v>
      </c>
      <c r="V20">
        <f>COUNTIFS(E2:E1995,"O",I$2:I$1995,"&lt;&gt;X")</f>
        <v>0</v>
      </c>
      <c r="W20" s="15" t="e">
        <f t="shared" si="0"/>
        <v>#DIV/0!</v>
      </c>
    </row>
    <row r="21" spans="2:23">
      <c r="B21" s="39"/>
      <c r="U21" t="s">
        <v>5575</v>
      </c>
      <c r="V21">
        <f>COUNTIFS(E2:E1995,"O",J$2:J$1995,"&lt;&gt;X")</f>
        <v>0</v>
      </c>
      <c r="W21" s="15" t="e">
        <f t="shared" si="0"/>
        <v>#DIV/0!</v>
      </c>
    </row>
    <row r="22" spans="2:23">
      <c r="B22" s="39"/>
    </row>
    <row r="23" spans="2:23">
      <c r="B23" s="39"/>
    </row>
    <row r="24" spans="2:23">
      <c r="B24" s="39"/>
    </row>
    <row r="25" spans="2:23">
      <c r="B25" s="39"/>
    </row>
    <row r="26" spans="2:23">
      <c r="B26" s="39"/>
    </row>
    <row r="27" spans="2:23">
      <c r="B27" s="39"/>
    </row>
    <row r="28" spans="2:23">
      <c r="B28" s="39"/>
    </row>
    <row r="29" spans="2:23">
      <c r="B29" s="39"/>
    </row>
    <row r="30" spans="2:23">
      <c r="B30" s="39"/>
    </row>
    <row r="31" spans="2:23">
      <c r="B31" s="39"/>
    </row>
    <row r="32" spans="2:23">
      <c r="B32" s="39"/>
    </row>
    <row r="33" spans="1:2">
      <c r="B33" s="39"/>
    </row>
    <row r="34" spans="1:2">
      <c r="B34" s="39"/>
    </row>
    <row r="35" spans="1:2">
      <c r="B35" s="39"/>
    </row>
    <row r="36" spans="1:2">
      <c r="B36" s="39"/>
    </row>
    <row r="37" spans="1:2">
      <c r="B37" s="39"/>
    </row>
    <row r="38" spans="1:2">
      <c r="B38" s="39"/>
    </row>
    <row r="39" spans="1:2">
      <c r="A39" s="39"/>
    </row>
    <row r="40" spans="1:2">
      <c r="A40" s="39"/>
    </row>
    <row r="41" spans="1:2">
      <c r="A41" s="39"/>
    </row>
    <row r="42" spans="1:2">
      <c r="A42" s="39"/>
    </row>
    <row r="43" spans="1:2">
      <c r="A43" s="39"/>
    </row>
    <row r="44" spans="1:2">
      <c r="A44" s="39"/>
    </row>
    <row r="45" spans="1:2">
      <c r="A45" s="39"/>
    </row>
    <row r="46" spans="1:2">
      <c r="A46" s="39"/>
    </row>
    <row r="47" spans="1:2">
      <c r="A47" s="39"/>
    </row>
    <row r="48" spans="1:2">
      <c r="A48" s="39"/>
    </row>
    <row r="49" spans="1:1">
      <c r="A49" s="39"/>
    </row>
    <row r="50" spans="1:1">
      <c r="A50" s="39"/>
    </row>
    <row r="51" spans="1:1">
      <c r="A51" s="39"/>
    </row>
    <row r="52" spans="1:1">
      <c r="A52" s="39"/>
    </row>
    <row r="53" spans="1:1">
      <c r="A53" s="39"/>
    </row>
    <row r="54" spans="1:1">
      <c r="A54" s="39"/>
    </row>
    <row r="55" spans="1:1">
      <c r="A55" s="39"/>
    </row>
    <row r="56" spans="1:1">
      <c r="A56" s="39"/>
    </row>
    <row r="57" spans="1:1">
      <c r="A57" s="39"/>
    </row>
    <row r="58" spans="1:1">
      <c r="A58" s="39"/>
    </row>
    <row r="59" spans="1:1">
      <c r="A59" s="39"/>
    </row>
    <row r="60" spans="1:1">
      <c r="A60" s="39"/>
    </row>
    <row r="61" spans="1:1">
      <c r="A61" s="39"/>
    </row>
    <row r="62" spans="1:1">
      <c r="A62" s="39"/>
    </row>
    <row r="63" spans="1:1">
      <c r="A63" s="39"/>
    </row>
    <row r="64" spans="1:1">
      <c r="A64" s="39"/>
    </row>
    <row r="65" spans="1:1">
      <c r="A65" s="39"/>
    </row>
    <row r="66" spans="1:1">
      <c r="A66" s="39"/>
    </row>
    <row r="67" spans="1:1">
      <c r="A67" s="39"/>
    </row>
    <row r="68" spans="1:1">
      <c r="A68" s="39"/>
    </row>
    <row r="69" spans="1:1">
      <c r="A69" s="39"/>
    </row>
    <row r="70" spans="1:1">
      <c r="A70" s="39"/>
    </row>
    <row r="71" spans="1:1">
      <c r="A71" s="39"/>
    </row>
    <row r="72" spans="1:1">
      <c r="A72" s="39"/>
    </row>
    <row r="73" spans="1:1">
      <c r="A73" s="39"/>
    </row>
    <row r="74" spans="1:1">
      <c r="A74" s="39"/>
    </row>
    <row r="75" spans="1:1">
      <c r="A75" s="39"/>
    </row>
    <row r="76" spans="1:1">
      <c r="A76" s="39"/>
    </row>
    <row r="77" spans="1:1">
      <c r="A77" s="39"/>
    </row>
    <row r="78" spans="1:1">
      <c r="A78" s="39"/>
    </row>
    <row r="79" spans="1:1">
      <c r="A79" s="39"/>
    </row>
    <row r="80" spans="1:1">
      <c r="A80" s="39"/>
    </row>
    <row r="81" spans="1:1">
      <c r="A81" s="39"/>
    </row>
    <row r="82" spans="1:1">
      <c r="A82" s="39"/>
    </row>
    <row r="83" spans="1:1">
      <c r="A83" s="39"/>
    </row>
    <row r="84" spans="1:1">
      <c r="A84" s="39"/>
    </row>
    <row r="85" spans="1:1">
      <c r="A85" s="39"/>
    </row>
    <row r="86" spans="1:1">
      <c r="A86" s="39"/>
    </row>
    <row r="87" spans="1:1">
      <c r="A87" s="39"/>
    </row>
    <row r="88" spans="1:1">
      <c r="A88" s="39"/>
    </row>
    <row r="89" spans="1:1">
      <c r="A89" s="39"/>
    </row>
    <row r="90" spans="1:1">
      <c r="A90" s="39"/>
    </row>
    <row r="91" spans="1:1">
      <c r="A91" s="39"/>
    </row>
    <row r="92" spans="1:1">
      <c r="A92" s="39"/>
    </row>
    <row r="93" spans="1:1">
      <c r="A93" s="39"/>
    </row>
  </sheetData>
  <conditionalFormatting sqref="B1:B1048576">
    <cfRule type="duplicateValues" dxfId="35" priority="1"/>
  </conditionalFormatting>
  <conditionalFormatting sqref="Q2:Q38">
    <cfRule type="cellIs" dxfId="34" priority="3" operator="equal">
      <formula>"Exclude"</formula>
    </cfRule>
    <cfRule type="cellIs" dxfId="33" priority="4" operator="equal">
      <formula>"Include"</formula>
    </cfRule>
  </conditionalFormatting>
  <dataValidations count="1">
    <dataValidation type="whole" operator="greaterThan" allowBlank="1" showInputMessage="1" showErrorMessage="1" sqref="D34:D1048576 D1:D32" xr:uid="{ED9DF2FF-F28E-48D8-B077-465153903962}">
      <formula1>4</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BFAD4-B8EE-451E-AF84-530233588AA4}">
  <dimension ref="A1:B37"/>
  <sheetViews>
    <sheetView workbookViewId="0">
      <selection activeCell="A32" sqref="A32"/>
    </sheetView>
  </sheetViews>
  <sheetFormatPr defaultRowHeight="12.75"/>
  <cols>
    <col min="1" max="1" width="27.5703125" customWidth="1"/>
    <col min="2" max="2" width="118" bestFit="1" customWidth="1"/>
  </cols>
  <sheetData>
    <row r="1" spans="1:2">
      <c r="A1" s="49" t="s">
        <v>5706</v>
      </c>
      <c r="B1" s="49" t="s">
        <v>2</v>
      </c>
    </row>
    <row r="2" spans="1:2">
      <c r="A2" s="58" t="s">
        <v>5707</v>
      </c>
      <c r="B2" t="s">
        <v>367</v>
      </c>
    </row>
    <row r="3" spans="1:2">
      <c r="A3" s="58" t="s">
        <v>5707</v>
      </c>
      <c r="B3" t="s">
        <v>427</v>
      </c>
    </row>
    <row r="4" spans="1:2">
      <c r="A4" s="58" t="s">
        <v>5707</v>
      </c>
      <c r="B4" t="s">
        <v>179</v>
      </c>
    </row>
    <row r="5" spans="1:2">
      <c r="A5" s="58" t="s">
        <v>5707</v>
      </c>
      <c r="B5" t="s">
        <v>740</v>
      </c>
    </row>
    <row r="6" spans="1:2">
      <c r="A6" s="58" t="s">
        <v>5707</v>
      </c>
      <c r="B6" t="s">
        <v>258</v>
      </c>
    </row>
    <row r="7" spans="1:2">
      <c r="A7" s="58" t="s">
        <v>5707</v>
      </c>
      <c r="B7" t="s">
        <v>1629</v>
      </c>
    </row>
    <row r="8" spans="1:2">
      <c r="A8" s="58" t="s">
        <v>5707</v>
      </c>
      <c r="B8" t="s">
        <v>317</v>
      </c>
    </row>
    <row r="9" spans="1:2">
      <c r="A9" s="58" t="s">
        <v>5707</v>
      </c>
      <c r="B9" t="s">
        <v>86</v>
      </c>
    </row>
    <row r="10" spans="1:2">
      <c r="A10" s="58" t="s">
        <v>5707</v>
      </c>
      <c r="B10" t="s">
        <v>170</v>
      </c>
    </row>
    <row r="11" spans="1:2">
      <c r="A11" s="58" t="s">
        <v>5707</v>
      </c>
      <c r="B11" t="s">
        <v>274</v>
      </c>
    </row>
    <row r="12" spans="1:2">
      <c r="A12" s="58" t="s">
        <v>5707</v>
      </c>
      <c r="B12" t="s">
        <v>2261</v>
      </c>
    </row>
    <row r="13" spans="1:2">
      <c r="A13" s="58" t="s">
        <v>5707</v>
      </c>
      <c r="B13" t="s">
        <v>2273</v>
      </c>
    </row>
    <row r="14" spans="1:2">
      <c r="A14" s="58" t="s">
        <v>5707</v>
      </c>
      <c r="B14" t="s">
        <v>2327</v>
      </c>
    </row>
    <row r="15" spans="1:2">
      <c r="A15" s="58" t="s">
        <v>5708</v>
      </c>
      <c r="B15" t="s">
        <v>3448</v>
      </c>
    </row>
    <row r="16" spans="1:2">
      <c r="A16" s="58" t="s">
        <v>5708</v>
      </c>
      <c r="B16" t="s">
        <v>3598</v>
      </c>
    </row>
    <row r="17" spans="1:2">
      <c r="A17" s="58" t="s">
        <v>5708</v>
      </c>
      <c r="B17" t="s">
        <v>2510</v>
      </c>
    </row>
    <row r="18" spans="1:2">
      <c r="A18" s="58" t="s">
        <v>5708</v>
      </c>
      <c r="B18" t="s">
        <v>2650</v>
      </c>
    </row>
    <row r="19" spans="1:2">
      <c r="A19" s="58" t="s">
        <v>5708</v>
      </c>
      <c r="B19" t="s">
        <v>2734</v>
      </c>
    </row>
    <row r="20" spans="1:2">
      <c r="A20" s="58" t="s">
        <v>5708</v>
      </c>
      <c r="B20" t="s">
        <v>2762</v>
      </c>
    </row>
    <row r="21" spans="1:2">
      <c r="A21" s="58" t="s">
        <v>5709</v>
      </c>
      <c r="B21" t="s">
        <v>4481</v>
      </c>
    </row>
    <row r="37" spans="2:2">
      <c r="B37" s="11"/>
    </row>
  </sheetData>
  <phoneticPr fontId="28" type="noConversion"/>
  <dataValidations count="1">
    <dataValidation type="whole" operator="greaterThan" allowBlank="1" showInputMessage="1" showErrorMessage="1" sqref="D37" xr:uid="{0E154A3D-2189-4444-8AE6-B7A0525514FB}">
      <formula1>4</formula1>
    </dataValidation>
  </dataValidation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306A-16ED-43FD-B3D3-A2518A7E6AD9}">
  <dimension ref="A1"/>
  <sheetViews>
    <sheetView workbookViewId="0"/>
  </sheetViews>
  <sheetFormatPr defaultRowHeight="12.7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1347-B5FF-4BD2-BFCD-282C4D7CCE1A}">
  <dimension ref="A1:J216"/>
  <sheetViews>
    <sheetView topLeftCell="B169" workbookViewId="0">
      <selection activeCell="B223" sqref="B223:B229"/>
    </sheetView>
  </sheetViews>
  <sheetFormatPr defaultRowHeight="12.75"/>
  <cols>
    <col min="1" max="2" width="81.140625" bestFit="1" customWidth="1"/>
    <col min="3" max="3" width="7.28515625" bestFit="1" customWidth="1"/>
    <col min="4" max="4" width="53.28515625" bestFit="1" customWidth="1"/>
    <col min="5" max="5" width="6.7109375" bestFit="1" customWidth="1"/>
    <col min="6" max="6" width="40.8554687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3340</v>
      </c>
      <c r="B2" t="s">
        <v>3341</v>
      </c>
      <c r="C2">
        <v>2025</v>
      </c>
      <c r="D2" t="s">
        <v>3342</v>
      </c>
      <c r="E2" t="s">
        <v>51</v>
      </c>
      <c r="F2" t="s">
        <v>3343</v>
      </c>
      <c r="G2" t="s">
        <v>2402</v>
      </c>
      <c r="H2">
        <v>65</v>
      </c>
      <c r="I2" t="s">
        <v>51</v>
      </c>
      <c r="J2" s="32" t="str">
        <f t="shared" ref="J2:J62" si="0">HYPERLINK($D2,$B2)</f>
        <v>Practical approaches towards IoT dataset generation for security experiments</v>
      </c>
    </row>
    <row r="3" spans="1:10">
      <c r="A3" t="s">
        <v>3344</v>
      </c>
      <c r="B3" t="s">
        <v>3345</v>
      </c>
      <c r="C3">
        <v>2025</v>
      </c>
      <c r="D3" t="s">
        <v>3346</v>
      </c>
      <c r="E3" t="s">
        <v>51</v>
      </c>
      <c r="F3" t="s">
        <v>3347</v>
      </c>
      <c r="G3" t="s">
        <v>2402</v>
      </c>
      <c r="H3">
        <v>12</v>
      </c>
      <c r="I3" t="s">
        <v>51</v>
      </c>
      <c r="J3" s="32" t="str">
        <f t="shared" si="0"/>
        <v>Performance Evaluation of IoT-Enabled Edge Computing Infrastructure for mHealth Services</v>
      </c>
    </row>
    <row r="4" spans="1:10">
      <c r="A4" t="s">
        <v>3348</v>
      </c>
      <c r="B4" t="s">
        <v>3349</v>
      </c>
      <c r="C4">
        <v>2023</v>
      </c>
      <c r="D4" t="s">
        <v>3350</v>
      </c>
      <c r="E4" t="s">
        <v>51</v>
      </c>
      <c r="F4" t="s">
        <v>3351</v>
      </c>
      <c r="G4" t="s">
        <v>3352</v>
      </c>
      <c r="H4">
        <v>13</v>
      </c>
      <c r="I4" t="s">
        <v>51</v>
      </c>
      <c r="J4" s="32" t="str">
        <f t="shared" si="0"/>
        <v>Learning Temporal and Spatial Features Jointly: A Unified Framework for Space-Time Data Prediction in Industrial IoT Networks</v>
      </c>
    </row>
    <row r="5" spans="1:10">
      <c r="A5" t="s">
        <v>3353</v>
      </c>
      <c r="B5" t="s">
        <v>3354</v>
      </c>
      <c r="C5">
        <v>2023</v>
      </c>
      <c r="D5" t="s">
        <v>3355</v>
      </c>
      <c r="E5" t="s">
        <v>51</v>
      </c>
      <c r="F5" t="s">
        <v>3356</v>
      </c>
      <c r="G5" t="s">
        <v>3357</v>
      </c>
      <c r="H5">
        <v>5</v>
      </c>
      <c r="I5" t="s">
        <v>51</v>
      </c>
      <c r="J5" s="32" t="str">
        <f t="shared" si="0"/>
        <v>Design of 5G private network quality monitoring System based on edge computing</v>
      </c>
    </row>
    <row r="6" spans="1:10">
      <c r="A6" t="s">
        <v>3358</v>
      </c>
      <c r="B6" t="s">
        <v>3359</v>
      </c>
      <c r="C6">
        <v>2024</v>
      </c>
      <c r="D6" t="s">
        <v>3360</v>
      </c>
      <c r="E6" t="s">
        <v>51</v>
      </c>
      <c r="F6" t="s">
        <v>3361</v>
      </c>
      <c r="G6" t="s">
        <v>3362</v>
      </c>
      <c r="H6">
        <v>2</v>
      </c>
      <c r="I6" t="s">
        <v>51</v>
      </c>
      <c r="J6" s="32" t="str">
        <f t="shared" si="0"/>
        <v>Evaluating the Latency Impact for Time-Critical Operational Technology Applications of Transitioning IEC-61850 GOOSE Operations to 5G</v>
      </c>
    </row>
    <row r="7" spans="1:10">
      <c r="A7" t="s">
        <v>3363</v>
      </c>
      <c r="B7" t="s">
        <v>3364</v>
      </c>
      <c r="C7">
        <v>2020</v>
      </c>
      <c r="D7" t="s">
        <v>3365</v>
      </c>
      <c r="E7" t="s">
        <v>51</v>
      </c>
      <c r="F7" t="s">
        <v>3366</v>
      </c>
      <c r="G7" t="s">
        <v>3367</v>
      </c>
      <c r="I7" t="s">
        <v>51</v>
      </c>
      <c r="J7" s="32" t="str">
        <f t="shared" si="0"/>
        <v>Challenges in Resource-Constrained IoT Devices: Energy and Communication as Critical Success Factors for Future IoT Deployment.</v>
      </c>
    </row>
    <row r="8" spans="1:10">
      <c r="A8" t="s">
        <v>3368</v>
      </c>
      <c r="B8" t="s">
        <v>3369</v>
      </c>
      <c r="C8">
        <v>2024</v>
      </c>
      <c r="D8" t="s">
        <v>3370</v>
      </c>
      <c r="E8" t="s">
        <v>51</v>
      </c>
      <c r="F8" t="s">
        <v>3371</v>
      </c>
      <c r="G8" t="s">
        <v>3372</v>
      </c>
      <c r="H8">
        <v>1</v>
      </c>
      <c r="I8" t="s">
        <v>51</v>
      </c>
      <c r="J8" s="32" t="str">
        <f t="shared" si="0"/>
        <v>A forensic tool for the identification, acquisition and analysis of sources of evidence in IoT investigations</v>
      </c>
    </row>
    <row r="9" spans="1:10">
      <c r="A9" t="s">
        <v>3373</v>
      </c>
      <c r="B9" t="s">
        <v>3374</v>
      </c>
      <c r="C9">
        <v>2021</v>
      </c>
      <c r="D9" t="s">
        <v>3375</v>
      </c>
      <c r="E9" t="s">
        <v>51</v>
      </c>
      <c r="F9" t="s">
        <v>3376</v>
      </c>
      <c r="G9" t="s">
        <v>2402</v>
      </c>
      <c r="H9">
        <v>14</v>
      </c>
      <c r="I9" t="s">
        <v>51</v>
      </c>
      <c r="J9" s="32" t="str">
        <f t="shared" si="0"/>
        <v>Construction of intelligent integrated model framework for the workshop manufacturing system via digital twin</v>
      </c>
    </row>
    <row r="10" spans="1:10">
      <c r="A10" t="s">
        <v>3377</v>
      </c>
      <c r="B10" t="s">
        <v>3378</v>
      </c>
      <c r="C10">
        <v>2023</v>
      </c>
      <c r="D10" t="s">
        <v>3379</v>
      </c>
      <c r="E10" t="s">
        <v>51</v>
      </c>
      <c r="F10" t="s">
        <v>3380</v>
      </c>
      <c r="G10" t="s">
        <v>3381</v>
      </c>
      <c r="H10">
        <v>6</v>
      </c>
      <c r="I10" t="s">
        <v>51</v>
      </c>
      <c r="J10" s="32" t="str">
        <f t="shared" si="0"/>
        <v>Communication and Coordination for Multi AGVs Based on MQTT Protocol</v>
      </c>
    </row>
    <row r="11" spans="1:10">
      <c r="A11" t="s">
        <v>3382</v>
      </c>
      <c r="B11" t="s">
        <v>3383</v>
      </c>
      <c r="C11">
        <v>2025</v>
      </c>
      <c r="D11" t="s">
        <v>3384</v>
      </c>
      <c r="E11" t="s">
        <v>51</v>
      </c>
      <c r="F11" t="s">
        <v>3385</v>
      </c>
      <c r="G11" t="s">
        <v>2402</v>
      </c>
      <c r="H11">
        <v>13</v>
      </c>
      <c r="I11" t="s">
        <v>51</v>
      </c>
      <c r="J11" s="32" t="str">
        <f t="shared" si="0"/>
        <v>QoSmart-IoT: Secure QoS-Based Reconfiguration and Protocol Adaptation for Hybrid Clustered IoT Systems in Constrained Environments</v>
      </c>
    </row>
    <row r="12" spans="1:10">
      <c r="A12" t="s">
        <v>3386</v>
      </c>
      <c r="B12" t="s">
        <v>3387</v>
      </c>
      <c r="C12">
        <v>2023</v>
      </c>
      <c r="D12" t="s">
        <v>3388</v>
      </c>
      <c r="E12" t="s">
        <v>51</v>
      </c>
      <c r="F12" t="s">
        <v>3389</v>
      </c>
      <c r="G12" t="s">
        <v>3390</v>
      </c>
      <c r="H12">
        <v>21</v>
      </c>
      <c r="I12" t="s">
        <v>51</v>
      </c>
      <c r="J12" s="32" t="str">
        <f t="shared" si="0"/>
        <v>APT Adversarial Defence Mechanism for Industrial IoT Enabled Cyber-Physical System</v>
      </c>
    </row>
    <row r="13" spans="1:10">
      <c r="A13" t="s">
        <v>3391</v>
      </c>
      <c r="B13" t="s">
        <v>3392</v>
      </c>
      <c r="C13">
        <v>2025</v>
      </c>
      <c r="D13" t="s">
        <v>3393</v>
      </c>
      <c r="E13" t="s">
        <v>51</v>
      </c>
      <c r="F13" t="s">
        <v>3394</v>
      </c>
      <c r="G13" t="s">
        <v>2402</v>
      </c>
      <c r="H13">
        <v>65</v>
      </c>
      <c r="I13" t="s">
        <v>51</v>
      </c>
      <c r="J13" s="32" t="str">
        <f t="shared" si="0"/>
        <v>Secure Communication Protocols: Safeguarding Information in The Digital Age</v>
      </c>
    </row>
    <row r="14" spans="1:10">
      <c r="A14" t="s">
        <v>3395</v>
      </c>
      <c r="B14" t="s">
        <v>3396</v>
      </c>
      <c r="C14">
        <v>2023</v>
      </c>
      <c r="D14" t="s">
        <v>3397</v>
      </c>
      <c r="E14" t="s">
        <v>51</v>
      </c>
      <c r="F14" t="s">
        <v>3398</v>
      </c>
      <c r="G14" t="s">
        <v>3399</v>
      </c>
      <c r="H14">
        <v>6</v>
      </c>
      <c r="I14" t="s">
        <v>51</v>
      </c>
      <c r="J14" s="32" t="str">
        <f t="shared" si="0"/>
        <v>IBAM: IPFS and Blockchain based Authentication for MQTT protocol in IoT</v>
      </c>
    </row>
    <row r="15" spans="1:10">
      <c r="A15" t="s">
        <v>3400</v>
      </c>
      <c r="B15" t="s">
        <v>3401</v>
      </c>
      <c r="C15">
        <v>2025</v>
      </c>
      <c r="D15" t="s">
        <v>3402</v>
      </c>
      <c r="E15" t="s">
        <v>51</v>
      </c>
      <c r="F15" t="s">
        <v>3403</v>
      </c>
      <c r="G15" t="s">
        <v>2402</v>
      </c>
      <c r="H15">
        <v>11</v>
      </c>
      <c r="I15" t="s">
        <v>51</v>
      </c>
      <c r="J15" s="32" t="str">
        <f t="shared" si="0"/>
        <v>Integration of MQTT and CoAP Protocols in OneM2M for IoT Applications</v>
      </c>
    </row>
    <row r="16" spans="1:10">
      <c r="A16" t="s">
        <v>3404</v>
      </c>
      <c r="B16" t="s">
        <v>3405</v>
      </c>
      <c r="C16">
        <v>2023</v>
      </c>
      <c r="D16" t="s">
        <v>3406</v>
      </c>
      <c r="E16" t="s">
        <v>51</v>
      </c>
      <c r="F16" t="s">
        <v>3407</v>
      </c>
      <c r="G16" t="s">
        <v>3408</v>
      </c>
      <c r="H16">
        <v>39</v>
      </c>
      <c r="I16" t="s">
        <v>51</v>
      </c>
      <c r="J16" s="32" t="str">
        <f t="shared" si="0"/>
        <v>MECInOT: a multi-access edge computing and industrial internet of things emulator for the modelling and study of cybersecurity threats</v>
      </c>
    </row>
    <row r="17" spans="1:10">
      <c r="A17" t="s">
        <v>3409</v>
      </c>
      <c r="B17" t="s">
        <v>3410</v>
      </c>
      <c r="C17">
        <v>2023</v>
      </c>
      <c r="D17" t="s">
        <v>3411</v>
      </c>
      <c r="E17" t="s">
        <v>51</v>
      </c>
      <c r="F17" t="s">
        <v>3412</v>
      </c>
      <c r="G17" t="s">
        <v>3413</v>
      </c>
      <c r="H17">
        <v>6</v>
      </c>
      <c r="I17" t="s">
        <v>51</v>
      </c>
      <c r="J17" s="32" t="str">
        <f t="shared" si="0"/>
        <v>Implementing Dead Letter Exchanges in MQTT and Proposing a Broker Failure Algorithm Utilizing Blockchain DNS</v>
      </c>
    </row>
    <row r="18" spans="1:10">
      <c r="A18" t="s">
        <v>3414</v>
      </c>
      <c r="B18" t="s">
        <v>3415</v>
      </c>
      <c r="C18">
        <v>2022</v>
      </c>
      <c r="D18" t="s">
        <v>3416</v>
      </c>
      <c r="E18" t="s">
        <v>51</v>
      </c>
      <c r="F18" t="s">
        <v>3417</v>
      </c>
      <c r="G18" t="s">
        <v>2402</v>
      </c>
      <c r="H18">
        <v>16</v>
      </c>
      <c r="I18" t="s">
        <v>51</v>
      </c>
      <c r="J18" s="32" t="str">
        <f t="shared" si="0"/>
        <v>X-IIoTID: A Connectivity-Agnostic and Device-Agnostic Intrusion Data Set for Industrial Internet of Things</v>
      </c>
    </row>
    <row r="19" spans="1:10">
      <c r="A19" t="s">
        <v>3418</v>
      </c>
      <c r="B19" t="s">
        <v>3419</v>
      </c>
      <c r="C19">
        <v>2025</v>
      </c>
      <c r="D19" t="s">
        <v>3420</v>
      </c>
      <c r="E19" t="s">
        <v>51</v>
      </c>
      <c r="F19" t="s">
        <v>3421</v>
      </c>
      <c r="G19" t="s">
        <v>2402</v>
      </c>
      <c r="H19">
        <v>22</v>
      </c>
      <c r="I19" t="s">
        <v>51</v>
      </c>
      <c r="J19" s="32" t="str">
        <f t="shared" si="0"/>
        <v>Intelligent Monitoring and Control Systems for Smart Water Management</v>
      </c>
    </row>
    <row r="20" spans="1:10">
      <c r="A20" t="s">
        <v>3422</v>
      </c>
      <c r="B20" t="s">
        <v>3423</v>
      </c>
      <c r="C20">
        <v>2022</v>
      </c>
      <c r="D20" t="s">
        <v>3424</v>
      </c>
      <c r="E20" t="s">
        <v>51</v>
      </c>
      <c r="F20" t="s">
        <v>3425</v>
      </c>
      <c r="G20" t="s">
        <v>3426</v>
      </c>
      <c r="H20">
        <v>11</v>
      </c>
      <c r="I20" t="s">
        <v>51</v>
      </c>
      <c r="J20" s="32" t="str">
        <f t="shared" si="0"/>
        <v>Multisensory Fusion, Haptic, and Visual Feedback Teleoperation System Under IoT Framework</v>
      </c>
    </row>
    <row r="21" spans="1:10">
      <c r="A21" t="s">
        <v>3427</v>
      </c>
      <c r="B21" t="s">
        <v>3428</v>
      </c>
      <c r="C21">
        <v>2023</v>
      </c>
      <c r="D21" t="s">
        <v>3429</v>
      </c>
      <c r="E21" t="s">
        <v>51</v>
      </c>
      <c r="F21" t="s">
        <v>3430</v>
      </c>
      <c r="G21" t="s">
        <v>3431</v>
      </c>
      <c r="H21">
        <v>11</v>
      </c>
      <c r="I21" t="s">
        <v>51</v>
      </c>
      <c r="J21" s="32" t="str">
        <f t="shared" si="0"/>
        <v>Transfer Fuzzy Learning enabled Streebog Cryptographic Substitution Permutation based zero trust security in IIOT</v>
      </c>
    </row>
    <row r="22" spans="1:10">
      <c r="A22" t="s">
        <v>3432</v>
      </c>
      <c r="B22" t="s">
        <v>3433</v>
      </c>
      <c r="C22">
        <v>2021</v>
      </c>
      <c r="D22" t="s">
        <v>3434</v>
      </c>
      <c r="E22" t="s">
        <v>51</v>
      </c>
      <c r="F22" t="s">
        <v>3435</v>
      </c>
      <c r="G22" t="s">
        <v>3436</v>
      </c>
      <c r="H22">
        <v>5</v>
      </c>
      <c r="I22" t="s">
        <v>51</v>
      </c>
      <c r="J22" s="32" t="str">
        <f t="shared" si="0"/>
        <v>High Precision Open Laboratory 3D Positioning System for Automated Underwater Measurements</v>
      </c>
    </row>
    <row r="23" spans="1:10">
      <c r="A23" t="s">
        <v>3437</v>
      </c>
      <c r="B23" t="s">
        <v>3438</v>
      </c>
      <c r="C23">
        <v>2024</v>
      </c>
      <c r="D23" t="s">
        <v>3439</v>
      </c>
      <c r="E23" t="s">
        <v>51</v>
      </c>
      <c r="F23" t="s">
        <v>3440</v>
      </c>
      <c r="G23" t="s">
        <v>3441</v>
      </c>
      <c r="H23">
        <v>15</v>
      </c>
      <c r="I23" t="s">
        <v>51</v>
      </c>
      <c r="J23" s="32" t="str">
        <f t="shared" si="0"/>
        <v>Architecture for data-centric and semantic-enhanced industrial metaverse: Bridging physical factories and virtual landscape</v>
      </c>
    </row>
    <row r="24" spans="1:10">
      <c r="A24" t="s">
        <v>3442</v>
      </c>
      <c r="B24" t="s">
        <v>3443</v>
      </c>
      <c r="C24">
        <v>2022</v>
      </c>
      <c r="D24" t="s">
        <v>3444</v>
      </c>
      <c r="E24" t="s">
        <v>51</v>
      </c>
      <c r="F24" t="s">
        <v>3445</v>
      </c>
      <c r="G24" t="s">
        <v>3446</v>
      </c>
      <c r="H24">
        <v>6</v>
      </c>
      <c r="I24" t="s">
        <v>51</v>
      </c>
      <c r="J24" s="32" t="str">
        <f t="shared" si="0"/>
        <v>Developing a Low-cost SCADA System for Industrial Application</v>
      </c>
    </row>
    <row r="25" spans="1:10">
      <c r="A25" t="s">
        <v>3447</v>
      </c>
      <c r="B25" t="s">
        <v>3448</v>
      </c>
      <c r="C25">
        <v>2021</v>
      </c>
      <c r="D25" t="s">
        <v>3449</v>
      </c>
      <c r="E25" t="s">
        <v>51</v>
      </c>
      <c r="F25" t="s">
        <v>3450</v>
      </c>
      <c r="G25" t="s">
        <v>3451</v>
      </c>
      <c r="H25">
        <v>7</v>
      </c>
      <c r="I25" t="s">
        <v>51</v>
      </c>
      <c r="J25" s="32" t="str">
        <f t="shared" si="0"/>
        <v>Evaluating Real-Time Ethernet performance indicators for SERCOS III networks</v>
      </c>
    </row>
    <row r="26" spans="1:10">
      <c r="A26" t="s">
        <v>3452</v>
      </c>
      <c r="B26" t="s">
        <v>3453</v>
      </c>
      <c r="C26">
        <v>2025</v>
      </c>
      <c r="D26" t="s">
        <v>3454</v>
      </c>
      <c r="E26" t="s">
        <v>51</v>
      </c>
      <c r="F26" t="s">
        <v>3455</v>
      </c>
      <c r="G26" t="s">
        <v>3456</v>
      </c>
      <c r="H26">
        <v>1</v>
      </c>
      <c r="I26" t="s">
        <v>51</v>
      </c>
      <c r="J26" s="32" t="str">
        <f t="shared" si="0"/>
        <v>Research on Hardware-in-the-Loop Test Platform Based on Simulated IED and Man-in-the-Middle Attack</v>
      </c>
    </row>
    <row r="27" spans="1:10">
      <c r="A27" t="s">
        <v>3457</v>
      </c>
      <c r="B27" t="s">
        <v>3458</v>
      </c>
      <c r="C27">
        <v>2025</v>
      </c>
      <c r="D27" t="s">
        <v>3459</v>
      </c>
      <c r="E27" t="s">
        <v>51</v>
      </c>
      <c r="F27" t="s">
        <v>3460</v>
      </c>
      <c r="G27" t="s">
        <v>2402</v>
      </c>
      <c r="H27">
        <v>21</v>
      </c>
      <c r="I27" t="s">
        <v>51</v>
      </c>
      <c r="J27" s="32" t="str">
        <f t="shared" si="0"/>
        <v>Cloud-Fog Automation: The New Paradigm Toward Autonomous Industrial Cyber-Physical Systems</v>
      </c>
    </row>
    <row r="28" spans="1:10">
      <c r="A28" t="s">
        <v>3461</v>
      </c>
      <c r="B28" t="s">
        <v>3462</v>
      </c>
      <c r="C28">
        <v>2025</v>
      </c>
      <c r="D28" t="s">
        <v>3463</v>
      </c>
      <c r="E28" t="s">
        <v>51</v>
      </c>
      <c r="F28" t="s">
        <v>3464</v>
      </c>
      <c r="G28" t="s">
        <v>3465</v>
      </c>
      <c r="I28" t="s">
        <v>51</v>
      </c>
      <c r="J28" s="32" t="str">
        <f t="shared" si="0"/>
        <v>Integrating Fieldbus and Data-Centric Middleware: An STM32 Modbus Master Gateway for DDS-Based IIoT Systems</v>
      </c>
    </row>
    <row r="29" spans="1:10">
      <c r="A29" t="s">
        <v>3466</v>
      </c>
      <c r="B29" t="s">
        <v>3467</v>
      </c>
      <c r="C29">
        <v>2025</v>
      </c>
      <c r="D29" t="s">
        <v>3468</v>
      </c>
      <c r="E29" t="s">
        <v>51</v>
      </c>
      <c r="F29" t="s">
        <v>3469</v>
      </c>
      <c r="G29" t="s">
        <v>3470</v>
      </c>
      <c r="I29" t="s">
        <v>51</v>
      </c>
      <c r="J29" s="32" t="str">
        <f t="shared" si="0"/>
        <v>Online Compensation Method for Contour Error in the Parallel Module of a Hybrid Gantry Machining Center</v>
      </c>
    </row>
    <row r="30" spans="1:10">
      <c r="A30" t="s">
        <v>3471</v>
      </c>
      <c r="B30" t="s">
        <v>3472</v>
      </c>
      <c r="C30">
        <v>2023</v>
      </c>
      <c r="D30" t="s">
        <v>3473</v>
      </c>
      <c r="E30" t="s">
        <v>51</v>
      </c>
      <c r="F30" t="s">
        <v>3474</v>
      </c>
      <c r="G30" t="s">
        <v>3475</v>
      </c>
      <c r="H30">
        <v>12</v>
      </c>
      <c r="I30" t="s">
        <v>51</v>
      </c>
      <c r="J30" s="32" t="str">
        <f t="shared" si="0"/>
        <v>RAPTOR: Advanced Persistent Threat Detection in Industrial IoT via Attack Stage Correlation</v>
      </c>
    </row>
    <row r="31" spans="1:10">
      <c r="A31" t="s">
        <v>3476</v>
      </c>
      <c r="B31" t="s">
        <v>3477</v>
      </c>
      <c r="C31">
        <v>2025</v>
      </c>
      <c r="D31" t="s">
        <v>3478</v>
      </c>
      <c r="E31" t="s">
        <v>51</v>
      </c>
      <c r="F31" t="s">
        <v>3479</v>
      </c>
      <c r="G31" t="s">
        <v>2402</v>
      </c>
      <c r="H31">
        <v>6</v>
      </c>
      <c r="I31" t="s">
        <v>51</v>
      </c>
      <c r="J31" s="32" t="str">
        <f t="shared" si="0"/>
        <v>Improving Security and Preventing Cyber Attacks in Smart Device Networks</v>
      </c>
    </row>
    <row r="32" spans="1:10">
      <c r="A32" t="s">
        <v>3480</v>
      </c>
      <c r="B32" t="s">
        <v>3481</v>
      </c>
      <c r="C32">
        <v>2025</v>
      </c>
      <c r="D32" t="s">
        <v>3482</v>
      </c>
      <c r="E32" t="s">
        <v>51</v>
      </c>
      <c r="F32" t="s">
        <v>3483</v>
      </c>
      <c r="G32" t="s">
        <v>2402</v>
      </c>
      <c r="H32">
        <v>6</v>
      </c>
      <c r="I32" t="s">
        <v>51</v>
      </c>
      <c r="J32" s="32" t="str">
        <f t="shared" si="0"/>
        <v>KOTO: A Kubernetes-Based Platform for Secure and Scalable OT Orchestration in Industry 5.0</v>
      </c>
    </row>
    <row r="33" spans="1:10">
      <c r="A33" t="s">
        <v>3484</v>
      </c>
      <c r="B33" t="s">
        <v>3485</v>
      </c>
      <c r="C33">
        <v>2023</v>
      </c>
      <c r="D33" t="s">
        <v>3486</v>
      </c>
      <c r="E33" t="s">
        <v>51</v>
      </c>
      <c r="F33" t="s">
        <v>3487</v>
      </c>
      <c r="G33" t="s">
        <v>3488</v>
      </c>
      <c r="H33">
        <v>33</v>
      </c>
      <c r="I33" t="s">
        <v>51</v>
      </c>
      <c r="J33" s="32" t="str">
        <f t="shared" si="0"/>
        <v>A Survey of Public IoT Datasets for Network Security Research</v>
      </c>
    </row>
    <row r="34" spans="1:10">
      <c r="A34" t="s">
        <v>3489</v>
      </c>
      <c r="B34" t="s">
        <v>3490</v>
      </c>
      <c r="C34">
        <v>2023</v>
      </c>
      <c r="D34" t="s">
        <v>3491</v>
      </c>
      <c r="E34" t="s">
        <v>51</v>
      </c>
      <c r="F34" t="s">
        <v>3492</v>
      </c>
      <c r="G34" t="s">
        <v>2402</v>
      </c>
      <c r="H34">
        <v>1</v>
      </c>
      <c r="I34" t="s">
        <v>51</v>
      </c>
      <c r="J34" s="32" t="str">
        <f t="shared" si="0"/>
        <v>Petri nets-based digital twin drives dual-arm cooperative manipulation</v>
      </c>
    </row>
    <row r="35" spans="1:10">
      <c r="A35" t="s">
        <v>1316</v>
      </c>
      <c r="B35" t="s">
        <v>133</v>
      </c>
      <c r="C35">
        <v>2025</v>
      </c>
      <c r="D35" t="s">
        <v>3493</v>
      </c>
      <c r="E35" t="s">
        <v>51</v>
      </c>
      <c r="F35" t="s">
        <v>3494</v>
      </c>
      <c r="G35" t="s">
        <v>2402</v>
      </c>
      <c r="H35">
        <v>8</v>
      </c>
      <c r="I35" t="s">
        <v>51</v>
      </c>
      <c r="J35" s="32" t="str">
        <f t="shared" si="0"/>
        <v>IoTForge Pro: A Security Testbed for Generating Intrusion Dataset for Industrial IoT</v>
      </c>
    </row>
    <row r="36" spans="1:10">
      <c r="A36" t="s">
        <v>3495</v>
      </c>
      <c r="B36" t="s">
        <v>3496</v>
      </c>
      <c r="C36">
        <v>2024</v>
      </c>
      <c r="D36" t="s">
        <v>3497</v>
      </c>
      <c r="E36" t="s">
        <v>51</v>
      </c>
      <c r="F36" t="s">
        <v>3498</v>
      </c>
      <c r="G36" t="s">
        <v>3499</v>
      </c>
      <c r="H36">
        <v>1</v>
      </c>
      <c r="I36" t="s">
        <v>51</v>
      </c>
      <c r="J36" s="32" t="str">
        <f t="shared" si="0"/>
        <v>Design Model for the Digital Shadow of a Value Stream</v>
      </c>
    </row>
    <row r="37" spans="1:10">
      <c r="A37" t="s">
        <v>3500</v>
      </c>
      <c r="B37" t="s">
        <v>3501</v>
      </c>
      <c r="C37">
        <v>2023</v>
      </c>
      <c r="D37" t="s">
        <v>3502</v>
      </c>
      <c r="E37" t="s">
        <v>51</v>
      </c>
      <c r="F37" t="s">
        <v>3503</v>
      </c>
      <c r="G37" t="s">
        <v>2402</v>
      </c>
      <c r="H37">
        <v>11</v>
      </c>
      <c r="I37" t="s">
        <v>51</v>
      </c>
      <c r="J37" s="32" t="str">
        <f t="shared" si="0"/>
        <v>ExaMon-X: A Predictive Maintenance Framework for Automatic Monitoring in Industrial IoT Systems</v>
      </c>
    </row>
    <row r="38" spans="1:10">
      <c r="A38" t="s">
        <v>3504</v>
      </c>
      <c r="B38" t="s">
        <v>3505</v>
      </c>
      <c r="C38">
        <v>2024</v>
      </c>
      <c r="D38" t="s">
        <v>3506</v>
      </c>
      <c r="E38" t="s">
        <v>51</v>
      </c>
      <c r="F38" t="s">
        <v>3507</v>
      </c>
      <c r="G38" t="s">
        <v>2402</v>
      </c>
      <c r="H38">
        <v>4</v>
      </c>
      <c r="I38" t="s">
        <v>51</v>
      </c>
      <c r="J38" s="32" t="str">
        <f t="shared" si="0"/>
        <v>Equipment Failure Prediction using Artificial Intelligence on Vibration Data</v>
      </c>
    </row>
    <row r="39" spans="1:10">
      <c r="A39" t="s">
        <v>3509</v>
      </c>
      <c r="B39" t="s">
        <v>3510</v>
      </c>
      <c r="C39">
        <v>2023</v>
      </c>
      <c r="D39" t="s">
        <v>3511</v>
      </c>
      <c r="E39" t="s">
        <v>51</v>
      </c>
      <c r="F39" t="s">
        <v>3512</v>
      </c>
      <c r="G39" t="s">
        <v>2402</v>
      </c>
      <c r="H39">
        <v>10</v>
      </c>
      <c r="I39" t="s">
        <v>51</v>
      </c>
      <c r="J39" s="32" t="str">
        <f t="shared" si="0"/>
        <v>Interaction of Artificial Intelligence and Machining Processes Regarding Industry 4.0 Production Systems</v>
      </c>
    </row>
    <row r="40" spans="1:10">
      <c r="A40" t="s">
        <v>3513</v>
      </c>
      <c r="B40" t="s">
        <v>3514</v>
      </c>
      <c r="C40">
        <v>2024</v>
      </c>
      <c r="D40" t="s">
        <v>3515</v>
      </c>
      <c r="E40" t="s">
        <v>51</v>
      </c>
      <c r="F40" t="s">
        <v>3516</v>
      </c>
      <c r="G40" t="s">
        <v>2402</v>
      </c>
      <c r="H40">
        <v>6</v>
      </c>
      <c r="I40" t="s">
        <v>51</v>
      </c>
      <c r="J40" s="32" t="str">
        <f t="shared" si="0"/>
        <v>The Influence of Choosing Sensor Locations Inside Closed Facilities on the Reliability, Adaptability, and Energy Efficiency of IoT Systems</v>
      </c>
    </row>
    <row r="41" spans="1:10">
      <c r="A41" t="s">
        <v>3517</v>
      </c>
      <c r="B41" t="s">
        <v>3518</v>
      </c>
      <c r="C41">
        <v>2021</v>
      </c>
      <c r="D41" t="s">
        <v>3519</v>
      </c>
      <c r="E41" t="s">
        <v>51</v>
      </c>
      <c r="F41" t="s">
        <v>3520</v>
      </c>
      <c r="G41" t="s">
        <v>3521</v>
      </c>
      <c r="I41" t="s">
        <v>51</v>
      </c>
      <c r="J41" s="32" t="str">
        <f t="shared" si="0"/>
        <v>Messaging Protocols for IoT Systems-A Pragmatic Comparison.</v>
      </c>
    </row>
    <row r="42" spans="1:10">
      <c r="A42" t="s">
        <v>3523</v>
      </c>
      <c r="B42" t="s">
        <v>3524</v>
      </c>
      <c r="C42">
        <v>2021</v>
      </c>
      <c r="D42" t="s">
        <v>3525</v>
      </c>
      <c r="E42" t="s">
        <v>51</v>
      </c>
      <c r="F42" t="s">
        <v>3526</v>
      </c>
      <c r="G42" t="s">
        <v>3527</v>
      </c>
      <c r="I42" t="s">
        <v>51</v>
      </c>
      <c r="J42" s="32" t="str">
        <f t="shared" si="0"/>
        <v>Deep Learning-Based Intrusion Detection for Distributed Denial of Service Attack in Agriculture 4.0</v>
      </c>
    </row>
    <row r="43" spans="1:10">
      <c r="A43" t="s">
        <v>3528</v>
      </c>
      <c r="B43" t="s">
        <v>3529</v>
      </c>
      <c r="C43">
        <v>2024</v>
      </c>
      <c r="D43" t="s">
        <v>3530</v>
      </c>
      <c r="E43" t="s">
        <v>51</v>
      </c>
      <c r="F43" t="s">
        <v>3531</v>
      </c>
      <c r="G43" t="s">
        <v>3532</v>
      </c>
      <c r="H43">
        <v>1</v>
      </c>
      <c r="I43" t="s">
        <v>51</v>
      </c>
      <c r="J43" s="32" t="str">
        <f t="shared" si="0"/>
        <v>Smart IoT SCADA System for Hybrid Power Monitoring in Remote Natural Gas Pipeline Control Stations</v>
      </c>
    </row>
    <row r="44" spans="1:10">
      <c r="A44" t="s">
        <v>3533</v>
      </c>
      <c r="B44" t="s">
        <v>3534</v>
      </c>
      <c r="C44">
        <v>2025</v>
      </c>
      <c r="D44" t="s">
        <v>3535</v>
      </c>
      <c r="E44" t="s">
        <v>51</v>
      </c>
      <c r="F44" t="s">
        <v>3536</v>
      </c>
      <c r="G44" t="s">
        <v>2402</v>
      </c>
      <c r="H44">
        <v>14</v>
      </c>
      <c r="I44" t="s">
        <v>51</v>
      </c>
      <c r="J44" s="32" t="str">
        <f t="shared" si="0"/>
        <v>Enhancing Cybersecurity in Industrial Internet of Things: Machine Learning-Based Approaches for Cyber-Attack Detection in a Realworld Testbed Environment</v>
      </c>
    </row>
    <row r="45" spans="1:10">
      <c r="A45" t="s">
        <v>3537</v>
      </c>
      <c r="B45" t="s">
        <v>3538</v>
      </c>
      <c r="C45">
        <v>2020</v>
      </c>
      <c r="D45" t="s">
        <v>3539</v>
      </c>
      <c r="E45" t="s">
        <v>51</v>
      </c>
      <c r="F45" t="s">
        <v>3540</v>
      </c>
      <c r="G45" t="s">
        <v>3541</v>
      </c>
      <c r="H45">
        <v>19</v>
      </c>
      <c r="I45" t="s">
        <v>51</v>
      </c>
      <c r="J45" s="32" t="str">
        <f t="shared" si="0"/>
        <v>Wireless Cyber-Physical Systems Performance Evaluation through a Graph Database Approach.</v>
      </c>
    </row>
    <row r="46" spans="1:10">
      <c r="A46" t="s">
        <v>3542</v>
      </c>
      <c r="B46" t="s">
        <v>3543</v>
      </c>
      <c r="C46">
        <v>2025</v>
      </c>
      <c r="D46" t="s">
        <v>3544</v>
      </c>
      <c r="E46" t="s">
        <v>51</v>
      </c>
      <c r="F46" t="s">
        <v>3545</v>
      </c>
      <c r="G46" t="s">
        <v>3546</v>
      </c>
      <c r="I46" t="s">
        <v>51</v>
      </c>
      <c r="J46" s="32" t="str">
        <f t="shared" si="0"/>
        <v>Orchestrating Embodied Systems through the Embodied Context Protocol: Motivation, Progress, and Directions.</v>
      </c>
    </row>
    <row r="47" spans="1:10">
      <c r="A47" t="s">
        <v>3547</v>
      </c>
      <c r="B47" t="s">
        <v>3548</v>
      </c>
      <c r="C47">
        <v>2020</v>
      </c>
      <c r="D47" t="s">
        <v>3549</v>
      </c>
      <c r="E47" t="s">
        <v>51</v>
      </c>
      <c r="F47" t="s">
        <v>3550</v>
      </c>
      <c r="G47" t="s">
        <v>3551</v>
      </c>
      <c r="H47">
        <v>6</v>
      </c>
      <c r="I47" t="s">
        <v>51</v>
      </c>
      <c r="J47" s="32" t="str">
        <f t="shared" si="0"/>
        <v>Functioning and Development of a Real-Time Information System for the Oil Treatment Technological Process Control</v>
      </c>
    </row>
    <row r="48" spans="1:10">
      <c r="A48" t="s">
        <v>3552</v>
      </c>
      <c r="B48" t="s">
        <v>3553</v>
      </c>
      <c r="C48">
        <v>2024</v>
      </c>
      <c r="D48" t="s">
        <v>3554</v>
      </c>
      <c r="E48" t="s">
        <v>51</v>
      </c>
      <c r="F48" t="s">
        <v>3555</v>
      </c>
      <c r="G48" t="s">
        <v>2402</v>
      </c>
      <c r="H48">
        <v>8</v>
      </c>
      <c r="I48" t="s">
        <v>51</v>
      </c>
      <c r="J48" s="32" t="str">
        <f t="shared" si="0"/>
        <v>OPC UA PubSub and Industrial Controller Redundancy</v>
      </c>
    </row>
    <row r="49" spans="1:10">
      <c r="A49" t="s">
        <v>3556</v>
      </c>
      <c r="B49" t="s">
        <v>3557</v>
      </c>
      <c r="C49">
        <v>2023</v>
      </c>
      <c r="D49" t="s">
        <v>3558</v>
      </c>
      <c r="E49" t="s">
        <v>51</v>
      </c>
      <c r="F49" t="s">
        <v>3559</v>
      </c>
      <c r="G49" t="s">
        <v>2402</v>
      </c>
      <c r="H49">
        <v>14</v>
      </c>
      <c r="I49" t="s">
        <v>51</v>
      </c>
      <c r="J49" s="32" t="str">
        <f t="shared" si="0"/>
        <v>Evaluation of quality of service parameters for MQTT communication in IoT application by using deep neural network</v>
      </c>
    </row>
    <row r="50" spans="1:10">
      <c r="A50" t="s">
        <v>3560</v>
      </c>
      <c r="B50" t="s">
        <v>3561</v>
      </c>
      <c r="C50">
        <v>2019</v>
      </c>
      <c r="D50" t="s">
        <v>3562</v>
      </c>
      <c r="E50" t="s">
        <v>51</v>
      </c>
      <c r="F50" t="s">
        <v>3563</v>
      </c>
      <c r="G50" t="s">
        <v>3564</v>
      </c>
      <c r="H50">
        <v>12</v>
      </c>
      <c r="I50" t="s">
        <v>51</v>
      </c>
      <c r="J50" s="32" t="str">
        <f t="shared" si="0"/>
        <v>Game Theoretic Feedback Control for Reliability Enhancement of EtherCAT-Based Networked Systems</v>
      </c>
    </row>
    <row r="51" spans="1:10">
      <c r="A51" t="s">
        <v>3565</v>
      </c>
      <c r="B51" t="s">
        <v>3566</v>
      </c>
      <c r="C51">
        <v>2023</v>
      </c>
      <c r="D51" t="s">
        <v>3567</v>
      </c>
      <c r="E51" t="s">
        <v>51</v>
      </c>
      <c r="F51" t="s">
        <v>3568</v>
      </c>
      <c r="G51" t="s">
        <v>3569</v>
      </c>
      <c r="H51">
        <v>6</v>
      </c>
      <c r="I51" t="s">
        <v>51</v>
      </c>
      <c r="J51" s="32" t="str">
        <f t="shared" si="0"/>
        <v>Centralized controlling of distributed PV systems using cloud and IoT technologies</v>
      </c>
    </row>
    <row r="52" spans="1:10">
      <c r="A52" t="s">
        <v>3570</v>
      </c>
      <c r="B52" t="s">
        <v>3571</v>
      </c>
      <c r="C52">
        <v>2022</v>
      </c>
      <c r="D52" t="s">
        <v>3572</v>
      </c>
      <c r="E52" t="s">
        <v>51</v>
      </c>
      <c r="F52" t="s">
        <v>3573</v>
      </c>
      <c r="G52" t="s">
        <v>3574</v>
      </c>
      <c r="H52">
        <v>8</v>
      </c>
      <c r="I52" t="s">
        <v>51</v>
      </c>
      <c r="J52" s="32" t="str">
        <f t="shared" si="0"/>
        <v>A Thorough Analysis and Comparison of Data Communication Protocols Used in Industry 4.0: the Case of Smart-CNC</v>
      </c>
    </row>
    <row r="53" spans="1:10">
      <c r="A53" t="s">
        <v>3575</v>
      </c>
      <c r="B53" t="s">
        <v>3576</v>
      </c>
      <c r="C53">
        <v>2019</v>
      </c>
      <c r="D53" t="s">
        <v>3577</v>
      </c>
      <c r="E53" t="s">
        <v>51</v>
      </c>
      <c r="F53" t="s">
        <v>3578</v>
      </c>
      <c r="G53" t="s">
        <v>3579</v>
      </c>
      <c r="H53">
        <v>6</v>
      </c>
      <c r="I53" t="s">
        <v>51</v>
      </c>
      <c r="J53" s="32" t="str">
        <f t="shared" si="0"/>
        <v>Redundancy for an all-in-one ISA100.11a Gateway: Protocol Design and Hardware Integration</v>
      </c>
    </row>
    <row r="54" spans="1:10">
      <c r="A54" t="s">
        <v>3580</v>
      </c>
      <c r="B54" t="s">
        <v>3581</v>
      </c>
      <c r="C54">
        <v>2025</v>
      </c>
      <c r="D54" t="s">
        <v>3582</v>
      </c>
      <c r="E54" t="s">
        <v>51</v>
      </c>
      <c r="F54" t="s">
        <v>3583</v>
      </c>
      <c r="G54" t="s">
        <v>2402</v>
      </c>
      <c r="H54">
        <v>7</v>
      </c>
      <c r="I54" t="s">
        <v>51</v>
      </c>
      <c r="J54" s="32" t="str">
        <f t="shared" si="0"/>
        <v>Driving Factors Behind Adopting Virtual Testbeds for ICS Cybersecurity Education.</v>
      </c>
    </row>
    <row r="55" spans="1:10">
      <c r="A55" t="s">
        <v>3584</v>
      </c>
      <c r="B55" t="s">
        <v>3585</v>
      </c>
      <c r="C55">
        <v>2025</v>
      </c>
      <c r="D55" t="s">
        <v>3586</v>
      </c>
      <c r="E55" t="s">
        <v>51</v>
      </c>
      <c r="F55" t="s">
        <v>3587</v>
      </c>
      <c r="G55" t="s">
        <v>2402</v>
      </c>
      <c r="H55">
        <v>17</v>
      </c>
      <c r="I55" t="s">
        <v>51</v>
      </c>
      <c r="J55" s="32" t="str">
        <f t="shared" si="0"/>
        <v>A platform-enabled CNC within edge-cloud environments: perspectives, challenges, and potential solutions</v>
      </c>
    </row>
    <row r="56" spans="1:10">
      <c r="A56" t="s">
        <v>3588</v>
      </c>
      <c r="B56" t="s">
        <v>3589</v>
      </c>
      <c r="C56">
        <v>2025</v>
      </c>
      <c r="D56" t="s">
        <v>3590</v>
      </c>
      <c r="E56" t="s">
        <v>51</v>
      </c>
      <c r="F56" t="s">
        <v>3591</v>
      </c>
      <c r="G56" t="s">
        <v>2402</v>
      </c>
      <c r="H56">
        <v>10</v>
      </c>
      <c r="I56" t="s">
        <v>51</v>
      </c>
      <c r="J56" s="32" t="str">
        <f t="shared" si="0"/>
        <v>Voltage Regulation in Microgrids via Modulation Communication: A Distributed Output Consensus Approach</v>
      </c>
    </row>
    <row r="57" spans="1:10">
      <c r="A57" t="s">
        <v>3592</v>
      </c>
      <c r="B57" t="s">
        <v>3593</v>
      </c>
      <c r="C57">
        <v>2022</v>
      </c>
      <c r="D57" t="s">
        <v>3594</v>
      </c>
      <c r="E57" t="s">
        <v>51</v>
      </c>
      <c r="F57" t="s">
        <v>3595</v>
      </c>
      <c r="G57" t="s">
        <v>3596</v>
      </c>
      <c r="H57">
        <v>9</v>
      </c>
      <c r="I57" t="s">
        <v>51</v>
      </c>
      <c r="J57" s="32" t="str">
        <f t="shared" si="0"/>
        <v>Trustworthy and Reliable Deep Learning-based Cyberattack Detection in Industrial IoT.</v>
      </c>
    </row>
    <row r="58" spans="1:10">
      <c r="A58" t="s">
        <v>3597</v>
      </c>
      <c r="B58" t="s">
        <v>3598</v>
      </c>
      <c r="C58">
        <v>2025</v>
      </c>
      <c r="D58" t="s">
        <v>3599</v>
      </c>
      <c r="E58" t="s">
        <v>51</v>
      </c>
      <c r="F58" t="s">
        <v>3600</v>
      </c>
      <c r="G58" t="s">
        <v>2402</v>
      </c>
      <c r="H58">
        <v>11</v>
      </c>
      <c r="I58" t="s">
        <v>51</v>
      </c>
      <c r="J58" s="32" t="str">
        <f t="shared" si="0"/>
        <v>Characterizing the Real-Time Communication Performance of Virtual PLC in Industrial Edge Platform</v>
      </c>
    </row>
    <row r="59" spans="1:10">
      <c r="A59" t="s">
        <v>3601</v>
      </c>
      <c r="B59" t="s">
        <v>258</v>
      </c>
      <c r="C59">
        <v>2022</v>
      </c>
      <c r="D59" t="s">
        <v>3602</v>
      </c>
      <c r="E59" t="s">
        <v>51</v>
      </c>
      <c r="F59" t="s">
        <v>3603</v>
      </c>
      <c r="G59" t="s">
        <v>526</v>
      </c>
      <c r="H59">
        <v>8</v>
      </c>
      <c r="I59" t="s">
        <v>51</v>
      </c>
      <c r="J59" s="32" t="str">
        <f t="shared" si="0"/>
        <v>A Comparative Study to Evaluate the Performance of Communication Protocols for Process Industry</v>
      </c>
    </row>
    <row r="60" spans="1:10">
      <c r="A60" t="s">
        <v>3604</v>
      </c>
      <c r="B60" t="s">
        <v>3605</v>
      </c>
      <c r="C60">
        <v>2023</v>
      </c>
      <c r="D60" t="s">
        <v>3606</v>
      </c>
      <c r="E60" t="s">
        <v>51</v>
      </c>
      <c r="F60" t="s">
        <v>3607</v>
      </c>
      <c r="G60" t="s">
        <v>3608</v>
      </c>
      <c r="H60">
        <v>19</v>
      </c>
      <c r="I60" t="s">
        <v>51</v>
      </c>
      <c r="J60" s="32" t="str">
        <f t="shared" si="0"/>
        <v>A Hybrid VLC/RF Parking Automation System</v>
      </c>
    </row>
    <row r="61" spans="1:10">
      <c r="A61" t="s">
        <v>3609</v>
      </c>
      <c r="B61" t="s">
        <v>3610</v>
      </c>
      <c r="C61">
        <v>2025</v>
      </c>
      <c r="D61" t="s">
        <v>3611</v>
      </c>
      <c r="E61" t="s">
        <v>51</v>
      </c>
      <c r="F61" t="s">
        <v>3612</v>
      </c>
      <c r="G61" t="s">
        <v>3613</v>
      </c>
      <c r="H61">
        <v>1</v>
      </c>
      <c r="I61" t="s">
        <v>51</v>
      </c>
      <c r="J61" s="32" t="str">
        <f t="shared" si="0"/>
        <v>INFORMATION PROTECTION IN AUTOMATED SYSTEMS BASED ON A CONCEPTUAL MODEL WITH FORMALIZED EFFICIENCY EVALUATION</v>
      </c>
    </row>
    <row r="62" spans="1:10">
      <c r="A62" t="s">
        <v>3614</v>
      </c>
      <c r="B62" t="s">
        <v>3615</v>
      </c>
      <c r="C62">
        <v>2024</v>
      </c>
      <c r="D62" t="s">
        <v>3616</v>
      </c>
      <c r="E62" t="s">
        <v>51</v>
      </c>
      <c r="F62" t="s">
        <v>3617</v>
      </c>
      <c r="G62" t="s">
        <v>3618</v>
      </c>
      <c r="I62" t="s">
        <v>51</v>
      </c>
      <c r="J62" s="32" t="str">
        <f t="shared" si="0"/>
        <v>A Novel Industrial Software Model for Social Manufacturing</v>
      </c>
    </row>
    <row r="63" spans="1:10">
      <c r="A63" t="s">
        <v>3619</v>
      </c>
      <c r="B63" t="s">
        <v>3620</v>
      </c>
      <c r="C63">
        <v>2025</v>
      </c>
      <c r="D63" t="s">
        <v>3621</v>
      </c>
      <c r="E63" t="s">
        <v>51</v>
      </c>
      <c r="F63" t="s">
        <v>3622</v>
      </c>
      <c r="G63" t="s">
        <v>3623</v>
      </c>
      <c r="I63" t="s">
        <v>51</v>
      </c>
      <c r="J63" s="32" t="str">
        <f t="shared" ref="J63:J125" si="1">HYPERLINK($D63,$B63)</f>
        <v>A Systematic Review of Recent Advances in IoT-Based Sensor Networks for Warehouse Management</v>
      </c>
    </row>
    <row r="64" spans="1:10">
      <c r="A64" t="s">
        <v>3624</v>
      </c>
      <c r="B64" t="s">
        <v>3625</v>
      </c>
      <c r="C64">
        <v>2022</v>
      </c>
      <c r="D64" t="s">
        <v>3626</v>
      </c>
      <c r="E64" t="s">
        <v>51</v>
      </c>
      <c r="F64" t="s">
        <v>3627</v>
      </c>
      <c r="G64" t="s">
        <v>3628</v>
      </c>
      <c r="H64">
        <v>1</v>
      </c>
      <c r="I64" t="s">
        <v>51</v>
      </c>
      <c r="J64" s="32" t="str">
        <f t="shared" si="1"/>
        <v>An Aggregated Data Integration Approach to the Web and Cloud Platforms through a Modular REST-Based OPC UA Middleware.</v>
      </c>
    </row>
    <row r="65" spans="1:10">
      <c r="A65" t="s">
        <v>3629</v>
      </c>
      <c r="B65" t="s">
        <v>3630</v>
      </c>
      <c r="C65">
        <v>2025</v>
      </c>
      <c r="D65" t="s">
        <v>3631</v>
      </c>
      <c r="E65" t="s">
        <v>51</v>
      </c>
      <c r="F65" t="s">
        <v>3632</v>
      </c>
      <c r="G65" t="s">
        <v>2402</v>
      </c>
      <c r="H65">
        <v>6</v>
      </c>
      <c r="I65" t="s">
        <v>51</v>
      </c>
      <c r="J65" s="32" t="str">
        <f t="shared" si="1"/>
        <v>Blake-2s based Improved Authentication Scheme for IEC 61850 GOOSE Messages</v>
      </c>
    </row>
    <row r="66" spans="1:10">
      <c r="A66" t="s">
        <v>3633</v>
      </c>
      <c r="B66" t="s">
        <v>3634</v>
      </c>
      <c r="C66">
        <v>2022</v>
      </c>
      <c r="D66" t="s">
        <v>3635</v>
      </c>
      <c r="E66" t="s">
        <v>51</v>
      </c>
      <c r="F66" t="s">
        <v>3636</v>
      </c>
      <c r="G66" t="s">
        <v>3637</v>
      </c>
      <c r="H66">
        <v>1</v>
      </c>
      <c r="I66" t="s">
        <v>51</v>
      </c>
      <c r="J66" s="32" t="str">
        <f t="shared" si="1"/>
        <v>Predictive Energy-Aware Routing Solution for Industrial IoT Evaluated on a WSN Hardware Platform.</v>
      </c>
    </row>
    <row r="67" spans="1:10">
      <c r="A67" t="s">
        <v>3638</v>
      </c>
      <c r="B67" t="s">
        <v>3639</v>
      </c>
      <c r="C67">
        <v>2023</v>
      </c>
      <c r="D67" t="s">
        <v>3640</v>
      </c>
      <c r="E67" t="s">
        <v>51</v>
      </c>
      <c r="F67" t="s">
        <v>3641</v>
      </c>
      <c r="G67" t="s">
        <v>3642</v>
      </c>
      <c r="H67">
        <v>10</v>
      </c>
      <c r="I67" t="s">
        <v>51</v>
      </c>
      <c r="J67" s="32" t="str">
        <f t="shared" si="1"/>
        <v>Communication in collaborating construction equipment</v>
      </c>
    </row>
    <row r="68" spans="1:10">
      <c r="A68" t="s">
        <v>3643</v>
      </c>
      <c r="B68" t="s">
        <v>3644</v>
      </c>
      <c r="C68">
        <v>2024</v>
      </c>
      <c r="D68" t="s">
        <v>3645</v>
      </c>
      <c r="E68" t="s">
        <v>51</v>
      </c>
      <c r="F68" t="s">
        <v>3646</v>
      </c>
      <c r="G68" t="s">
        <v>2402</v>
      </c>
      <c r="H68">
        <v>13</v>
      </c>
      <c r="I68" t="s">
        <v>51</v>
      </c>
      <c r="J68" s="32" t="str">
        <f t="shared" si="1"/>
        <v>A Blockchain-Reinforced Federated Intrusion Detection Architecture for IIoT</v>
      </c>
    </row>
    <row r="69" spans="1:10">
      <c r="A69" t="s">
        <v>3647</v>
      </c>
      <c r="B69" t="s">
        <v>3648</v>
      </c>
      <c r="C69">
        <v>2023</v>
      </c>
      <c r="D69" t="s">
        <v>3649</v>
      </c>
      <c r="E69" t="s">
        <v>51</v>
      </c>
      <c r="F69" t="s">
        <v>3650</v>
      </c>
      <c r="G69" t="s">
        <v>3651</v>
      </c>
      <c r="H69">
        <v>12</v>
      </c>
      <c r="I69" t="s">
        <v>51</v>
      </c>
      <c r="J69" s="32" t="str">
        <f t="shared" si="1"/>
        <v>OPC UA client-server connection over an ISO 11783 vehicle network</v>
      </c>
    </row>
    <row r="70" spans="1:10">
      <c r="A70" t="s">
        <v>3652</v>
      </c>
      <c r="B70" t="s">
        <v>3653</v>
      </c>
      <c r="C70">
        <v>2024</v>
      </c>
      <c r="D70" t="s">
        <v>3654</v>
      </c>
      <c r="E70" t="s">
        <v>51</v>
      </c>
      <c r="F70" t="s">
        <v>3655</v>
      </c>
      <c r="G70" t="s">
        <v>3656</v>
      </c>
      <c r="H70">
        <v>1</v>
      </c>
      <c r="I70" t="s">
        <v>51</v>
      </c>
      <c r="J70" s="32" t="str">
        <f t="shared" si="1"/>
        <v>Towards a Software-Defined Industrial IoT-Edge Network for Next-Generation Offshore Wind Farms: State of the Art, Resilience, and Self-X Network and Service Management</v>
      </c>
    </row>
    <row r="71" spans="1:10">
      <c r="A71" t="s">
        <v>3657</v>
      </c>
      <c r="B71" t="s">
        <v>3658</v>
      </c>
      <c r="C71">
        <v>2018</v>
      </c>
      <c r="D71" t="s">
        <v>3659</v>
      </c>
      <c r="E71" t="s">
        <v>51</v>
      </c>
      <c r="F71" t="s">
        <v>3660</v>
      </c>
      <c r="G71" t="s">
        <v>3661</v>
      </c>
      <c r="H71">
        <v>6</v>
      </c>
      <c r="I71" t="s">
        <v>51</v>
      </c>
      <c r="J71" s="32" t="str">
        <f t="shared" si="1"/>
        <v>WiSEE - Wireless Transmission of Sensor Data over UWB in Spacecraft Payload Networks</v>
      </c>
    </row>
    <row r="72" spans="1:10">
      <c r="A72" t="s">
        <v>3662</v>
      </c>
      <c r="B72" t="s">
        <v>3663</v>
      </c>
      <c r="C72">
        <v>2025</v>
      </c>
      <c r="D72" t="s">
        <v>3664</v>
      </c>
      <c r="E72" t="s">
        <v>51</v>
      </c>
      <c r="F72" t="s">
        <v>3665</v>
      </c>
      <c r="G72" t="s">
        <v>3666</v>
      </c>
      <c r="I72" t="s">
        <v>51</v>
      </c>
      <c r="J72" s="32" t="str">
        <f t="shared" si="1"/>
        <v>The Digital Backbone of Manufacturing: A Framework for Network Protocol Selection</v>
      </c>
    </row>
    <row r="73" spans="1:10">
      <c r="A73" t="s">
        <v>3667</v>
      </c>
      <c r="B73" t="s">
        <v>3668</v>
      </c>
      <c r="C73">
        <v>2020</v>
      </c>
      <c r="D73" t="s">
        <v>3669</v>
      </c>
      <c r="E73" t="s">
        <v>51</v>
      </c>
      <c r="F73" t="s">
        <v>3670</v>
      </c>
      <c r="G73" t="s">
        <v>3671</v>
      </c>
      <c r="H73">
        <v>8</v>
      </c>
      <c r="I73" t="s">
        <v>51</v>
      </c>
      <c r="J73" s="32" t="str">
        <f t="shared" si="1"/>
        <v>ETFA - Clock Synchronization in Integrated TSN-EtherCAT Networks</v>
      </c>
    </row>
    <row r="74" spans="1:10">
      <c r="A74" t="s">
        <v>3672</v>
      </c>
      <c r="B74" t="s">
        <v>3673</v>
      </c>
      <c r="C74">
        <v>2025</v>
      </c>
      <c r="D74" t="s">
        <v>3674</v>
      </c>
      <c r="E74" t="s">
        <v>51</v>
      </c>
      <c r="F74" t="s">
        <v>3675</v>
      </c>
      <c r="G74" t="s">
        <v>2402</v>
      </c>
      <c r="H74">
        <v>14</v>
      </c>
      <c r="I74" t="s">
        <v>51</v>
      </c>
      <c r="J74" s="32" t="str">
        <f t="shared" si="1"/>
        <v>End-to-End Visual Control Framework in Wireless TSN Networks for Industrial IoT</v>
      </c>
    </row>
    <row r="75" spans="1:10">
      <c r="A75" t="s">
        <v>3676</v>
      </c>
      <c r="B75" t="s">
        <v>3677</v>
      </c>
      <c r="C75">
        <v>2025</v>
      </c>
      <c r="D75" t="s">
        <v>3678</v>
      </c>
      <c r="E75" t="s">
        <v>51</v>
      </c>
      <c r="F75" t="s">
        <v>3679</v>
      </c>
      <c r="G75" t="s">
        <v>2402</v>
      </c>
      <c r="H75">
        <v>6</v>
      </c>
      <c r="I75" t="s">
        <v>51</v>
      </c>
      <c r="J75" s="32" t="str">
        <f t="shared" si="1"/>
        <v>Beyond the Virtual PLC Networking Constraints: MACvLAN Approach in Industrial Environments</v>
      </c>
    </row>
    <row r="76" spans="1:10">
      <c r="A76" t="s">
        <v>3680</v>
      </c>
      <c r="B76" t="s">
        <v>3681</v>
      </c>
      <c r="C76">
        <v>2023</v>
      </c>
      <c r="D76" t="s">
        <v>3682</v>
      </c>
      <c r="E76" t="s">
        <v>51</v>
      </c>
      <c r="F76" t="s">
        <v>3683</v>
      </c>
      <c r="G76" t="s">
        <v>3684</v>
      </c>
      <c r="H76">
        <v>6</v>
      </c>
      <c r="I76" t="s">
        <v>51</v>
      </c>
      <c r="J76" s="32" t="str">
        <f t="shared" si="1"/>
        <v>A Study on 28 GHz Power Amplifiers for Industrial Revolution 4.0 Compatible 5G NR FR2 IoT Transceivers</v>
      </c>
    </row>
    <row r="77" spans="1:10">
      <c r="A77" t="s">
        <v>3685</v>
      </c>
      <c r="B77" t="s">
        <v>3686</v>
      </c>
      <c r="C77">
        <v>2025</v>
      </c>
      <c r="D77" t="s">
        <v>3687</v>
      </c>
      <c r="E77" t="s">
        <v>51</v>
      </c>
      <c r="F77" t="s">
        <v>3688</v>
      </c>
      <c r="G77" t="s">
        <v>2402</v>
      </c>
      <c r="H77">
        <v>4</v>
      </c>
      <c r="I77" t="s">
        <v>51</v>
      </c>
      <c r="J77" s="32" t="str">
        <f t="shared" si="1"/>
        <v>Methodological Study of Cross-Domain Co-Simulation for Port Equipment Operation Monitoring and Collaborative Early Warning</v>
      </c>
    </row>
    <row r="78" spans="1:10">
      <c r="A78" t="s">
        <v>3689</v>
      </c>
      <c r="B78" t="s">
        <v>3690</v>
      </c>
      <c r="C78">
        <v>2021</v>
      </c>
      <c r="D78" t="s">
        <v>3691</v>
      </c>
      <c r="E78" t="s">
        <v>51</v>
      </c>
      <c r="F78" t="s">
        <v>3692</v>
      </c>
      <c r="G78" t="s">
        <v>3693</v>
      </c>
      <c r="I78" t="s">
        <v>51</v>
      </c>
      <c r="J78" s="32" t="str">
        <f t="shared" si="1"/>
        <v>Asset Management Method of Industrial IoT Systems for Cyber-Security Countermeasures</v>
      </c>
    </row>
    <row r="79" spans="1:10">
      <c r="A79" t="s">
        <v>3694</v>
      </c>
      <c r="B79" t="s">
        <v>3695</v>
      </c>
      <c r="C79">
        <v>2021</v>
      </c>
      <c r="D79" t="s">
        <v>3696</v>
      </c>
      <c r="E79" t="s">
        <v>51</v>
      </c>
      <c r="F79" t="s">
        <v>3697</v>
      </c>
      <c r="G79" t="s">
        <v>3698</v>
      </c>
      <c r="H79">
        <v>21</v>
      </c>
      <c r="I79" t="s">
        <v>51</v>
      </c>
      <c r="J79" s="32" t="str">
        <f t="shared" si="1"/>
        <v>A threat intelligence framework for protecting smart satellite-based healthcare networks</v>
      </c>
    </row>
    <row r="80" spans="1:10">
      <c r="A80" t="s">
        <v>2879</v>
      </c>
      <c r="B80" t="s">
        <v>2880</v>
      </c>
      <c r="C80">
        <v>2022</v>
      </c>
      <c r="D80" t="s">
        <v>2881</v>
      </c>
      <c r="E80" t="s">
        <v>51</v>
      </c>
      <c r="F80" t="s">
        <v>2882</v>
      </c>
      <c r="G80" t="s">
        <v>2883</v>
      </c>
      <c r="H80">
        <v>19</v>
      </c>
      <c r="I80" t="s">
        <v>51</v>
      </c>
      <c r="J80" s="32" t="str">
        <f t="shared" si="1"/>
        <v>Performance Analysis of OPC UA for Industrial Interoperability towards Industry 4.0</v>
      </c>
    </row>
    <row r="81" spans="1:10">
      <c r="A81" t="s">
        <v>3699</v>
      </c>
      <c r="B81" t="s">
        <v>3700</v>
      </c>
      <c r="C81">
        <v>2023</v>
      </c>
      <c r="D81" t="s">
        <v>3701</v>
      </c>
      <c r="E81" t="s">
        <v>51</v>
      </c>
      <c r="F81" t="s">
        <v>3702</v>
      </c>
      <c r="G81" t="s">
        <v>3703</v>
      </c>
      <c r="H81">
        <v>8</v>
      </c>
      <c r="I81" t="s">
        <v>51</v>
      </c>
      <c r="J81" s="32" t="str">
        <f t="shared" si="1"/>
        <v>Benchmark and Design Support for Demand-Oriented Cloud-Communication Architectures of Cyber-Physical Production Systems</v>
      </c>
    </row>
    <row r="82" spans="1:10">
      <c r="A82" t="s">
        <v>3704</v>
      </c>
      <c r="B82" t="s">
        <v>3705</v>
      </c>
      <c r="C82">
        <v>2024</v>
      </c>
      <c r="D82" t="s">
        <v>3706</v>
      </c>
      <c r="E82" t="s">
        <v>51</v>
      </c>
      <c r="F82" t="s">
        <v>3707</v>
      </c>
      <c r="G82" t="s">
        <v>2402</v>
      </c>
      <c r="H82">
        <v>6</v>
      </c>
      <c r="I82" t="s">
        <v>51</v>
      </c>
      <c r="J82" s="32" t="str">
        <f t="shared" si="1"/>
        <v>A Real Network Performance Analysis Testbed for Encrypted MQTT in DMS</v>
      </c>
    </row>
    <row r="83" spans="1:10">
      <c r="A83" t="s">
        <v>3708</v>
      </c>
      <c r="B83" t="s">
        <v>3709</v>
      </c>
      <c r="C83">
        <v>2022</v>
      </c>
      <c r="D83" t="s">
        <v>3710</v>
      </c>
      <c r="E83" t="s">
        <v>51</v>
      </c>
      <c r="F83" t="s">
        <v>3711</v>
      </c>
      <c r="G83" t="s">
        <v>3712</v>
      </c>
      <c r="H83">
        <v>7</v>
      </c>
      <c r="I83" t="s">
        <v>51</v>
      </c>
      <c r="J83" s="32" t="str">
        <f t="shared" si="1"/>
        <v>ДОСЛІДЖЕННЯ ЕФЕКТИВНОСТІ ВИКОРИСТАННЯ РОЗПОДІЛЕНИХ БАЗ ДАНИХ В СИСТЕМАХ IIOT</v>
      </c>
    </row>
    <row r="84" spans="1:10">
      <c r="A84" t="s">
        <v>3714</v>
      </c>
      <c r="B84" t="s">
        <v>3715</v>
      </c>
      <c r="C84">
        <v>2020</v>
      </c>
      <c r="D84" t="s">
        <v>3716</v>
      </c>
      <c r="E84" t="s">
        <v>51</v>
      </c>
      <c r="F84" t="s">
        <v>3717</v>
      </c>
      <c r="G84" t="s">
        <v>3718</v>
      </c>
      <c r="H84">
        <v>7</v>
      </c>
      <c r="I84" t="s">
        <v>51</v>
      </c>
      <c r="J84" s="32" t="str">
        <f t="shared" si="1"/>
        <v>Performance Evaluation of an IEEE 802.11g Network in an Industrial Environment</v>
      </c>
    </row>
    <row r="85" spans="1:10">
      <c r="A85" t="s">
        <v>3409</v>
      </c>
      <c r="B85" t="s">
        <v>3719</v>
      </c>
      <c r="C85">
        <v>2023</v>
      </c>
      <c r="D85" t="s">
        <v>3720</v>
      </c>
      <c r="E85" t="s">
        <v>51</v>
      </c>
      <c r="F85" t="s">
        <v>3721</v>
      </c>
      <c r="G85" t="s">
        <v>3722</v>
      </c>
      <c r="H85">
        <v>6</v>
      </c>
      <c r="I85" t="s">
        <v>51</v>
      </c>
      <c r="J85" s="32" t="str">
        <f t="shared" si="1"/>
        <v>Improving Fault Tolerance and Tackling Broker Failure in MQTT through Blockchain</v>
      </c>
    </row>
    <row r="86" spans="1:10">
      <c r="A86" t="s">
        <v>3723</v>
      </c>
      <c r="B86" t="s">
        <v>3724</v>
      </c>
      <c r="C86">
        <v>2022</v>
      </c>
      <c r="D86" t="s">
        <v>3725</v>
      </c>
      <c r="E86" t="s">
        <v>51</v>
      </c>
      <c r="F86" t="s">
        <v>3726</v>
      </c>
      <c r="G86" t="s">
        <v>3727</v>
      </c>
      <c r="H86">
        <v>1</v>
      </c>
      <c r="I86" t="s">
        <v>51</v>
      </c>
      <c r="J86" s="32" t="str">
        <f t="shared" si="1"/>
        <v>Delay and Energy Consumption of MQTT over QUIC: An Empirical Characterization Using Commercial-Off-The-Shelf Devices.</v>
      </c>
    </row>
    <row r="87" spans="1:10">
      <c r="A87" t="s">
        <v>3728</v>
      </c>
      <c r="B87" t="s">
        <v>3729</v>
      </c>
      <c r="C87">
        <v>2024</v>
      </c>
      <c r="D87" t="s">
        <v>3730</v>
      </c>
      <c r="E87" t="s">
        <v>51</v>
      </c>
      <c r="F87" t="s">
        <v>3731</v>
      </c>
      <c r="G87" t="s">
        <v>2402</v>
      </c>
      <c r="H87">
        <v>6</v>
      </c>
      <c r="I87" t="s">
        <v>51</v>
      </c>
      <c r="J87" s="32" t="str">
        <f t="shared" si="1"/>
        <v>Time Sensitive Networking for Future Enabling Technologies: Overview and Measurement Issues for Metrological Characterization</v>
      </c>
    </row>
    <row r="88" spans="1:10">
      <c r="A88" t="s">
        <v>3732</v>
      </c>
      <c r="B88" t="s">
        <v>3733</v>
      </c>
      <c r="C88">
        <v>2023</v>
      </c>
      <c r="D88" t="s">
        <v>3734</v>
      </c>
      <c r="E88" t="s">
        <v>51</v>
      </c>
      <c r="F88" t="s">
        <v>3735</v>
      </c>
      <c r="G88" t="s">
        <v>3736</v>
      </c>
      <c r="H88">
        <v>6</v>
      </c>
      <c r="I88" t="s">
        <v>51</v>
      </c>
      <c r="J88" s="32" t="str">
        <f t="shared" si="1"/>
        <v>On the integration of OPC UA over Wired – Wireless Time Sensitive Networking</v>
      </c>
    </row>
    <row r="89" spans="1:10">
      <c r="A89" t="s">
        <v>3737</v>
      </c>
      <c r="B89" t="s">
        <v>3738</v>
      </c>
      <c r="C89">
        <v>2025</v>
      </c>
      <c r="D89" t="s">
        <v>3739</v>
      </c>
      <c r="E89" t="s">
        <v>51</v>
      </c>
      <c r="F89" t="s">
        <v>3740</v>
      </c>
      <c r="G89" t="s">
        <v>3741</v>
      </c>
      <c r="H89">
        <v>1</v>
      </c>
      <c r="I89" t="s">
        <v>51</v>
      </c>
      <c r="J89" s="32" t="str">
        <f t="shared" si="1"/>
        <v>Empirical Evaluation of TLS-Enhanced MQTT on IoT Devices for V2X Use Cases</v>
      </c>
    </row>
    <row r="90" spans="1:10">
      <c r="A90" t="s">
        <v>3742</v>
      </c>
      <c r="B90" t="s">
        <v>3743</v>
      </c>
      <c r="C90">
        <v>2024</v>
      </c>
      <c r="D90" t="s">
        <v>3744</v>
      </c>
      <c r="E90" t="s">
        <v>51</v>
      </c>
      <c r="F90" t="s">
        <v>3745</v>
      </c>
      <c r="G90" t="s">
        <v>2402</v>
      </c>
      <c r="H90">
        <v>5</v>
      </c>
      <c r="I90" t="s">
        <v>51</v>
      </c>
      <c r="J90" s="32" t="str">
        <f t="shared" si="1"/>
        <v>An Innovative Digital Twin of Integrated Transportation and Power Networks for Efficient Scheduling of Autonomous Electric Vehicles</v>
      </c>
    </row>
    <row r="91" spans="1:10">
      <c r="A91" t="s">
        <v>3746</v>
      </c>
      <c r="B91" t="s">
        <v>3747</v>
      </c>
      <c r="C91">
        <v>2025</v>
      </c>
      <c r="D91" t="s">
        <v>3748</v>
      </c>
      <c r="E91" t="s">
        <v>51</v>
      </c>
      <c r="F91" t="s">
        <v>3749</v>
      </c>
      <c r="G91" t="s">
        <v>2402</v>
      </c>
      <c r="H91">
        <v>25</v>
      </c>
      <c r="I91" t="s">
        <v>51</v>
      </c>
      <c r="J91" s="32" t="str">
        <f t="shared" si="1"/>
        <v>A Comprehensive Review on 5G IIoT Test-Beds</v>
      </c>
    </row>
    <row r="92" spans="1:10">
      <c r="A92" t="s">
        <v>3750</v>
      </c>
      <c r="B92" t="s">
        <v>3751</v>
      </c>
      <c r="C92">
        <v>2025</v>
      </c>
      <c r="D92" t="s">
        <v>3752</v>
      </c>
      <c r="E92" t="s">
        <v>51</v>
      </c>
      <c r="F92" t="s">
        <v>3753</v>
      </c>
      <c r="G92" t="s">
        <v>2402</v>
      </c>
      <c r="H92">
        <v>1</v>
      </c>
      <c r="I92" t="s">
        <v>51</v>
      </c>
      <c r="J92" s="32" t="str">
        <f t="shared" si="1"/>
        <v>Securing Industry 5.0: An explainable deep learning model for intrusion detection in cyber-physical systems</v>
      </c>
    </row>
    <row r="93" spans="1:10">
      <c r="A93" t="s">
        <v>3754</v>
      </c>
      <c r="B93" t="s">
        <v>3755</v>
      </c>
      <c r="C93">
        <v>2025</v>
      </c>
      <c r="D93" t="s">
        <v>3756</v>
      </c>
      <c r="E93" t="s">
        <v>51</v>
      </c>
      <c r="F93" t="s">
        <v>3757</v>
      </c>
      <c r="G93" t="s">
        <v>2402</v>
      </c>
      <c r="H93">
        <v>10</v>
      </c>
      <c r="I93" t="s">
        <v>51</v>
      </c>
      <c r="J93" s="32" t="str">
        <f t="shared" si="1"/>
        <v>Implementing and using smart maintenance technologies: Introducing challenges and enablers related to human, organizational and technological perspectives</v>
      </c>
    </row>
    <row r="94" spans="1:10">
      <c r="A94" t="s">
        <v>1255</v>
      </c>
      <c r="B94" t="s">
        <v>3758</v>
      </c>
      <c r="C94">
        <v>2019</v>
      </c>
      <c r="D94" t="s">
        <v>3759</v>
      </c>
      <c r="E94" t="s">
        <v>51</v>
      </c>
      <c r="F94" t="s">
        <v>3760</v>
      </c>
      <c r="G94" t="s">
        <v>2402</v>
      </c>
      <c r="H94">
        <v>10</v>
      </c>
      <c r="I94" t="s">
        <v>51</v>
      </c>
      <c r="J94" s="32" t="str">
        <f t="shared" si="1"/>
        <v>Performance evaluation of industrial Ethernet protocols for networked control application</v>
      </c>
    </row>
    <row r="95" spans="1:10">
      <c r="A95" t="s">
        <v>3761</v>
      </c>
      <c r="B95" t="s">
        <v>3762</v>
      </c>
      <c r="C95">
        <v>2024</v>
      </c>
      <c r="D95" t="s">
        <v>3763</v>
      </c>
      <c r="E95" t="s">
        <v>51</v>
      </c>
      <c r="F95" t="s">
        <v>3764</v>
      </c>
      <c r="G95" t="s">
        <v>2402</v>
      </c>
      <c r="H95">
        <v>14</v>
      </c>
      <c r="I95" t="s">
        <v>51</v>
      </c>
      <c r="J95" s="32" t="str">
        <f t="shared" si="1"/>
        <v>Comprehensive Exploration of IoT Communication Protocol: CoAP, MQTT, HTTP, LoRaWAN and AMQP</v>
      </c>
    </row>
    <row r="96" spans="1:10">
      <c r="A96" t="s">
        <v>3765</v>
      </c>
      <c r="B96" t="s">
        <v>3766</v>
      </c>
      <c r="C96">
        <v>2024</v>
      </c>
      <c r="D96" t="s">
        <v>3767</v>
      </c>
      <c r="E96" t="s">
        <v>51</v>
      </c>
      <c r="F96" t="s">
        <v>3768</v>
      </c>
      <c r="G96" t="s">
        <v>3769</v>
      </c>
      <c r="I96" t="s">
        <v>51</v>
      </c>
      <c r="J96" s="32" t="str">
        <f t="shared" si="1"/>
        <v>System architecture for small‐scale personalized production lines based on industrial Internet</v>
      </c>
    </row>
    <row r="97" spans="1:10">
      <c r="A97" t="s">
        <v>3770</v>
      </c>
      <c r="B97" t="s">
        <v>3771</v>
      </c>
      <c r="C97">
        <v>2024</v>
      </c>
      <c r="D97" t="s">
        <v>3772</v>
      </c>
      <c r="E97" t="s">
        <v>51</v>
      </c>
      <c r="F97" t="s">
        <v>3773</v>
      </c>
      <c r="G97" t="s">
        <v>3774</v>
      </c>
      <c r="H97">
        <v>1</v>
      </c>
      <c r="I97" t="s">
        <v>51</v>
      </c>
      <c r="J97" s="32" t="str">
        <f t="shared" si="1"/>
        <v>Enhancing Industrial Digitalisation through an Adaptable Component for Bridging Semantic Interoperability Gaps</v>
      </c>
    </row>
    <row r="98" spans="1:10">
      <c r="A98" t="s">
        <v>3775</v>
      </c>
      <c r="B98" t="s">
        <v>3776</v>
      </c>
      <c r="C98">
        <v>2026</v>
      </c>
      <c r="D98" t="s">
        <v>3777</v>
      </c>
      <c r="E98" t="s">
        <v>51</v>
      </c>
      <c r="F98" t="s">
        <v>3778</v>
      </c>
      <c r="G98" t="s">
        <v>3779</v>
      </c>
      <c r="I98" t="s">
        <v>51</v>
      </c>
      <c r="J98" s="32" t="str">
        <f t="shared" si="1"/>
        <v>Encryption for Industrial Control Systems: A Survey of Application-Level and Network-Level Approaches in Smart Grids</v>
      </c>
    </row>
    <row r="99" spans="1:10">
      <c r="A99" t="s">
        <v>3780</v>
      </c>
      <c r="B99" t="s">
        <v>3781</v>
      </c>
      <c r="C99">
        <v>2025</v>
      </c>
      <c r="D99" t="s">
        <v>3782</v>
      </c>
      <c r="E99" t="s">
        <v>51</v>
      </c>
      <c r="F99" t="s">
        <v>3783</v>
      </c>
      <c r="G99" t="s">
        <v>2402</v>
      </c>
      <c r="H99">
        <v>4</v>
      </c>
      <c r="I99" t="s">
        <v>51</v>
      </c>
      <c r="J99" s="32" t="str">
        <f t="shared" si="1"/>
        <v>Distributed Process Control and Interoperability Using IEC 61499 and MQTT</v>
      </c>
    </row>
    <row r="100" spans="1:10">
      <c r="A100" t="s">
        <v>3784</v>
      </c>
      <c r="B100" t="s">
        <v>3785</v>
      </c>
      <c r="C100">
        <v>2023</v>
      </c>
      <c r="D100" t="s">
        <v>3786</v>
      </c>
      <c r="E100" t="s">
        <v>51</v>
      </c>
      <c r="F100" t="s">
        <v>3787</v>
      </c>
      <c r="G100" t="s">
        <v>3788</v>
      </c>
      <c r="H100">
        <v>1</v>
      </c>
      <c r="I100" t="s">
        <v>51</v>
      </c>
      <c r="J100" s="32" t="str">
        <f t="shared" si="1"/>
        <v>Application of Machine Learning Algorithms for the Validation of a New CoAP-IoT Anomaly Detection Dataset</v>
      </c>
    </row>
    <row r="101" spans="1:10">
      <c r="A101" t="s">
        <v>3789</v>
      </c>
      <c r="B101" t="s">
        <v>3790</v>
      </c>
      <c r="C101">
        <v>2024</v>
      </c>
      <c r="D101" t="s">
        <v>3791</v>
      </c>
      <c r="E101" t="s">
        <v>51</v>
      </c>
      <c r="F101" t="s">
        <v>3792</v>
      </c>
      <c r="G101" t="s">
        <v>2402</v>
      </c>
      <c r="H101">
        <v>5</v>
      </c>
      <c r="I101" t="s">
        <v>51</v>
      </c>
      <c r="J101" s="32" t="str">
        <f t="shared" si="1"/>
        <v>Design of Cloud-Edge-Gateway Collaborative Zero-Trust Architecture and Workflow for Smart Factories</v>
      </c>
    </row>
    <row r="102" spans="1:10">
      <c r="A102" t="s">
        <v>3793</v>
      </c>
      <c r="B102" t="s">
        <v>3794</v>
      </c>
      <c r="C102">
        <v>2024</v>
      </c>
      <c r="D102" t="s">
        <v>3795</v>
      </c>
      <c r="E102" t="s">
        <v>51</v>
      </c>
      <c r="F102" t="s">
        <v>3796</v>
      </c>
      <c r="G102" t="s">
        <v>2402</v>
      </c>
      <c r="H102">
        <v>6</v>
      </c>
      <c r="I102" t="s">
        <v>51</v>
      </c>
      <c r="J102" s="32" t="str">
        <f t="shared" si="1"/>
        <v>Performance Evaluation of Application Layer IoT Protocols: MQTT and CoAP</v>
      </c>
    </row>
    <row r="103" spans="1:10">
      <c r="A103" t="s">
        <v>3797</v>
      </c>
      <c r="B103" t="s">
        <v>3798</v>
      </c>
      <c r="C103">
        <v>2025</v>
      </c>
      <c r="D103" t="s">
        <v>3799</v>
      </c>
      <c r="E103" t="s">
        <v>51</v>
      </c>
      <c r="F103" t="s">
        <v>3800</v>
      </c>
      <c r="G103" t="s">
        <v>2402</v>
      </c>
      <c r="H103">
        <v>22</v>
      </c>
      <c r="I103" t="s">
        <v>51</v>
      </c>
      <c r="J103" s="32" t="str">
        <f t="shared" si="1"/>
        <v>Mitigating 3D printing defects via cyber-physical systems: a process for fabricating defect-free components</v>
      </c>
    </row>
    <row r="104" spans="1:10">
      <c r="A104" t="s">
        <v>3801</v>
      </c>
      <c r="B104" t="s">
        <v>3802</v>
      </c>
      <c r="C104">
        <v>2024</v>
      </c>
      <c r="D104" t="s">
        <v>3803</v>
      </c>
      <c r="E104" t="s">
        <v>51</v>
      </c>
      <c r="F104" t="s">
        <v>3804</v>
      </c>
      <c r="G104" t="s">
        <v>3805</v>
      </c>
      <c r="H104">
        <v>19</v>
      </c>
      <c r="I104" t="s">
        <v>51</v>
      </c>
      <c r="J104" s="32" t="str">
        <f t="shared" si="1"/>
        <v>Environment Monitoring Subsystem Based on Recursive InterNetwork Architecture</v>
      </c>
    </row>
    <row r="105" spans="1:10">
      <c r="A105" t="s">
        <v>3806</v>
      </c>
      <c r="B105" t="s">
        <v>3807</v>
      </c>
      <c r="C105">
        <v>2023</v>
      </c>
      <c r="D105" t="s">
        <v>3808</v>
      </c>
      <c r="E105" t="s">
        <v>51</v>
      </c>
      <c r="F105" t="s">
        <v>3809</v>
      </c>
      <c r="G105" t="s">
        <v>3810</v>
      </c>
      <c r="I105" t="s">
        <v>51</v>
      </c>
      <c r="J105" s="32" t="str">
        <f t="shared" si="1"/>
        <v>When the digital twin meets the preventive conservation of movable wooden artifacts</v>
      </c>
    </row>
    <row r="106" spans="1:10">
      <c r="A106" t="s">
        <v>3811</v>
      </c>
      <c r="B106" t="s">
        <v>3812</v>
      </c>
      <c r="C106">
        <v>2022</v>
      </c>
      <c r="D106" t="s">
        <v>3813</v>
      </c>
      <c r="E106" t="s">
        <v>51</v>
      </c>
      <c r="F106" t="s">
        <v>3814</v>
      </c>
      <c r="G106" t="s">
        <v>3815</v>
      </c>
      <c r="H106">
        <v>6</v>
      </c>
      <c r="I106" t="s">
        <v>51</v>
      </c>
      <c r="J106" s="32" t="str">
        <f t="shared" si="1"/>
        <v>Deep Learning Applications for Blockchain in Industrial IoT</v>
      </c>
    </row>
    <row r="107" spans="1:10">
      <c r="A107" t="s">
        <v>3816</v>
      </c>
      <c r="B107" t="s">
        <v>3817</v>
      </c>
      <c r="C107">
        <v>2023</v>
      </c>
      <c r="D107" t="s">
        <v>3818</v>
      </c>
      <c r="E107" t="s">
        <v>51</v>
      </c>
      <c r="F107" t="s">
        <v>3819</v>
      </c>
      <c r="G107" t="s">
        <v>3820</v>
      </c>
      <c r="H107">
        <v>18</v>
      </c>
      <c r="I107" t="s">
        <v>51</v>
      </c>
      <c r="J107" s="32" t="str">
        <f t="shared" si="1"/>
        <v>Edge Computing: Use Cases and Research Challenges</v>
      </c>
    </row>
    <row r="108" spans="1:10">
      <c r="A108" t="s">
        <v>3821</v>
      </c>
      <c r="B108" t="s">
        <v>3822</v>
      </c>
      <c r="C108">
        <v>2021</v>
      </c>
      <c r="D108" t="s">
        <v>3823</v>
      </c>
      <c r="E108" t="s">
        <v>51</v>
      </c>
      <c r="F108" t="s">
        <v>3824</v>
      </c>
      <c r="G108" t="s">
        <v>3825</v>
      </c>
      <c r="H108">
        <v>19</v>
      </c>
      <c r="I108" t="s">
        <v>51</v>
      </c>
      <c r="J108" s="32" t="str">
        <f t="shared" si="1"/>
        <v>Data Security and Privacy in Industrial IoT</v>
      </c>
    </row>
    <row r="109" spans="1:10">
      <c r="A109" t="s">
        <v>3826</v>
      </c>
      <c r="B109" t="s">
        <v>3827</v>
      </c>
      <c r="C109">
        <v>2024</v>
      </c>
      <c r="D109" t="s">
        <v>3828</v>
      </c>
      <c r="E109" t="s">
        <v>51</v>
      </c>
      <c r="F109" t="s">
        <v>3829</v>
      </c>
      <c r="G109" t="s">
        <v>2402</v>
      </c>
      <c r="H109">
        <v>7</v>
      </c>
      <c r="I109" t="s">
        <v>51</v>
      </c>
      <c r="J109" s="32" t="str">
        <f t="shared" si="1"/>
        <v>Cloud Computing for High Voltage Substation Based Relay Protection</v>
      </c>
    </row>
    <row r="110" spans="1:10">
      <c r="A110" t="s">
        <v>3830</v>
      </c>
      <c r="B110" t="s">
        <v>3831</v>
      </c>
      <c r="C110">
        <v>2022</v>
      </c>
      <c r="D110" t="s">
        <v>3832</v>
      </c>
      <c r="E110" t="s">
        <v>51</v>
      </c>
      <c r="F110" t="s">
        <v>3833</v>
      </c>
      <c r="G110" t="s">
        <v>3834</v>
      </c>
      <c r="H110">
        <v>9</v>
      </c>
      <c r="I110" t="s">
        <v>51</v>
      </c>
      <c r="J110" s="32" t="str">
        <f t="shared" si="1"/>
        <v>An Online Model to Minimize Energy Consumption of IoT Sensors in Smart Cities</v>
      </c>
    </row>
    <row r="111" spans="1:10">
      <c r="A111" t="s">
        <v>3835</v>
      </c>
      <c r="B111" t="s">
        <v>3836</v>
      </c>
      <c r="C111">
        <v>2021</v>
      </c>
      <c r="D111" t="s">
        <v>3837</v>
      </c>
      <c r="E111" t="s">
        <v>51</v>
      </c>
      <c r="F111" t="s">
        <v>3838</v>
      </c>
      <c r="G111" t="s">
        <v>3839</v>
      </c>
      <c r="I111" t="s">
        <v>51</v>
      </c>
      <c r="J111" s="32" t="str">
        <f t="shared" si="1"/>
        <v>Model of a Device-Level Combined Wireless Network Based on NB-IoT and IEEE 802.15.4 Standards for Low-Power Applications in a Diverse IoT Framework.</v>
      </c>
    </row>
    <row r="112" spans="1:10">
      <c r="A112" t="s">
        <v>3840</v>
      </c>
      <c r="B112" t="s">
        <v>3841</v>
      </c>
      <c r="C112">
        <v>2023</v>
      </c>
      <c r="D112" t="s">
        <v>3842</v>
      </c>
      <c r="E112" t="s">
        <v>51</v>
      </c>
      <c r="F112" t="s">
        <v>3843</v>
      </c>
      <c r="G112" t="s">
        <v>2402</v>
      </c>
      <c r="H112">
        <v>1</v>
      </c>
      <c r="I112" t="s">
        <v>51</v>
      </c>
      <c r="J112" s="32" t="str">
        <f t="shared" si="1"/>
        <v>A chronological review of advanced metering infrastructure</v>
      </c>
    </row>
    <row r="113" spans="1:10">
      <c r="A113" t="s">
        <v>3844</v>
      </c>
      <c r="B113" t="s">
        <v>3845</v>
      </c>
      <c r="C113">
        <v>2025</v>
      </c>
      <c r="D113" t="s">
        <v>3846</v>
      </c>
      <c r="E113" t="s">
        <v>51</v>
      </c>
      <c r="F113" t="s">
        <v>3847</v>
      </c>
      <c r="G113" t="s">
        <v>2402</v>
      </c>
      <c r="H113">
        <v>5</v>
      </c>
      <c r="I113" t="s">
        <v>51</v>
      </c>
      <c r="J113" s="32" t="str">
        <f t="shared" si="1"/>
        <v>Joint Security-Reliability Performance Optimization in Low-Latency Industrial IoT Networks</v>
      </c>
    </row>
    <row r="114" spans="1:10">
      <c r="A114" t="s">
        <v>2021</v>
      </c>
      <c r="B114" t="s">
        <v>3848</v>
      </c>
      <c r="C114">
        <v>2025</v>
      </c>
      <c r="D114" t="s">
        <v>3849</v>
      </c>
      <c r="E114" t="s">
        <v>51</v>
      </c>
      <c r="F114" t="s">
        <v>2024</v>
      </c>
      <c r="G114" t="s">
        <v>2402</v>
      </c>
      <c r="H114">
        <v>8</v>
      </c>
      <c r="I114" t="s">
        <v>51</v>
      </c>
      <c r="J114" s="32" t="str">
        <f t="shared" si="1"/>
        <v>Identifying key attacks on an IEEE 9-Bus System by leveraging the MITRE ATT&amp;CK ICS Matrix</v>
      </c>
    </row>
    <row r="115" spans="1:10">
      <c r="A115" t="s">
        <v>3850</v>
      </c>
      <c r="B115" t="s">
        <v>3851</v>
      </c>
      <c r="C115">
        <v>2025</v>
      </c>
      <c r="D115" t="s">
        <v>3852</v>
      </c>
      <c r="E115" t="s">
        <v>51</v>
      </c>
      <c r="F115" t="s">
        <v>3853</v>
      </c>
      <c r="G115" t="s">
        <v>3854</v>
      </c>
      <c r="H115">
        <v>1</v>
      </c>
      <c r="I115" t="s">
        <v>51</v>
      </c>
      <c r="J115" s="32" t="str">
        <f t="shared" si="1"/>
        <v>Mapping of Industrial IoT to IEC 62443 Standards.</v>
      </c>
    </row>
    <row r="116" spans="1:10">
      <c r="A116" t="s">
        <v>3855</v>
      </c>
      <c r="B116" t="s">
        <v>3856</v>
      </c>
      <c r="C116">
        <v>2021</v>
      </c>
      <c r="D116" t="s">
        <v>3857</v>
      </c>
      <c r="E116" t="s">
        <v>51</v>
      </c>
      <c r="F116" t="s">
        <v>3858</v>
      </c>
      <c r="G116" t="s">
        <v>3859</v>
      </c>
      <c r="I116" t="s">
        <v>51</v>
      </c>
      <c r="J116" s="32" t="str">
        <f t="shared" si="1"/>
        <v>Engineering Interoperable, Plug-and-Play, Distributed, Robotic Control Systems for Futureproof Fusion Power Plants</v>
      </c>
    </row>
    <row r="117" spans="1:10">
      <c r="A117" t="s">
        <v>3860</v>
      </c>
      <c r="B117" t="s">
        <v>3861</v>
      </c>
      <c r="C117">
        <v>2024</v>
      </c>
      <c r="D117" t="s">
        <v>3862</v>
      </c>
      <c r="E117" t="s">
        <v>51</v>
      </c>
      <c r="F117" t="s">
        <v>3863</v>
      </c>
      <c r="G117" t="s">
        <v>3864</v>
      </c>
      <c r="H117">
        <v>24</v>
      </c>
      <c r="I117" t="s">
        <v>51</v>
      </c>
      <c r="J117" s="32" t="str">
        <f t="shared" si="1"/>
        <v>Cybersecurity Testbeds for IoT: A Systematic Literature Review and Taxonomy</v>
      </c>
    </row>
    <row r="118" spans="1:10">
      <c r="A118" t="s">
        <v>3865</v>
      </c>
      <c r="B118" t="s">
        <v>3866</v>
      </c>
      <c r="C118">
        <v>2023</v>
      </c>
      <c r="D118" t="s">
        <v>3867</v>
      </c>
      <c r="E118" t="s">
        <v>51</v>
      </c>
      <c r="F118" t="s">
        <v>3868</v>
      </c>
      <c r="G118" t="s">
        <v>3869</v>
      </c>
      <c r="H118">
        <v>10</v>
      </c>
      <c r="I118" t="s">
        <v>51</v>
      </c>
      <c r="J118" s="32" t="str">
        <f t="shared" si="1"/>
        <v>A systematic literature review: Messaging protocols and electronic platforms used in the internet of things for the purpose of building smart homes</v>
      </c>
    </row>
    <row r="119" spans="1:10">
      <c r="A119" t="s">
        <v>3870</v>
      </c>
      <c r="B119" t="s">
        <v>3871</v>
      </c>
      <c r="C119">
        <v>2025</v>
      </c>
      <c r="D119" t="s">
        <v>3872</v>
      </c>
      <c r="E119" t="s">
        <v>51</v>
      </c>
      <c r="F119" t="s">
        <v>3873</v>
      </c>
      <c r="G119" t="s">
        <v>2402</v>
      </c>
      <c r="H119">
        <v>6</v>
      </c>
      <c r="I119" t="s">
        <v>51</v>
      </c>
      <c r="J119" s="32" t="str">
        <f t="shared" si="1"/>
        <v>Data-Based Process Monitoring for Structural Bonding of Fiber-Reinforced Thermoplastics in Aviation</v>
      </c>
    </row>
    <row r="120" spans="1:10">
      <c r="A120" t="s">
        <v>3874</v>
      </c>
      <c r="B120" t="s">
        <v>3875</v>
      </c>
      <c r="C120">
        <v>2021</v>
      </c>
      <c r="D120" t="s">
        <v>3876</v>
      </c>
      <c r="E120" t="s">
        <v>51</v>
      </c>
      <c r="F120" t="s">
        <v>3877</v>
      </c>
      <c r="G120" t="s">
        <v>3878</v>
      </c>
      <c r="I120" t="s">
        <v>51</v>
      </c>
      <c r="J120" s="32" t="str">
        <f t="shared" si="1"/>
        <v>Smart Tree: An Architectural, Greening and ICT Multidisciplinary Approach to Smart Campus Environments.</v>
      </c>
    </row>
    <row r="121" spans="1:10">
      <c r="A121" t="s">
        <v>3879</v>
      </c>
      <c r="B121" t="s">
        <v>3880</v>
      </c>
      <c r="C121">
        <v>2023</v>
      </c>
      <c r="D121" t="s">
        <v>3881</v>
      </c>
      <c r="E121" t="s">
        <v>51</v>
      </c>
      <c r="F121" t="s">
        <v>3882</v>
      </c>
      <c r="G121" t="s">
        <v>2402</v>
      </c>
      <c r="H121">
        <v>10</v>
      </c>
      <c r="I121" t="s">
        <v>51</v>
      </c>
      <c r="J121" s="32" t="str">
        <f t="shared" si="1"/>
        <v>The Nexus Between Digital Transformation and Economic Efficiency: Evidence from Selected Countries</v>
      </c>
    </row>
    <row r="122" spans="1:10">
      <c r="A122" t="s">
        <v>3883</v>
      </c>
      <c r="B122" t="s">
        <v>3884</v>
      </c>
      <c r="C122">
        <v>2025</v>
      </c>
      <c r="D122" t="s">
        <v>3885</v>
      </c>
      <c r="E122" t="s">
        <v>51</v>
      </c>
      <c r="F122" t="s">
        <v>3886</v>
      </c>
      <c r="G122" t="s">
        <v>2402</v>
      </c>
      <c r="H122">
        <v>1</v>
      </c>
      <c r="I122" t="s">
        <v>51</v>
      </c>
      <c r="J122" s="32" t="str">
        <f t="shared" si="1"/>
        <v>OPC UA and MQTT performance analysis within a unified namespace context</v>
      </c>
    </row>
    <row r="123" spans="1:10">
      <c r="A123" t="s">
        <v>3887</v>
      </c>
      <c r="B123" t="s">
        <v>3888</v>
      </c>
      <c r="C123">
        <v>2024</v>
      </c>
      <c r="D123" t="s">
        <v>3889</v>
      </c>
      <c r="E123" t="s">
        <v>51</v>
      </c>
      <c r="F123" t="s">
        <v>3890</v>
      </c>
      <c r="G123" t="s">
        <v>3891</v>
      </c>
      <c r="H123">
        <v>11</v>
      </c>
      <c r="I123" t="s">
        <v>51</v>
      </c>
      <c r="J123" s="32" t="str">
        <f t="shared" si="1"/>
        <v>Methods and means of conflict-free data exchange in the group of mobile robotic platforms</v>
      </c>
    </row>
    <row r="124" spans="1:10">
      <c r="A124" t="s">
        <v>3892</v>
      </c>
      <c r="B124" t="s">
        <v>3893</v>
      </c>
      <c r="C124">
        <v>2020</v>
      </c>
      <c r="D124" t="s">
        <v>3894</v>
      </c>
      <c r="E124" t="s">
        <v>51</v>
      </c>
      <c r="F124" t="s">
        <v>3895</v>
      </c>
      <c r="G124" t="s">
        <v>3896</v>
      </c>
      <c r="H124">
        <v>20</v>
      </c>
      <c r="I124" t="s">
        <v>51</v>
      </c>
      <c r="J124" s="32" t="str">
        <f t="shared" si="1"/>
        <v>A Survey on Industrial Internet With ISA100 Wireless</v>
      </c>
    </row>
    <row r="125" spans="1:10">
      <c r="A125" t="s">
        <v>3897</v>
      </c>
      <c r="B125" t="s">
        <v>3898</v>
      </c>
      <c r="C125">
        <v>2025</v>
      </c>
      <c r="D125" t="s">
        <v>3899</v>
      </c>
      <c r="E125" t="s">
        <v>51</v>
      </c>
      <c r="F125" t="s">
        <v>3900</v>
      </c>
      <c r="G125" t="s">
        <v>2402</v>
      </c>
      <c r="H125">
        <v>30</v>
      </c>
      <c r="I125" t="s">
        <v>51</v>
      </c>
      <c r="J125" s="32" t="str">
        <f t="shared" si="1"/>
        <v>A Comprehensive Systematic Survey of IoT Protocols: Implications for Data Quality and Performance</v>
      </c>
    </row>
    <row r="126" spans="1:10">
      <c r="A126" t="s">
        <v>3901</v>
      </c>
      <c r="B126" t="s">
        <v>3902</v>
      </c>
      <c r="C126">
        <v>2024</v>
      </c>
      <c r="D126" t="s">
        <v>3903</v>
      </c>
      <c r="E126" t="s">
        <v>51</v>
      </c>
      <c r="F126" t="s">
        <v>3904</v>
      </c>
      <c r="G126" t="s">
        <v>2402</v>
      </c>
      <c r="H126">
        <v>1</v>
      </c>
      <c r="I126" t="s">
        <v>51</v>
      </c>
      <c r="J126" s="32" t="str">
        <f t="shared" ref="J126:J187" si="2">HYPERLINK($D126,$B126)</f>
        <v>Securing the Industrial Internet of Things against ransomware attacks: A comprehensive analysis of the emerging threat landscape and detection mechanisms</v>
      </c>
    </row>
    <row r="127" spans="1:10">
      <c r="A127" t="s">
        <v>3905</v>
      </c>
      <c r="B127" t="s">
        <v>3906</v>
      </c>
      <c r="C127">
        <v>2025</v>
      </c>
      <c r="D127" t="s">
        <v>3907</v>
      </c>
      <c r="E127" t="s">
        <v>51</v>
      </c>
      <c r="F127" t="s">
        <v>3908</v>
      </c>
      <c r="G127" t="s">
        <v>2402</v>
      </c>
      <c r="H127">
        <v>6</v>
      </c>
      <c r="I127" t="s">
        <v>51</v>
      </c>
      <c r="J127" s="32" t="str">
        <f t="shared" si="2"/>
        <v>Wide area, IoT-based PID control of slow systems over LoRaWAN</v>
      </c>
    </row>
    <row r="128" spans="1:10">
      <c r="A128" t="s">
        <v>3909</v>
      </c>
      <c r="B128" t="s">
        <v>3910</v>
      </c>
      <c r="C128">
        <v>2019</v>
      </c>
      <c r="D128" t="s">
        <v>3911</v>
      </c>
      <c r="E128" t="s">
        <v>51</v>
      </c>
      <c r="F128" t="s">
        <v>3912</v>
      </c>
      <c r="G128" t="s">
        <v>3913</v>
      </c>
      <c r="H128">
        <v>7</v>
      </c>
      <c r="I128" t="s">
        <v>51</v>
      </c>
      <c r="J128" s="32" t="str">
        <f t="shared" si="2"/>
        <v>ETFA - Modular Signal Processing Unit for Motion Control Applications Based on System-on-Chip with FPGA</v>
      </c>
    </row>
    <row r="129" spans="1:10">
      <c r="A129" t="s">
        <v>3914</v>
      </c>
      <c r="B129" t="s">
        <v>3915</v>
      </c>
      <c r="C129">
        <v>2022</v>
      </c>
      <c r="D129" t="s">
        <v>3916</v>
      </c>
      <c r="E129" t="s">
        <v>51</v>
      </c>
      <c r="F129" t="s">
        <v>3917</v>
      </c>
      <c r="G129" t="s">
        <v>3918</v>
      </c>
      <c r="H129">
        <v>1</v>
      </c>
      <c r="I129" t="s">
        <v>51</v>
      </c>
      <c r="J129" s="32" t="str">
        <f t="shared" si="2"/>
        <v>Digital Twin—Cyber Replica of Physical Things: Architecture, Applications and Future Research Directions</v>
      </c>
    </row>
    <row r="130" spans="1:10">
      <c r="A130" t="s">
        <v>3919</v>
      </c>
      <c r="B130" t="s">
        <v>3920</v>
      </c>
      <c r="C130">
        <v>2022</v>
      </c>
      <c r="D130" t="s">
        <v>3921</v>
      </c>
      <c r="E130" t="s">
        <v>51</v>
      </c>
      <c r="F130" t="s">
        <v>3922</v>
      </c>
      <c r="G130" t="s">
        <v>3923</v>
      </c>
      <c r="H130">
        <v>1</v>
      </c>
      <c r="I130" t="s">
        <v>51</v>
      </c>
      <c r="J130" s="32" t="str">
        <f t="shared" si="2"/>
        <v>Assertive, Selective, Scalable IoT-Based Warning System.</v>
      </c>
    </row>
    <row r="131" spans="1:10">
      <c r="A131" t="s">
        <v>3924</v>
      </c>
      <c r="B131" t="s">
        <v>3925</v>
      </c>
      <c r="C131">
        <v>2025</v>
      </c>
      <c r="D131" t="s">
        <v>3926</v>
      </c>
      <c r="E131" t="s">
        <v>51</v>
      </c>
      <c r="F131" t="s">
        <v>3927</v>
      </c>
      <c r="G131" t="s">
        <v>2402</v>
      </c>
      <c r="H131">
        <v>7</v>
      </c>
      <c r="I131" t="s">
        <v>51</v>
      </c>
      <c r="J131" s="32" t="str">
        <f t="shared" si="2"/>
        <v>Faster Implementation Time Through Interoperability: Let's Prove it!</v>
      </c>
    </row>
    <row r="132" spans="1:10">
      <c r="A132" t="s">
        <v>3928</v>
      </c>
      <c r="B132" t="s">
        <v>3929</v>
      </c>
      <c r="C132">
        <v>2025</v>
      </c>
      <c r="D132" t="s">
        <v>3930</v>
      </c>
      <c r="E132" t="s">
        <v>51</v>
      </c>
      <c r="F132" t="s">
        <v>3931</v>
      </c>
      <c r="G132" t="s">
        <v>2402</v>
      </c>
      <c r="H132">
        <v>8</v>
      </c>
      <c r="I132" t="s">
        <v>51</v>
      </c>
      <c r="J132" s="32" t="str">
        <f t="shared" si="2"/>
        <v>AI-Enhanced Process Digital Twins for Circular Manufacturing: Design, Architecture, and Deployment</v>
      </c>
    </row>
    <row r="133" spans="1:10">
      <c r="A133" t="s">
        <v>3932</v>
      </c>
      <c r="B133" t="s">
        <v>3933</v>
      </c>
      <c r="C133">
        <v>2022</v>
      </c>
      <c r="D133" t="s">
        <v>3934</v>
      </c>
      <c r="E133" t="s">
        <v>51</v>
      </c>
      <c r="F133" t="s">
        <v>3935</v>
      </c>
      <c r="G133" t="s">
        <v>2402</v>
      </c>
      <c r="H133">
        <v>9</v>
      </c>
      <c r="I133" t="s">
        <v>51</v>
      </c>
      <c r="J133" s="32" t="str">
        <f t="shared" si="2"/>
        <v>Web Based PLC Integrated Process Simulator</v>
      </c>
    </row>
    <row r="134" spans="1:10">
      <c r="A134" t="s">
        <v>3414</v>
      </c>
      <c r="B134" t="s">
        <v>3936</v>
      </c>
      <c r="C134">
        <v>2021</v>
      </c>
      <c r="D134" t="s">
        <v>3937</v>
      </c>
      <c r="E134" t="s">
        <v>51</v>
      </c>
      <c r="F134" t="s">
        <v>3938</v>
      </c>
      <c r="G134" t="s">
        <v>3939</v>
      </c>
      <c r="H134">
        <v>18</v>
      </c>
      <c r="I134" t="s">
        <v>51</v>
      </c>
      <c r="J134" s="32" t="str">
        <f t="shared" si="2"/>
        <v>Asynchronous Peer-to-Peer Federated Capability-Based Targeted Ransomware Detection Model for Industrial IoT</v>
      </c>
    </row>
    <row r="135" spans="1:10">
      <c r="A135" t="s">
        <v>3940</v>
      </c>
      <c r="B135" t="s">
        <v>3941</v>
      </c>
      <c r="C135">
        <v>2023</v>
      </c>
      <c r="D135" t="s">
        <v>3942</v>
      </c>
      <c r="E135" t="s">
        <v>51</v>
      </c>
      <c r="F135" t="s">
        <v>3943</v>
      </c>
      <c r="G135" t="s">
        <v>3944</v>
      </c>
      <c r="H135">
        <v>1</v>
      </c>
      <c r="I135" t="s">
        <v>51</v>
      </c>
      <c r="J135" s="32" t="str">
        <f t="shared" si="2"/>
        <v>E-MQTT: End-to-End Synchronous and Asynchronous Communication Mechanisms in MQTT Protocol</v>
      </c>
    </row>
    <row r="136" spans="1:10">
      <c r="A136" t="s">
        <v>3945</v>
      </c>
      <c r="B136" t="s">
        <v>3946</v>
      </c>
      <c r="C136">
        <v>2024</v>
      </c>
      <c r="D136" t="s">
        <v>3947</v>
      </c>
      <c r="E136" t="s">
        <v>51</v>
      </c>
      <c r="F136" t="s">
        <v>3948</v>
      </c>
      <c r="G136" t="s">
        <v>2402</v>
      </c>
      <c r="H136">
        <v>7</v>
      </c>
      <c r="I136" t="s">
        <v>51</v>
      </c>
      <c r="J136" s="32" t="str">
        <f t="shared" si="2"/>
        <v>Analysis of Penetration Testing Methods for Specific IoT Device: IP Camera</v>
      </c>
    </row>
    <row r="137" spans="1:10">
      <c r="A137" t="s">
        <v>3949</v>
      </c>
      <c r="B137" t="s">
        <v>3950</v>
      </c>
      <c r="C137">
        <v>2025</v>
      </c>
      <c r="D137" t="s">
        <v>3951</v>
      </c>
      <c r="E137" t="s">
        <v>51</v>
      </c>
      <c r="F137" t="s">
        <v>3952</v>
      </c>
      <c r="G137" t="s">
        <v>2402</v>
      </c>
      <c r="H137">
        <v>31</v>
      </c>
      <c r="I137" t="s">
        <v>51</v>
      </c>
      <c r="J137" s="32" t="str">
        <f t="shared" si="2"/>
        <v>Edge-Fog Enhanced Post-Quantum Network Security: Applications, Challenges and Solutions</v>
      </c>
    </row>
    <row r="138" spans="1:10">
      <c r="A138" t="s">
        <v>3830</v>
      </c>
      <c r="B138" t="s">
        <v>3953</v>
      </c>
      <c r="C138">
        <v>2022</v>
      </c>
      <c r="D138" t="s">
        <v>3954</v>
      </c>
      <c r="E138" t="s">
        <v>51</v>
      </c>
      <c r="F138" t="s">
        <v>3955</v>
      </c>
      <c r="G138" t="s">
        <v>3956</v>
      </c>
      <c r="H138">
        <v>6</v>
      </c>
      <c r="I138" t="s">
        <v>51</v>
      </c>
      <c r="J138" s="32" t="str">
        <f t="shared" si="2"/>
        <v>Ultra Light-weight Encryption for Securing D2D Communication of ESP8266 IoT devices in Wireless Mesh Networks</v>
      </c>
    </row>
    <row r="139" spans="1:10">
      <c r="A139" t="s">
        <v>3957</v>
      </c>
      <c r="B139" t="s">
        <v>3958</v>
      </c>
      <c r="C139">
        <v>2025</v>
      </c>
      <c r="D139" t="s">
        <v>3959</v>
      </c>
      <c r="E139" t="s">
        <v>51</v>
      </c>
      <c r="F139" t="s">
        <v>3960</v>
      </c>
      <c r="G139" t="s">
        <v>3961</v>
      </c>
      <c r="H139">
        <v>7</v>
      </c>
      <c r="I139" t="s">
        <v>51</v>
      </c>
      <c r="J139" s="32" t="str">
        <f t="shared" si="2"/>
        <v>MQTT Latency Evaluation in Cloud-Based Spectrometer Control</v>
      </c>
    </row>
    <row r="140" spans="1:10">
      <c r="A140" t="s">
        <v>3962</v>
      </c>
      <c r="B140" t="s">
        <v>3963</v>
      </c>
      <c r="C140">
        <v>2025</v>
      </c>
      <c r="D140" t="s">
        <v>3964</v>
      </c>
      <c r="E140" t="s">
        <v>51</v>
      </c>
      <c r="F140" t="s">
        <v>3965</v>
      </c>
      <c r="G140" t="s">
        <v>2402</v>
      </c>
      <c r="H140">
        <v>1</v>
      </c>
      <c r="I140" t="s">
        <v>51</v>
      </c>
      <c r="J140" s="32" t="str">
        <f t="shared" si="2"/>
        <v>Defending against smishing attacks: State-of-the-art techniques, challenges, limitations, and future directions</v>
      </c>
    </row>
    <row r="141" spans="1:10">
      <c r="A141" t="s">
        <v>3966</v>
      </c>
      <c r="B141" t="s">
        <v>3967</v>
      </c>
      <c r="C141">
        <v>2022</v>
      </c>
      <c r="D141" t="s">
        <v>3968</v>
      </c>
      <c r="E141" t="s">
        <v>51</v>
      </c>
      <c r="F141" t="s">
        <v>3969</v>
      </c>
      <c r="G141" t="s">
        <v>3970</v>
      </c>
      <c r="H141">
        <v>4</v>
      </c>
      <c r="I141" t="s">
        <v>51</v>
      </c>
      <c r="J141" s="32" t="str">
        <f t="shared" si="2"/>
        <v>Monitoring and management solution for distributed PV systems based on cloud and IoT technologies</v>
      </c>
    </row>
    <row r="142" spans="1:10">
      <c r="A142" t="s">
        <v>3971</v>
      </c>
      <c r="B142" t="s">
        <v>3972</v>
      </c>
      <c r="C142">
        <v>2025</v>
      </c>
      <c r="D142" t="s">
        <v>3973</v>
      </c>
      <c r="E142" t="s">
        <v>51</v>
      </c>
      <c r="F142" t="s">
        <v>3974</v>
      </c>
      <c r="G142" t="s">
        <v>2402</v>
      </c>
      <c r="H142">
        <v>7</v>
      </c>
      <c r="I142" t="s">
        <v>51</v>
      </c>
      <c r="J142" s="32" t="str">
        <f t="shared" si="2"/>
        <v>Reducing Commissioning Efforts in the Process Industry Through Open Standards</v>
      </c>
    </row>
    <row r="143" spans="1:10">
      <c r="A143" t="s">
        <v>3975</v>
      </c>
      <c r="B143" t="s">
        <v>3976</v>
      </c>
      <c r="C143">
        <v>2022</v>
      </c>
      <c r="D143" t="s">
        <v>3977</v>
      </c>
      <c r="E143" t="s">
        <v>51</v>
      </c>
      <c r="F143" t="s">
        <v>3978</v>
      </c>
      <c r="G143" t="s">
        <v>3979</v>
      </c>
      <c r="H143">
        <v>1</v>
      </c>
      <c r="I143" t="s">
        <v>51</v>
      </c>
      <c r="J143" s="32" t="str">
        <f t="shared" si="2"/>
        <v>A Low-Cost Open-Source Architecture for a Digital Signage Emergency Evacuation System for Cruise Ships, Based on IoT and LTE/4G Technologies</v>
      </c>
    </row>
    <row r="144" spans="1:10">
      <c r="A144" t="s">
        <v>3980</v>
      </c>
      <c r="B144" t="s">
        <v>3981</v>
      </c>
      <c r="C144">
        <v>2024</v>
      </c>
      <c r="D144" t="s">
        <v>3982</v>
      </c>
      <c r="E144" t="s">
        <v>51</v>
      </c>
      <c r="F144" t="s">
        <v>3983</v>
      </c>
      <c r="G144" t="s">
        <v>3984</v>
      </c>
      <c r="H144">
        <v>13</v>
      </c>
      <c r="I144" t="s">
        <v>51</v>
      </c>
      <c r="J144" s="32" t="str">
        <f t="shared" si="2"/>
        <v>Framework for Modeling and Evaluating Information Flows in Flexible Manufacturing Systems</v>
      </c>
    </row>
    <row r="145" spans="1:10">
      <c r="A145" t="s">
        <v>3985</v>
      </c>
      <c r="B145" t="s">
        <v>3986</v>
      </c>
      <c r="C145">
        <v>2025</v>
      </c>
      <c r="D145" t="s">
        <v>3987</v>
      </c>
      <c r="E145" t="s">
        <v>51</v>
      </c>
      <c r="F145" t="s">
        <v>3988</v>
      </c>
      <c r="G145" t="s">
        <v>2402</v>
      </c>
      <c r="H145">
        <v>17</v>
      </c>
      <c r="I145" t="s">
        <v>51</v>
      </c>
      <c r="J145" s="32" t="str">
        <f t="shared" si="2"/>
        <v>SAIndust: A Self-Aware Heterogeneous Computing Framework for Industrial Internet of Things</v>
      </c>
    </row>
    <row r="146" spans="1:10">
      <c r="A146" t="s">
        <v>3989</v>
      </c>
      <c r="B146" t="s">
        <v>3990</v>
      </c>
      <c r="C146">
        <v>2025</v>
      </c>
      <c r="D146" t="s">
        <v>3991</v>
      </c>
      <c r="E146" t="s">
        <v>51</v>
      </c>
      <c r="F146" t="s">
        <v>3992</v>
      </c>
      <c r="G146" t="s">
        <v>2402</v>
      </c>
      <c r="H146">
        <v>7</v>
      </c>
      <c r="I146" t="s">
        <v>51</v>
      </c>
      <c r="J146" s="32" t="str">
        <f t="shared" si="2"/>
        <v>Developing and Comparing Protocols for Low-Latency IoT Networking</v>
      </c>
    </row>
    <row r="147" spans="1:10">
      <c r="A147" t="s">
        <v>3993</v>
      </c>
      <c r="B147" t="s">
        <v>3994</v>
      </c>
      <c r="C147">
        <v>2025</v>
      </c>
      <c r="D147" t="s">
        <v>3995</v>
      </c>
      <c r="E147" t="s">
        <v>51</v>
      </c>
      <c r="F147" t="s">
        <v>3996</v>
      </c>
      <c r="G147" t="s">
        <v>3997</v>
      </c>
      <c r="H147">
        <v>5</v>
      </c>
      <c r="I147" t="s">
        <v>51</v>
      </c>
      <c r="J147" s="32" t="str">
        <f t="shared" si="2"/>
        <v>Methodology for the Implementation and Operation of Multivendor Automation Systems at Large-Scale Industrial Facilities</v>
      </c>
    </row>
    <row r="148" spans="1:10">
      <c r="A148" t="s">
        <v>3998</v>
      </c>
      <c r="B148" t="s">
        <v>3999</v>
      </c>
      <c r="C148">
        <v>2023</v>
      </c>
      <c r="D148" t="s">
        <v>4000</v>
      </c>
      <c r="E148" t="s">
        <v>51</v>
      </c>
      <c r="F148" t="s">
        <v>4001</v>
      </c>
      <c r="G148" t="s">
        <v>2402</v>
      </c>
      <c r="H148">
        <v>1</v>
      </c>
      <c r="I148" t="s">
        <v>51</v>
      </c>
      <c r="J148" s="32" t="str">
        <f t="shared" si="2"/>
        <v>DCNNBiLSTM: An Efficient Hybrid Deep Learning-Based Intrusion Detection System</v>
      </c>
    </row>
    <row r="149" spans="1:10">
      <c r="A149" t="s">
        <v>4002</v>
      </c>
      <c r="B149" t="s">
        <v>4003</v>
      </c>
      <c r="C149">
        <v>2025</v>
      </c>
      <c r="D149" t="s">
        <v>4004</v>
      </c>
      <c r="E149" t="s">
        <v>51</v>
      </c>
      <c r="F149" t="s">
        <v>4005</v>
      </c>
      <c r="G149" t="s">
        <v>4006</v>
      </c>
      <c r="I149" t="s">
        <v>51</v>
      </c>
      <c r="J149" s="32" t="str">
        <f t="shared" si="2"/>
        <v>RTIMS: Real-Time Indoor Monitoring Systems: A Comprehensive Review</v>
      </c>
    </row>
    <row r="150" spans="1:10">
      <c r="A150" t="s">
        <v>4007</v>
      </c>
      <c r="B150" t="s">
        <v>4008</v>
      </c>
      <c r="C150">
        <v>2024</v>
      </c>
      <c r="D150" t="s">
        <v>4009</v>
      </c>
      <c r="E150" t="s">
        <v>51</v>
      </c>
      <c r="F150" t="s">
        <v>4010</v>
      </c>
      <c r="G150" t="s">
        <v>2402</v>
      </c>
      <c r="H150">
        <v>6</v>
      </c>
      <c r="I150" t="s">
        <v>51</v>
      </c>
      <c r="J150" s="32" t="str">
        <f t="shared" si="2"/>
        <v>ICT-Equipped Portable E-Bike Charging Station Powered by Renewables for Mass Cycling Events</v>
      </c>
    </row>
    <row r="151" spans="1:10">
      <c r="A151" t="s">
        <v>4011</v>
      </c>
      <c r="B151" t="s">
        <v>4012</v>
      </c>
      <c r="C151">
        <v>2023</v>
      </c>
      <c r="D151" t="s">
        <v>4013</v>
      </c>
      <c r="E151" t="s">
        <v>51</v>
      </c>
      <c r="F151" t="s">
        <v>4014</v>
      </c>
      <c r="G151" t="s">
        <v>4015</v>
      </c>
      <c r="H151">
        <v>1</v>
      </c>
      <c r="I151" t="s">
        <v>51</v>
      </c>
      <c r="J151" s="32" t="str">
        <f t="shared" si="2"/>
        <v>Assessing Industrial Communication Protocols to Bridge the Gap between Machine Tools and Software Monitoring.</v>
      </c>
    </row>
    <row r="152" spans="1:10">
      <c r="A152" t="s">
        <v>4016</v>
      </c>
      <c r="B152" t="s">
        <v>4017</v>
      </c>
      <c r="C152">
        <v>2025</v>
      </c>
      <c r="D152" t="s">
        <v>4018</v>
      </c>
      <c r="E152" t="s">
        <v>51</v>
      </c>
      <c r="F152" t="s">
        <v>4019</v>
      </c>
      <c r="G152" t="s">
        <v>2402</v>
      </c>
      <c r="H152">
        <v>7</v>
      </c>
      <c r="I152" t="s">
        <v>51</v>
      </c>
      <c r="J152" s="32" t="str">
        <f t="shared" si="2"/>
        <v>Systematic Literature Review of Cybersecurity Testbeds for Industrial Internet of Things.</v>
      </c>
    </row>
    <row r="153" spans="1:10">
      <c r="A153" t="s">
        <v>4020</v>
      </c>
      <c r="B153" t="s">
        <v>4021</v>
      </c>
      <c r="C153">
        <v>2025</v>
      </c>
      <c r="D153" t="s">
        <v>4022</v>
      </c>
      <c r="E153" t="s">
        <v>51</v>
      </c>
      <c r="F153" t="s">
        <v>4023</v>
      </c>
      <c r="G153" t="s">
        <v>4024</v>
      </c>
      <c r="H153">
        <v>14</v>
      </c>
      <c r="I153" t="s">
        <v>51</v>
      </c>
      <c r="J153" s="32" t="str">
        <f t="shared" si="2"/>
        <v>Estendendo o MENTORED Testbed para a execução de experimentos de cibersegurança multi-cluster e IoT</v>
      </c>
    </row>
    <row r="154" spans="1:10">
      <c r="A154" t="s">
        <v>3432</v>
      </c>
      <c r="B154" t="s">
        <v>4025</v>
      </c>
      <c r="C154">
        <v>2022</v>
      </c>
      <c r="D154" t="s">
        <v>4026</v>
      </c>
      <c r="E154" t="s">
        <v>51</v>
      </c>
      <c r="F154" t="s">
        <v>4027</v>
      </c>
      <c r="G154" t="s">
        <v>4028</v>
      </c>
      <c r="H154">
        <v>7</v>
      </c>
      <c r="I154" t="s">
        <v>51</v>
      </c>
      <c r="J154" s="32" t="str">
        <f t="shared" si="2"/>
        <v>Multisensor Platform for Underwater Object Detection and Localization Applications</v>
      </c>
    </row>
    <row r="155" spans="1:10">
      <c r="A155" t="s">
        <v>4029</v>
      </c>
      <c r="B155" t="s">
        <v>4030</v>
      </c>
      <c r="C155">
        <v>2024</v>
      </c>
      <c r="D155" t="s">
        <v>4031</v>
      </c>
      <c r="E155" t="s">
        <v>51</v>
      </c>
      <c r="F155" t="s">
        <v>4032</v>
      </c>
      <c r="G155" t="s">
        <v>4033</v>
      </c>
      <c r="H155">
        <v>1</v>
      </c>
      <c r="I155" t="s">
        <v>51</v>
      </c>
      <c r="J155" s="32" t="str">
        <f t="shared" si="2"/>
        <v>A Survey of Security Challenges in Cloud-Based SCADA Systems</v>
      </c>
    </row>
    <row r="156" spans="1:10">
      <c r="A156" t="s">
        <v>4034</v>
      </c>
      <c r="B156" t="s">
        <v>4035</v>
      </c>
      <c r="C156">
        <v>2025</v>
      </c>
      <c r="D156" t="s">
        <v>4036</v>
      </c>
      <c r="E156" t="s">
        <v>51</v>
      </c>
      <c r="F156" t="s">
        <v>4037</v>
      </c>
      <c r="G156" t="s">
        <v>2402</v>
      </c>
      <c r="H156">
        <v>11</v>
      </c>
      <c r="I156" t="s">
        <v>51</v>
      </c>
      <c r="J156" s="32" t="str">
        <f t="shared" si="2"/>
        <v>DripAlyze: internet of things based water leakage detection system for smart resource management</v>
      </c>
    </row>
    <row r="157" spans="1:10">
      <c r="A157" t="s">
        <v>4038</v>
      </c>
      <c r="B157" t="s">
        <v>4039</v>
      </c>
      <c r="C157">
        <v>2025</v>
      </c>
      <c r="D157" t="s">
        <v>4040</v>
      </c>
      <c r="E157" t="s">
        <v>51</v>
      </c>
      <c r="F157" t="s">
        <v>4041</v>
      </c>
      <c r="G157" t="s">
        <v>2402</v>
      </c>
      <c r="H157">
        <v>24</v>
      </c>
      <c r="I157" t="s">
        <v>51</v>
      </c>
      <c r="J157" s="32" t="str">
        <f t="shared" si="2"/>
        <v>OPC UA for NDE: Integration, Challenges, and Prospects</v>
      </c>
    </row>
    <row r="158" spans="1:10">
      <c r="A158" t="s">
        <v>4042</v>
      </c>
      <c r="B158" t="s">
        <v>4043</v>
      </c>
      <c r="C158">
        <v>2025</v>
      </c>
      <c r="D158" t="s">
        <v>4044</v>
      </c>
      <c r="E158" t="s">
        <v>51</v>
      </c>
      <c r="F158" t="s">
        <v>4045</v>
      </c>
      <c r="G158" t="s">
        <v>2402</v>
      </c>
      <c r="H158">
        <v>7</v>
      </c>
      <c r="I158" t="s">
        <v>51</v>
      </c>
      <c r="J158" s="32" t="str">
        <f t="shared" si="2"/>
        <v>Intrusion Detection System for Securing Agriculture 4.0 Against DDoS Attacks Using Deep Learning and Machine Learning Models</v>
      </c>
    </row>
    <row r="159" spans="1:10">
      <c r="A159" t="s">
        <v>4046</v>
      </c>
      <c r="B159" t="s">
        <v>4047</v>
      </c>
      <c r="C159">
        <v>2025</v>
      </c>
      <c r="D159" t="s">
        <v>4048</v>
      </c>
      <c r="E159" t="s">
        <v>51</v>
      </c>
      <c r="F159" t="s">
        <v>4049</v>
      </c>
      <c r="G159" t="s">
        <v>2402</v>
      </c>
      <c r="H159">
        <v>12</v>
      </c>
      <c r="I159" t="s">
        <v>51</v>
      </c>
      <c r="J159" s="32" t="str">
        <f t="shared" si="2"/>
        <v>OPC-UA vs. MQTT (UNS): Evaluating Alignment with RAMI4.0 Through Literature Review</v>
      </c>
    </row>
    <row r="160" spans="1:10">
      <c r="A160" t="s">
        <v>4050</v>
      </c>
      <c r="B160" t="s">
        <v>4051</v>
      </c>
      <c r="C160">
        <v>2025</v>
      </c>
      <c r="D160" t="s">
        <v>4052</v>
      </c>
      <c r="E160" t="s">
        <v>51</v>
      </c>
      <c r="F160" t="s">
        <v>4053</v>
      </c>
      <c r="G160" t="s">
        <v>2402</v>
      </c>
      <c r="H160">
        <v>10</v>
      </c>
      <c r="I160" t="s">
        <v>51</v>
      </c>
      <c r="J160" s="32" t="str">
        <f t="shared" si="2"/>
        <v>A Single-Fed Dual-Band Orthogonal Circularly Polarized Filtering Antenna for 5G-Enabled IoV Applications</v>
      </c>
    </row>
    <row r="161" spans="1:10">
      <c r="A161" t="s">
        <v>4054</v>
      </c>
      <c r="B161" t="s">
        <v>4055</v>
      </c>
      <c r="C161">
        <v>2023</v>
      </c>
      <c r="D161" t="s">
        <v>4056</v>
      </c>
      <c r="E161" t="s">
        <v>51</v>
      </c>
      <c r="F161" t="s">
        <v>4057</v>
      </c>
      <c r="G161" t="s">
        <v>2402</v>
      </c>
      <c r="H161">
        <v>6</v>
      </c>
      <c r="I161" t="s">
        <v>51</v>
      </c>
      <c r="J161" s="32" t="str">
        <f t="shared" si="2"/>
        <v>Connecting 3D Printer to the Industrial Internet of Things (IIoT) through MQTT Sparkplug B Protocol</v>
      </c>
    </row>
    <row r="162" spans="1:10">
      <c r="A162" t="s">
        <v>4038</v>
      </c>
      <c r="B162" t="s">
        <v>4039</v>
      </c>
      <c r="C162">
        <v>2025</v>
      </c>
      <c r="D162" t="s">
        <v>4058</v>
      </c>
      <c r="E162" t="s">
        <v>51</v>
      </c>
      <c r="F162" t="s">
        <v>4059</v>
      </c>
      <c r="G162" t="s">
        <v>2402</v>
      </c>
      <c r="H162">
        <v>25</v>
      </c>
      <c r="I162" t="s">
        <v>51</v>
      </c>
      <c r="J162" s="32" t="str">
        <f t="shared" si="2"/>
        <v>OPC UA for NDE: Integration, Challenges, and Prospects</v>
      </c>
    </row>
    <row r="163" spans="1:10">
      <c r="A163" t="s">
        <v>4060</v>
      </c>
      <c r="B163" t="s">
        <v>4061</v>
      </c>
      <c r="C163">
        <v>2024</v>
      </c>
      <c r="D163" t="s">
        <v>4062</v>
      </c>
      <c r="E163" t="s">
        <v>51</v>
      </c>
      <c r="F163" t="s">
        <v>4063</v>
      </c>
      <c r="G163" t="s">
        <v>2402</v>
      </c>
      <c r="H163">
        <v>19</v>
      </c>
      <c r="I163" t="s">
        <v>51</v>
      </c>
      <c r="J163" s="32" t="str">
        <f t="shared" si="2"/>
        <v>SDN-DMQTT: SDN-Based Platform for Re-configurable MQTT Distributed Brokers Architecture</v>
      </c>
    </row>
    <row r="164" spans="1:10">
      <c r="A164" t="s">
        <v>4064</v>
      </c>
      <c r="B164" t="s">
        <v>4065</v>
      </c>
      <c r="C164">
        <v>2020</v>
      </c>
      <c r="D164" t="s">
        <v>4066</v>
      </c>
      <c r="E164" t="s">
        <v>51</v>
      </c>
      <c r="F164" t="s">
        <v>4067</v>
      </c>
      <c r="G164" t="s">
        <v>4068</v>
      </c>
      <c r="I164" t="s">
        <v>51</v>
      </c>
      <c r="J164" s="32" t="str">
        <f t="shared" si="2"/>
        <v>Survey on Wireless Technology Trade-Offs for the Industrial Internet of Things.</v>
      </c>
    </row>
    <row r="165" spans="1:10">
      <c r="A165" t="s">
        <v>4069</v>
      </c>
      <c r="B165" t="s">
        <v>4070</v>
      </c>
      <c r="C165">
        <v>2025</v>
      </c>
      <c r="D165" t="s">
        <v>4071</v>
      </c>
      <c r="E165" t="s">
        <v>51</v>
      </c>
      <c r="F165" t="s">
        <v>4072</v>
      </c>
      <c r="G165" t="s">
        <v>4073</v>
      </c>
      <c r="H165">
        <v>42</v>
      </c>
      <c r="I165" t="s">
        <v>51</v>
      </c>
      <c r="J165" s="32" t="str">
        <f t="shared" si="2"/>
        <v>Shaping Intelligent Connectivity Using AI and IoT</v>
      </c>
    </row>
    <row r="166" spans="1:10">
      <c r="A166" t="s">
        <v>4074</v>
      </c>
      <c r="B166" t="s">
        <v>4075</v>
      </c>
      <c r="C166">
        <v>2024</v>
      </c>
      <c r="D166" t="s">
        <v>4076</v>
      </c>
      <c r="E166" t="s">
        <v>51</v>
      </c>
      <c r="F166" t="s">
        <v>4077</v>
      </c>
      <c r="G166" t="s">
        <v>2402</v>
      </c>
      <c r="H166">
        <v>58</v>
      </c>
      <c r="I166" t="s">
        <v>51</v>
      </c>
      <c r="J166" s="32" t="str">
        <f t="shared" si="2"/>
        <v>Holistic Survey on Security in IoT Application Layer: Attacks, Protocols, and Applications</v>
      </c>
    </row>
    <row r="167" spans="1:10">
      <c r="A167" t="s">
        <v>4078</v>
      </c>
      <c r="B167" t="s">
        <v>4079</v>
      </c>
      <c r="C167">
        <v>2026</v>
      </c>
      <c r="D167" t="s">
        <v>4080</v>
      </c>
      <c r="E167" t="s">
        <v>51</v>
      </c>
      <c r="F167" t="s">
        <v>4081</v>
      </c>
      <c r="G167" t="s">
        <v>2402</v>
      </c>
      <c r="H167">
        <v>27</v>
      </c>
      <c r="I167" t="s">
        <v>51</v>
      </c>
      <c r="J167" s="32" t="str">
        <f t="shared" si="2"/>
        <v>Big Data and Machine Learning in Industry 6.0</v>
      </c>
    </row>
    <row r="168" spans="1:10">
      <c r="A168" t="s">
        <v>4082</v>
      </c>
      <c r="B168" t="s">
        <v>4083</v>
      </c>
      <c r="C168">
        <v>2025</v>
      </c>
      <c r="D168" t="s">
        <v>4084</v>
      </c>
      <c r="E168" t="s">
        <v>51</v>
      </c>
      <c r="F168" t="s">
        <v>4085</v>
      </c>
      <c r="G168" t="s">
        <v>4086</v>
      </c>
      <c r="H168">
        <v>1</v>
      </c>
      <c r="I168" t="s">
        <v>51</v>
      </c>
      <c r="J168" s="32" t="str">
        <f t="shared" si="2"/>
        <v>Trend Analysis of Factory Automation Using Topic Modeling</v>
      </c>
    </row>
    <row r="169" spans="1:10">
      <c r="A169" t="s">
        <v>4087</v>
      </c>
      <c r="B169" t="s">
        <v>4088</v>
      </c>
      <c r="C169">
        <v>2025</v>
      </c>
      <c r="D169" t="s">
        <v>4089</v>
      </c>
      <c r="E169" t="s">
        <v>51</v>
      </c>
      <c r="F169" t="s">
        <v>4090</v>
      </c>
      <c r="G169" t="s">
        <v>2402</v>
      </c>
      <c r="H169">
        <v>6</v>
      </c>
      <c r="I169" t="s">
        <v>51</v>
      </c>
      <c r="J169" s="32" t="str">
        <f t="shared" si="2"/>
        <v>Edge Computing for Safe Control of a Parametric Multi-floor Manufacturing Process</v>
      </c>
    </row>
    <row r="170" spans="1:10">
      <c r="A170" t="s">
        <v>4091</v>
      </c>
      <c r="B170" t="s">
        <v>4092</v>
      </c>
      <c r="C170">
        <v>2025</v>
      </c>
      <c r="D170" t="s">
        <v>4093</v>
      </c>
      <c r="E170" t="s">
        <v>51</v>
      </c>
      <c r="F170" t="s">
        <v>4094</v>
      </c>
      <c r="G170" t="s">
        <v>2402</v>
      </c>
      <c r="H170">
        <v>1</v>
      </c>
      <c r="I170" t="s">
        <v>51</v>
      </c>
      <c r="J170" s="32" t="str">
        <f t="shared" si="2"/>
        <v>DDoS attack detection using CNN-BiLSTM with attention mechanism</v>
      </c>
    </row>
    <row r="171" spans="1:10">
      <c r="A171" t="s">
        <v>4095</v>
      </c>
      <c r="B171" t="s">
        <v>4096</v>
      </c>
      <c r="C171">
        <v>2026</v>
      </c>
      <c r="D171" t="s">
        <v>4097</v>
      </c>
      <c r="E171" t="s">
        <v>51</v>
      </c>
      <c r="F171" t="s">
        <v>4098</v>
      </c>
      <c r="G171" t="s">
        <v>2402</v>
      </c>
      <c r="H171">
        <v>24</v>
      </c>
      <c r="I171" t="s">
        <v>51</v>
      </c>
      <c r="J171" s="32" t="str">
        <f t="shared" si="2"/>
        <v>Resilience Against APTs: A Provenance-Based IIoT Dataset for Cybersecurity Research</v>
      </c>
    </row>
    <row r="172" spans="1:10">
      <c r="A172" t="s">
        <v>4099</v>
      </c>
      <c r="B172" t="s">
        <v>4100</v>
      </c>
      <c r="C172">
        <v>2024</v>
      </c>
      <c r="D172" t="s">
        <v>4101</v>
      </c>
      <c r="E172" t="s">
        <v>51</v>
      </c>
      <c r="F172" t="s">
        <v>4102</v>
      </c>
      <c r="G172" t="s">
        <v>4103</v>
      </c>
      <c r="H172">
        <v>1</v>
      </c>
      <c r="I172" t="s">
        <v>51</v>
      </c>
      <c r="J172" s="32" t="str">
        <f t="shared" si="2"/>
        <v>A Performance Analysis of Security Protocols for Distributed Measurement Systems Based on Internet of Things with Constrained Hardware and Open Source Infrastructures.</v>
      </c>
    </row>
    <row r="173" spans="1:10">
      <c r="A173" t="s">
        <v>2075</v>
      </c>
      <c r="B173" t="s">
        <v>2076</v>
      </c>
      <c r="C173">
        <v>2024</v>
      </c>
      <c r="D173" t="s">
        <v>4104</v>
      </c>
      <c r="E173" t="s">
        <v>51</v>
      </c>
      <c r="F173" t="s">
        <v>2078</v>
      </c>
      <c r="G173" t="s">
        <v>2402</v>
      </c>
      <c r="H173">
        <v>6</v>
      </c>
      <c r="I173" t="s">
        <v>51</v>
      </c>
      <c r="J173" s="32" t="str">
        <f t="shared" si="2"/>
        <v>Comparative Analysis and Implementation of HTTP3, MQTT, and CoAP for IoT Applications</v>
      </c>
    </row>
    <row r="174" spans="1:10">
      <c r="A174" t="s">
        <v>4105</v>
      </c>
      <c r="B174" t="s">
        <v>4106</v>
      </c>
      <c r="C174">
        <v>2024</v>
      </c>
      <c r="D174" t="s">
        <v>4107</v>
      </c>
      <c r="E174" t="s">
        <v>51</v>
      </c>
      <c r="F174" t="s">
        <v>4108</v>
      </c>
      <c r="G174" t="s">
        <v>4109</v>
      </c>
      <c r="H174">
        <v>1</v>
      </c>
      <c r="I174" t="s">
        <v>51</v>
      </c>
      <c r="J174" s="32" t="str">
        <f t="shared" si="2"/>
        <v>Comprehensive electrical models for a wireless sensor network device.</v>
      </c>
    </row>
    <row r="175" spans="1:10">
      <c r="A175" t="s">
        <v>4110</v>
      </c>
      <c r="B175" t="s">
        <v>4111</v>
      </c>
      <c r="C175">
        <v>2025</v>
      </c>
      <c r="D175" t="s">
        <v>4112</v>
      </c>
      <c r="E175" t="s">
        <v>51</v>
      </c>
      <c r="F175" t="s">
        <v>4113</v>
      </c>
      <c r="G175" t="s">
        <v>2402</v>
      </c>
      <c r="H175">
        <v>13</v>
      </c>
      <c r="I175" t="s">
        <v>51</v>
      </c>
      <c r="J175" s="32" t="str">
        <f t="shared" si="2"/>
        <v>Microsecond-Accurate EtherCAT Transmission Scheme for Industrial Cyber–Physical Systems</v>
      </c>
    </row>
    <row r="176" spans="1:10">
      <c r="A176" t="s">
        <v>4114</v>
      </c>
      <c r="B176" t="s">
        <v>4115</v>
      </c>
      <c r="C176">
        <v>2022</v>
      </c>
      <c r="D176" t="s">
        <v>4116</v>
      </c>
      <c r="E176" t="s">
        <v>51</v>
      </c>
      <c r="F176" t="s">
        <v>4117</v>
      </c>
      <c r="G176" t="s">
        <v>4118</v>
      </c>
      <c r="H176">
        <v>1</v>
      </c>
      <c r="I176" t="s">
        <v>51</v>
      </c>
      <c r="J176" s="32" t="str">
        <f t="shared" si="2"/>
        <v>OPC-UA Agent for Legacy Programmable Logic Controllers</v>
      </c>
    </row>
    <row r="177" spans="1:10">
      <c r="A177" t="s">
        <v>4120</v>
      </c>
      <c r="B177" t="s">
        <v>4121</v>
      </c>
      <c r="C177">
        <v>2020</v>
      </c>
      <c r="D177" t="s">
        <v>4122</v>
      </c>
      <c r="E177" t="s">
        <v>51</v>
      </c>
      <c r="F177" t="s">
        <v>4123</v>
      </c>
      <c r="G177" t="s">
        <v>2402</v>
      </c>
      <c r="H177">
        <v>11</v>
      </c>
      <c r="I177" t="s">
        <v>51</v>
      </c>
      <c r="J177" s="32" t="str">
        <f t="shared" si="2"/>
        <v>Seamless computing in industrial systems using container orchestration</v>
      </c>
    </row>
    <row r="178" spans="1:10">
      <c r="A178" t="s">
        <v>4124</v>
      </c>
      <c r="B178" t="s">
        <v>4125</v>
      </c>
      <c r="C178">
        <v>2025</v>
      </c>
      <c r="D178" t="s">
        <v>4126</v>
      </c>
      <c r="E178" t="s">
        <v>51</v>
      </c>
      <c r="F178" t="s">
        <v>4127</v>
      </c>
      <c r="G178" t="s">
        <v>2402</v>
      </c>
      <c r="H178">
        <v>6</v>
      </c>
      <c r="I178" t="s">
        <v>51</v>
      </c>
      <c r="J178" s="32" t="str">
        <f t="shared" si="2"/>
        <v>Comparative Evaluation of open62541 OPC UA Servers on Embedded Devices</v>
      </c>
    </row>
    <row r="179" spans="1:10">
      <c r="A179" t="s">
        <v>4128</v>
      </c>
      <c r="B179" t="s">
        <v>4129</v>
      </c>
      <c r="C179">
        <v>2024</v>
      </c>
      <c r="D179" t="s">
        <v>4130</v>
      </c>
      <c r="E179" t="s">
        <v>51</v>
      </c>
      <c r="F179" t="s">
        <v>4131</v>
      </c>
      <c r="G179" t="s">
        <v>2402</v>
      </c>
      <c r="H179">
        <v>9</v>
      </c>
      <c r="I179" t="s">
        <v>51</v>
      </c>
      <c r="J179" s="32" t="str">
        <f t="shared" si="2"/>
        <v>Multilabel Classification in IoT NIDS: A Proposed Cross Machine Learning Pipeline</v>
      </c>
    </row>
    <row r="180" spans="1:10">
      <c r="A180" t="s">
        <v>4132</v>
      </c>
      <c r="B180" t="s">
        <v>4133</v>
      </c>
      <c r="C180">
        <v>2024</v>
      </c>
      <c r="D180" t="s">
        <v>4134</v>
      </c>
      <c r="E180" t="s">
        <v>51</v>
      </c>
      <c r="F180" t="s">
        <v>4135</v>
      </c>
      <c r="G180" t="s">
        <v>2402</v>
      </c>
      <c r="H180">
        <v>1</v>
      </c>
      <c r="I180" t="s">
        <v>51</v>
      </c>
      <c r="J180" s="32" t="str">
        <f t="shared" si="2"/>
        <v>A survey on security issues in IoT operating systems</v>
      </c>
    </row>
    <row r="181" spans="1:10">
      <c r="A181" t="s">
        <v>4136</v>
      </c>
      <c r="B181" t="s">
        <v>4137</v>
      </c>
      <c r="C181">
        <v>2025</v>
      </c>
      <c r="D181" t="s">
        <v>4138</v>
      </c>
      <c r="E181" t="s">
        <v>51</v>
      </c>
      <c r="F181" t="s">
        <v>4139</v>
      </c>
      <c r="G181" t="s">
        <v>2402</v>
      </c>
      <c r="H181">
        <v>5</v>
      </c>
      <c r="I181" t="s">
        <v>51</v>
      </c>
      <c r="J181" s="32" t="str">
        <f t="shared" si="2"/>
        <v>A Modular Interface for Multi-Agent Marine Autonomy Simulation</v>
      </c>
    </row>
    <row r="182" spans="1:10">
      <c r="A182" t="s">
        <v>4140</v>
      </c>
      <c r="B182" t="s">
        <v>4141</v>
      </c>
      <c r="C182">
        <v>2024</v>
      </c>
      <c r="D182" t="s">
        <v>4142</v>
      </c>
      <c r="E182" t="s">
        <v>51</v>
      </c>
      <c r="F182" t="s">
        <v>4143</v>
      </c>
      <c r="G182" t="s">
        <v>4144</v>
      </c>
      <c r="H182">
        <v>1</v>
      </c>
      <c r="I182" t="s">
        <v>51</v>
      </c>
      <c r="J182" s="32" t="str">
        <f t="shared" si="2"/>
        <v>Enhancing Wireless Sensor Network in Structural Health Monitoring through TCP/IP Socket Programming-Based Mimic Broadcasting: Experimental Validation</v>
      </c>
    </row>
    <row r="183" spans="1:10">
      <c r="A183" t="s">
        <v>4145</v>
      </c>
      <c r="B183" t="s">
        <v>4146</v>
      </c>
      <c r="C183">
        <v>2024</v>
      </c>
      <c r="D183" t="s">
        <v>4147</v>
      </c>
      <c r="E183" t="s">
        <v>51</v>
      </c>
      <c r="F183" t="s">
        <v>4148</v>
      </c>
      <c r="G183" t="s">
        <v>2402</v>
      </c>
      <c r="H183">
        <v>9</v>
      </c>
      <c r="I183" t="s">
        <v>51</v>
      </c>
      <c r="J183" s="32" t="str">
        <f t="shared" si="2"/>
        <v>Assessment of OPC UA PubSub at Scale Using TSN Infrastructure and Network Calculus</v>
      </c>
    </row>
    <row r="184" spans="1:10">
      <c r="A184" t="s">
        <v>4149</v>
      </c>
      <c r="B184" t="s">
        <v>4150</v>
      </c>
      <c r="C184">
        <v>2025</v>
      </c>
      <c r="D184" t="s">
        <v>4151</v>
      </c>
      <c r="E184" t="s">
        <v>51</v>
      </c>
      <c r="F184" t="s">
        <v>4152</v>
      </c>
      <c r="G184" t="s">
        <v>2402</v>
      </c>
      <c r="H184">
        <v>4</v>
      </c>
      <c r="I184" t="s">
        <v>51</v>
      </c>
      <c r="J184" s="32" t="str">
        <f t="shared" si="2"/>
        <v>Development of a Monitoring System for the Cooling Water Experimental Platform of the China Spallation Neutron Source</v>
      </c>
    </row>
    <row r="185" spans="1:10">
      <c r="A185" t="s">
        <v>4153</v>
      </c>
      <c r="B185" t="s">
        <v>4154</v>
      </c>
      <c r="C185">
        <v>2025</v>
      </c>
      <c r="D185" t="s">
        <v>4155</v>
      </c>
      <c r="E185" t="s">
        <v>51</v>
      </c>
      <c r="F185" t="s">
        <v>4156</v>
      </c>
      <c r="G185" t="s">
        <v>2402</v>
      </c>
      <c r="H185">
        <v>5</v>
      </c>
      <c r="I185" t="s">
        <v>51</v>
      </c>
      <c r="J185" s="32" t="str">
        <f t="shared" si="2"/>
        <v>Multi-Client Scenario-Based Reverse Shell Attack Simulation</v>
      </c>
    </row>
    <row r="186" spans="1:10">
      <c r="A186" t="s">
        <v>4157</v>
      </c>
      <c r="B186" t="s">
        <v>4158</v>
      </c>
      <c r="C186">
        <v>2025</v>
      </c>
      <c r="D186" t="s">
        <v>4159</v>
      </c>
      <c r="E186" t="s">
        <v>51</v>
      </c>
      <c r="F186" t="s">
        <v>4160</v>
      </c>
      <c r="G186" t="s">
        <v>2402</v>
      </c>
      <c r="H186">
        <v>12</v>
      </c>
      <c r="I186" t="s">
        <v>51</v>
      </c>
      <c r="J186" s="32" t="str">
        <f t="shared" si="2"/>
        <v>Analyzing Microservice Communication Performance in Industrial Edge Platform</v>
      </c>
    </row>
    <row r="187" spans="1:10">
      <c r="A187" t="s">
        <v>2081</v>
      </c>
      <c r="B187" t="s">
        <v>4161</v>
      </c>
      <c r="C187">
        <v>2023</v>
      </c>
      <c r="D187" t="s">
        <v>4162</v>
      </c>
      <c r="E187" t="s">
        <v>51</v>
      </c>
      <c r="F187" t="s">
        <v>2084</v>
      </c>
      <c r="G187" t="s">
        <v>2085</v>
      </c>
      <c r="H187">
        <v>7</v>
      </c>
      <c r="I187" t="s">
        <v>51</v>
      </c>
      <c r="J187" s="32" t="str">
        <f t="shared" si="2"/>
        <v>D&amp;R of Digital Twin-based Intelligent Control Practical Training System</v>
      </c>
    </row>
    <row r="188" spans="1:10">
      <c r="A188" t="s">
        <v>4164</v>
      </c>
      <c r="B188" t="s">
        <v>4165</v>
      </c>
      <c r="C188">
        <v>2024</v>
      </c>
      <c r="D188" t="s">
        <v>4166</v>
      </c>
      <c r="E188" t="s">
        <v>51</v>
      </c>
      <c r="F188" t="s">
        <v>4167</v>
      </c>
      <c r="G188" t="s">
        <v>2402</v>
      </c>
      <c r="H188">
        <v>6</v>
      </c>
      <c r="I188" t="s">
        <v>51</v>
      </c>
      <c r="J188" s="32" t="str">
        <f t="shared" ref="J188:J211" si="3">HYPERLINK($D188,$B188)</f>
        <v>Evaluating V2X Communications in the CARLA Simulator for a Collaborative Planning Use Case</v>
      </c>
    </row>
    <row r="189" spans="1:10">
      <c r="A189" t="s">
        <v>4168</v>
      </c>
      <c r="B189" t="s">
        <v>4169</v>
      </c>
      <c r="C189">
        <v>2025</v>
      </c>
      <c r="D189" t="s">
        <v>4170</v>
      </c>
      <c r="E189" t="s">
        <v>51</v>
      </c>
      <c r="F189" t="s">
        <v>4171</v>
      </c>
      <c r="G189" t="s">
        <v>2402</v>
      </c>
      <c r="H189">
        <v>35</v>
      </c>
      <c r="I189" t="s">
        <v>51</v>
      </c>
      <c r="J189" s="32" t="str">
        <f t="shared" si="3"/>
        <v>Deep learning-based stacked models for cyber-attack detection in industrial internet of things</v>
      </c>
    </row>
    <row r="190" spans="1:10">
      <c r="A190" t="s">
        <v>4172</v>
      </c>
      <c r="B190" t="s">
        <v>4173</v>
      </c>
      <c r="C190">
        <v>2026</v>
      </c>
      <c r="D190" t="s">
        <v>4174</v>
      </c>
      <c r="E190" t="s">
        <v>51</v>
      </c>
      <c r="F190" t="s">
        <v>4175</v>
      </c>
      <c r="G190" t="s">
        <v>2402</v>
      </c>
      <c r="H190">
        <v>34</v>
      </c>
      <c r="I190" t="s">
        <v>51</v>
      </c>
      <c r="J190" s="32" t="str">
        <f t="shared" si="3"/>
        <v>Toward Digital Twin-as-a-Service (DTaaS) Platforms: A Survey on Architecture, Design Requirements, and Performance Metrics</v>
      </c>
    </row>
    <row r="191" spans="1:10">
      <c r="A191" t="s">
        <v>4176</v>
      </c>
      <c r="B191" t="s">
        <v>4177</v>
      </c>
      <c r="C191">
        <v>2025</v>
      </c>
      <c r="D191" t="s">
        <v>4178</v>
      </c>
      <c r="E191" t="s">
        <v>51</v>
      </c>
      <c r="F191" t="s">
        <v>4179</v>
      </c>
      <c r="G191" t="s">
        <v>2402</v>
      </c>
      <c r="H191">
        <v>1</v>
      </c>
      <c r="I191" t="s">
        <v>51</v>
      </c>
      <c r="J191" s="32" t="str">
        <f t="shared" si="3"/>
        <v>A self-contained emulator for the forensic examination of IoE scenarios</v>
      </c>
    </row>
    <row r="192" spans="1:10">
      <c r="A192" t="s">
        <v>4180</v>
      </c>
      <c r="B192" t="s">
        <v>4181</v>
      </c>
      <c r="C192">
        <v>2025</v>
      </c>
      <c r="D192" t="s">
        <v>4182</v>
      </c>
      <c r="E192" t="s">
        <v>51</v>
      </c>
      <c r="F192" t="s">
        <v>4183</v>
      </c>
      <c r="G192" t="s">
        <v>2402</v>
      </c>
      <c r="H192">
        <v>35</v>
      </c>
      <c r="I192" t="s">
        <v>51</v>
      </c>
      <c r="J192" s="32" t="str">
        <f t="shared" si="3"/>
        <v>Computer vision-based quality inspection for tire sealant application with simulated robotic dispensing</v>
      </c>
    </row>
    <row r="193" spans="1:10">
      <c r="A193" t="s">
        <v>4184</v>
      </c>
      <c r="B193" t="s">
        <v>4185</v>
      </c>
      <c r="C193">
        <v>2023</v>
      </c>
      <c r="D193" t="s">
        <v>4186</v>
      </c>
      <c r="E193" t="s">
        <v>51</v>
      </c>
      <c r="F193" t="s">
        <v>4187</v>
      </c>
      <c r="G193" t="s">
        <v>4188</v>
      </c>
      <c r="H193">
        <v>16</v>
      </c>
      <c r="I193" t="s">
        <v>51</v>
      </c>
      <c r="J193" s="32" t="str">
        <f t="shared" si="3"/>
        <v>Multiuser Physical-Layer Authentication Based on Latent Perturbed Neural Networks for Industrial Internet of Things</v>
      </c>
    </row>
    <row r="194" spans="1:10">
      <c r="A194" t="s">
        <v>4189</v>
      </c>
      <c r="B194" t="s">
        <v>4190</v>
      </c>
      <c r="D194" t="s">
        <v>4191</v>
      </c>
      <c r="E194" t="s">
        <v>51</v>
      </c>
      <c r="F194" t="s">
        <v>4192</v>
      </c>
      <c r="G194" t="s">
        <v>2402</v>
      </c>
      <c r="H194">
        <v>26</v>
      </c>
      <c r="I194" t="s">
        <v>51</v>
      </c>
      <c r="J194" s="32" t="str">
        <f t="shared" si="3"/>
        <v>255Virtual cybersecurity testbeds for industrial Internet of Things</v>
      </c>
    </row>
    <row r="195" spans="1:10">
      <c r="A195" t="s">
        <v>4193</v>
      </c>
      <c r="B195" t="s">
        <v>4194</v>
      </c>
      <c r="C195">
        <v>2021</v>
      </c>
      <c r="D195" t="s">
        <v>2840</v>
      </c>
      <c r="E195" t="s">
        <v>51</v>
      </c>
      <c r="F195" t="s">
        <v>2402</v>
      </c>
      <c r="G195" t="s">
        <v>4195</v>
      </c>
      <c r="I195" t="s">
        <v>51</v>
      </c>
      <c r="J195" s="32" t="str">
        <f t="shared" si="3"/>
        <v>QMA: A Ressource-efficient, Q-Learning-based Multiple Access Scheme for the IIoT</v>
      </c>
    </row>
    <row r="196" spans="1:10">
      <c r="A196" t="s">
        <v>4196</v>
      </c>
      <c r="B196" t="s">
        <v>4197</v>
      </c>
      <c r="C196">
        <v>2023</v>
      </c>
      <c r="D196" t="s">
        <v>4198</v>
      </c>
      <c r="E196" t="s">
        <v>51</v>
      </c>
      <c r="F196" t="s">
        <v>4199</v>
      </c>
      <c r="G196" t="s">
        <v>2402</v>
      </c>
      <c r="H196">
        <v>12</v>
      </c>
      <c r="I196" t="s">
        <v>51</v>
      </c>
      <c r="J196" s="32" t="str">
        <f t="shared" si="3"/>
        <v>Intrusion Detection and Prevention in Industrial Internet of Things: A Study</v>
      </c>
    </row>
    <row r="197" spans="1:10">
      <c r="A197" t="s">
        <v>4200</v>
      </c>
      <c r="B197" t="s">
        <v>4201</v>
      </c>
      <c r="C197">
        <v>2023</v>
      </c>
      <c r="D197" t="s">
        <v>4202</v>
      </c>
      <c r="E197" t="s">
        <v>51</v>
      </c>
      <c r="F197" t="s">
        <v>4203</v>
      </c>
      <c r="G197" t="s">
        <v>4204</v>
      </c>
      <c r="H197">
        <v>16</v>
      </c>
      <c r="I197" t="s">
        <v>51</v>
      </c>
      <c r="J197" s="32" t="str">
        <f t="shared" si="3"/>
        <v>IEEE P2668-Compliant Multi-Layer IoT-DDoS Defense System Using Deep Reinforcement Learning</v>
      </c>
    </row>
    <row r="198" spans="1:10">
      <c r="A198" t="s">
        <v>4206</v>
      </c>
      <c r="B198" t="s">
        <v>4207</v>
      </c>
      <c r="C198">
        <v>2023</v>
      </c>
      <c r="D198" t="s">
        <v>4208</v>
      </c>
      <c r="E198" t="s">
        <v>51</v>
      </c>
      <c r="F198" t="s">
        <v>4209</v>
      </c>
      <c r="G198" t="s">
        <v>4210</v>
      </c>
      <c r="H198">
        <v>1</v>
      </c>
      <c r="I198" t="s">
        <v>51</v>
      </c>
      <c r="J198" s="32" t="str">
        <f t="shared" si="3"/>
        <v>Development of an IoT-Based SCADA System for Monitoring of Plant Leaf Temperature and Air and Soil Parameters</v>
      </c>
    </row>
    <row r="199" spans="1:10">
      <c r="A199" t="s">
        <v>4211</v>
      </c>
      <c r="B199" t="s">
        <v>4212</v>
      </c>
      <c r="C199">
        <v>2025</v>
      </c>
      <c r="D199" t="s">
        <v>4213</v>
      </c>
      <c r="E199" t="s">
        <v>51</v>
      </c>
      <c r="F199" t="s">
        <v>4214</v>
      </c>
      <c r="G199" t="s">
        <v>4215</v>
      </c>
      <c r="I199" t="s">
        <v>51</v>
      </c>
      <c r="J199" s="32" t="str">
        <f t="shared" si="3"/>
        <v>Artificial intelligence for secure and sustainable industrial control systems - A Survey of challenges and solutions</v>
      </c>
    </row>
    <row r="200" spans="1:10">
      <c r="A200" t="s">
        <v>4216</v>
      </c>
      <c r="B200" t="s">
        <v>4217</v>
      </c>
      <c r="C200">
        <v>2025</v>
      </c>
      <c r="D200" t="s">
        <v>4218</v>
      </c>
      <c r="E200" t="s">
        <v>51</v>
      </c>
      <c r="F200" t="s">
        <v>4219</v>
      </c>
      <c r="G200" t="s">
        <v>4220</v>
      </c>
      <c r="I200" t="s">
        <v>51</v>
      </c>
      <c r="J200" s="32" t="str">
        <f t="shared" si="3"/>
        <v>Internet of Things Driven Digital Twin for Intelligent Manufacturing in Shipbuilding Workshops</v>
      </c>
    </row>
    <row r="201" spans="1:10">
      <c r="A201" t="s">
        <v>3432</v>
      </c>
      <c r="B201" t="s">
        <v>4221</v>
      </c>
      <c r="C201">
        <v>2021</v>
      </c>
      <c r="D201" t="s">
        <v>4222</v>
      </c>
      <c r="E201" t="s">
        <v>51</v>
      </c>
      <c r="F201" t="s">
        <v>4223</v>
      </c>
      <c r="G201" t="s">
        <v>4224</v>
      </c>
      <c r="H201">
        <v>6</v>
      </c>
      <c r="I201" t="s">
        <v>51</v>
      </c>
      <c r="J201" s="32" t="str">
        <f t="shared" si="3"/>
        <v>Flexible Arbitrary Signal Generation and Acquisition System for Compact Underwater Measurement Systems and Data Fusion</v>
      </c>
    </row>
    <row r="202" spans="1:10">
      <c r="A202" t="s">
        <v>4225</v>
      </c>
      <c r="B202" t="s">
        <v>4226</v>
      </c>
      <c r="C202">
        <v>2023</v>
      </c>
      <c r="D202" t="s">
        <v>4227</v>
      </c>
      <c r="E202" t="s">
        <v>51</v>
      </c>
      <c r="F202" t="s">
        <v>4228</v>
      </c>
      <c r="G202" t="s">
        <v>4229</v>
      </c>
      <c r="H202">
        <v>1</v>
      </c>
      <c r="I202" t="s">
        <v>51</v>
      </c>
      <c r="J202" s="32" t="str">
        <f t="shared" si="3"/>
        <v>Towards electric digital twin grid: Technology and framework review</v>
      </c>
    </row>
    <row r="203" spans="1:10">
      <c r="A203" t="s">
        <v>4230</v>
      </c>
      <c r="B203" t="s">
        <v>4231</v>
      </c>
      <c r="C203">
        <v>2026</v>
      </c>
      <c r="D203" t="s">
        <v>4232</v>
      </c>
      <c r="E203" t="s">
        <v>51</v>
      </c>
      <c r="F203" t="s">
        <v>4233</v>
      </c>
      <c r="G203" t="s">
        <v>2402</v>
      </c>
      <c r="I203" t="s">
        <v>51</v>
      </c>
      <c r="J203" s="32" t="str">
        <f t="shared" si="3"/>
        <v>Real-Time AI-Driven Milling Digital Twin Towards Extreme Low-Latency</v>
      </c>
    </row>
    <row r="204" spans="1:10">
      <c r="A204" t="s">
        <v>4234</v>
      </c>
      <c r="B204" t="s">
        <v>4235</v>
      </c>
      <c r="C204">
        <v>2024</v>
      </c>
      <c r="D204" t="s">
        <v>4236</v>
      </c>
      <c r="E204" t="s">
        <v>51</v>
      </c>
      <c r="F204" t="s">
        <v>4237</v>
      </c>
      <c r="G204" t="s">
        <v>4238</v>
      </c>
      <c r="H204">
        <v>4</v>
      </c>
      <c r="I204" t="s">
        <v>51</v>
      </c>
      <c r="J204" s="32" t="str">
        <f t="shared" si="3"/>
        <v>On computing and real-time communication performance of containerized virtual PLCs</v>
      </c>
    </row>
    <row r="205" spans="1:10">
      <c r="A205" t="s">
        <v>4239</v>
      </c>
      <c r="B205" t="s">
        <v>4240</v>
      </c>
      <c r="C205">
        <v>2025</v>
      </c>
      <c r="D205" t="s">
        <v>4241</v>
      </c>
      <c r="E205" t="s">
        <v>51</v>
      </c>
      <c r="F205" t="s">
        <v>4242</v>
      </c>
      <c r="G205" t="s">
        <v>2402</v>
      </c>
      <c r="H205">
        <v>6</v>
      </c>
      <c r="I205" t="s">
        <v>51</v>
      </c>
      <c r="J205" s="32" t="str">
        <f t="shared" si="3"/>
        <v>Multi-Scene Layered Container Pre-Migration Method for Satellite Task Continuity</v>
      </c>
    </row>
    <row r="206" spans="1:10">
      <c r="A206" t="s">
        <v>4243</v>
      </c>
      <c r="B206" t="s">
        <v>4244</v>
      </c>
      <c r="C206">
        <v>2023</v>
      </c>
      <c r="D206" t="s">
        <v>4245</v>
      </c>
      <c r="E206" t="s">
        <v>51</v>
      </c>
      <c r="F206" t="s">
        <v>4246</v>
      </c>
      <c r="G206" t="s">
        <v>4247</v>
      </c>
      <c r="H206">
        <v>1</v>
      </c>
      <c r="I206" t="s">
        <v>51</v>
      </c>
      <c r="J206" s="32" t="str">
        <f t="shared" si="3"/>
        <v>A flexible OT testbed for evaluating on-device implementations of IEC-61850 GOOSE</v>
      </c>
    </row>
    <row r="207" spans="1:10">
      <c r="A207" t="s">
        <v>4248</v>
      </c>
      <c r="B207" t="s">
        <v>4249</v>
      </c>
      <c r="C207">
        <v>2024</v>
      </c>
      <c r="D207" t="s">
        <v>4250</v>
      </c>
      <c r="E207" t="s">
        <v>51</v>
      </c>
      <c r="F207" t="s">
        <v>4251</v>
      </c>
      <c r="G207" t="s">
        <v>4252</v>
      </c>
      <c r="H207">
        <v>24</v>
      </c>
      <c r="I207" t="s">
        <v>51</v>
      </c>
      <c r="J207" s="32" t="str">
        <f t="shared" si="3"/>
        <v>A Conceptual Implementation Process for Smart Maintenance Technologies</v>
      </c>
    </row>
    <row r="208" spans="1:10">
      <c r="A208" t="s">
        <v>4253</v>
      </c>
      <c r="B208" t="s">
        <v>4254</v>
      </c>
      <c r="C208">
        <v>2025</v>
      </c>
      <c r="D208" t="s">
        <v>4255</v>
      </c>
      <c r="E208" t="s">
        <v>51</v>
      </c>
      <c r="F208" t="s">
        <v>4256</v>
      </c>
      <c r="G208" t="s">
        <v>2402</v>
      </c>
      <c r="H208">
        <v>1</v>
      </c>
      <c r="I208" t="s">
        <v>51</v>
      </c>
      <c r="J208" s="32" t="str">
        <f t="shared" si="3"/>
        <v>Industrial robot system state simulation and risk utilization test environment design</v>
      </c>
    </row>
    <row r="209" spans="1:10">
      <c r="A209" t="s">
        <v>4257</v>
      </c>
      <c r="B209" t="s">
        <v>4258</v>
      </c>
      <c r="C209">
        <v>2025</v>
      </c>
      <c r="D209" t="s">
        <v>4259</v>
      </c>
      <c r="E209" t="s">
        <v>51</v>
      </c>
      <c r="F209" t="s">
        <v>4260</v>
      </c>
      <c r="G209" t="s">
        <v>4261</v>
      </c>
      <c r="I209" t="s">
        <v>51</v>
      </c>
      <c r="J209" s="32" t="str">
        <f t="shared" si="3"/>
        <v>Multimodal Cognitive Architecture with Local Generative AI for Industrial Control of Concrete Plants on Edge Devices.</v>
      </c>
    </row>
    <row r="210" spans="1:10">
      <c r="A210" t="s">
        <v>4262</v>
      </c>
      <c r="B210" t="s">
        <v>4263</v>
      </c>
      <c r="C210">
        <v>2023</v>
      </c>
      <c r="D210" t="s">
        <v>4264</v>
      </c>
      <c r="E210" t="s">
        <v>51</v>
      </c>
      <c r="F210" t="s">
        <v>4265</v>
      </c>
      <c r="G210" t="s">
        <v>4266</v>
      </c>
      <c r="H210">
        <v>8</v>
      </c>
      <c r="I210" t="s">
        <v>51</v>
      </c>
      <c r="J210" s="32" t="str">
        <f t="shared" si="3"/>
        <v>A Survey on OPC UA Protocol: Overview, Challenges and Opportunities</v>
      </c>
    </row>
    <row r="211" spans="1:10">
      <c r="A211" t="s">
        <v>4267</v>
      </c>
      <c r="B211" t="s">
        <v>4268</v>
      </c>
      <c r="C211">
        <v>2023</v>
      </c>
      <c r="D211" t="s">
        <v>4269</v>
      </c>
      <c r="E211" t="s">
        <v>51</v>
      </c>
      <c r="F211" t="s">
        <v>4270</v>
      </c>
      <c r="G211" t="s">
        <v>4271</v>
      </c>
      <c r="H211">
        <v>30</v>
      </c>
      <c r="I211" t="s">
        <v>51</v>
      </c>
      <c r="J211" s="32" t="str">
        <f t="shared" si="3"/>
        <v>The Significance of the Industrial Internet of Things (IIoT) for the Oil and Gas Space</v>
      </c>
    </row>
    <row r="216" spans="1:10">
      <c r="B216" s="9"/>
    </row>
  </sheetData>
  <conditionalFormatting sqref="B236:B1048576 B1:B229">
    <cfRule type="duplicateValues" dxfId="32" priority="1"/>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A67B-4214-42A8-9D50-213AD23D9465}">
  <dimension ref="A1:J210"/>
  <sheetViews>
    <sheetView topLeftCell="B1" workbookViewId="0">
      <selection activeCell="B219" sqref="B219:B241"/>
    </sheetView>
  </sheetViews>
  <sheetFormatPr defaultRowHeight="12.75"/>
  <cols>
    <col min="1" max="2" width="81.140625" bestFit="1" customWidth="1"/>
    <col min="3" max="3" width="7.28515625" bestFit="1" customWidth="1"/>
    <col min="4" max="4" width="52.7109375" bestFit="1" customWidth="1"/>
    <col min="5" max="5" width="6.7109375" bestFit="1" customWidth="1"/>
    <col min="6" max="6" width="40.2851562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2381</v>
      </c>
      <c r="B2" t="s">
        <v>2382</v>
      </c>
      <c r="C2">
        <v>2019</v>
      </c>
      <c r="D2" t="s">
        <v>2383</v>
      </c>
      <c r="E2" t="s">
        <v>51</v>
      </c>
      <c r="F2" t="s">
        <v>2384</v>
      </c>
      <c r="G2" t="s">
        <v>2385</v>
      </c>
      <c r="H2">
        <v>18</v>
      </c>
      <c r="I2" t="s">
        <v>51</v>
      </c>
      <c r="J2" t="str">
        <f t="shared" ref="J2:J44" si="0">HYPERLINK($D2,$B2)</f>
        <v>CCS - POIROT: Aligning Attack Behavior with Kernel Audit Records for Cyber Threat Hunting</v>
      </c>
    </row>
    <row r="3" spans="1:10">
      <c r="A3" t="s">
        <v>2386</v>
      </c>
      <c r="B3" t="s">
        <v>2387</v>
      </c>
      <c r="C3">
        <v>2019</v>
      </c>
      <c r="D3" t="s">
        <v>2388</v>
      </c>
      <c r="E3" t="s">
        <v>51</v>
      </c>
      <c r="F3" t="s">
        <v>2389</v>
      </c>
      <c r="G3" t="s">
        <v>2390</v>
      </c>
      <c r="H3">
        <v>16</v>
      </c>
      <c r="I3" t="s">
        <v>51</v>
      </c>
      <c r="J3" t="str">
        <f t="shared" si="0"/>
        <v>Man-in-the-middle-attack: Understanding in simple words</v>
      </c>
    </row>
    <row r="4" spans="1:10">
      <c r="A4" t="s">
        <v>2391</v>
      </c>
      <c r="B4" t="s">
        <v>2392</v>
      </c>
      <c r="C4">
        <v>2018</v>
      </c>
      <c r="D4" t="s">
        <v>2393</v>
      </c>
      <c r="E4" t="s">
        <v>51</v>
      </c>
      <c r="F4" t="s">
        <v>2394</v>
      </c>
      <c r="G4" t="s">
        <v>2395</v>
      </c>
      <c r="H4">
        <v>12</v>
      </c>
      <c r="I4" t="s">
        <v>51</v>
      </c>
      <c r="J4" t="str">
        <f t="shared" si="0"/>
        <v>ICICS - S7commTrace: A High Interactive Honeypot for Industrial Control System Based on S7 Protocol</v>
      </c>
    </row>
    <row r="5" spans="1:10">
      <c r="A5" t="s">
        <v>2396</v>
      </c>
      <c r="B5" t="s">
        <v>2397</v>
      </c>
      <c r="C5">
        <v>2022</v>
      </c>
      <c r="D5" t="s">
        <v>2398</v>
      </c>
      <c r="E5" t="s">
        <v>51</v>
      </c>
      <c r="F5" t="s">
        <v>2399</v>
      </c>
      <c r="G5" t="s">
        <v>2400</v>
      </c>
      <c r="H5">
        <v>1</v>
      </c>
      <c r="I5" t="s">
        <v>51</v>
      </c>
      <c r="J5" t="str">
        <f t="shared" si="0"/>
        <v>Integration of IoT Technologies into the Smart Grid.</v>
      </c>
    </row>
    <row r="6" spans="1:10">
      <c r="A6" t="s">
        <v>2403</v>
      </c>
      <c r="B6" t="s">
        <v>2404</v>
      </c>
      <c r="C6">
        <v>2021</v>
      </c>
      <c r="D6" t="s">
        <v>2405</v>
      </c>
      <c r="E6" t="s">
        <v>51</v>
      </c>
      <c r="F6" t="s">
        <v>2406</v>
      </c>
      <c r="G6" t="s">
        <v>2407</v>
      </c>
      <c r="I6" t="s">
        <v>51</v>
      </c>
      <c r="J6" t="str">
        <f t="shared" si="0"/>
        <v>Performance evaluation of CoAP and MQTT with security support for IoT environments</v>
      </c>
    </row>
    <row r="7" spans="1:10">
      <c r="A7" t="s">
        <v>2408</v>
      </c>
      <c r="B7" t="s">
        <v>2409</v>
      </c>
      <c r="C7">
        <v>2016</v>
      </c>
      <c r="D7" t="s">
        <v>2410</v>
      </c>
      <c r="E7" t="s">
        <v>51</v>
      </c>
      <c r="F7" t="s">
        <v>2411</v>
      </c>
      <c r="G7" t="s">
        <v>2412</v>
      </c>
      <c r="H7">
        <v>7</v>
      </c>
      <c r="I7" t="s">
        <v>51</v>
      </c>
      <c r="J7" t="str">
        <f t="shared" si="0"/>
        <v>INFOCOM Workshops - Simulation of Industrial Wireless Sensor Network (IWSN) protocols</v>
      </c>
    </row>
    <row r="8" spans="1:10">
      <c r="A8" t="s">
        <v>2413</v>
      </c>
      <c r="B8" t="s">
        <v>2414</v>
      </c>
      <c r="C8">
        <v>2013</v>
      </c>
      <c r="D8" t="s">
        <v>2415</v>
      </c>
      <c r="E8" t="s">
        <v>51</v>
      </c>
      <c r="F8" t="s">
        <v>2416</v>
      </c>
      <c r="G8" t="s">
        <v>2417</v>
      </c>
      <c r="H8">
        <v>8</v>
      </c>
      <c r="I8" t="s">
        <v>51</v>
      </c>
      <c r="J8" t="str">
        <f t="shared" si="0"/>
        <v>Computer Communication Within Industrial Distributed Environment—a Survey</v>
      </c>
    </row>
    <row r="9" spans="1:10">
      <c r="A9" t="s">
        <v>2418</v>
      </c>
      <c r="B9" t="s">
        <v>2419</v>
      </c>
      <c r="C9">
        <v>2008</v>
      </c>
      <c r="D9" t="s">
        <v>2420</v>
      </c>
      <c r="E9" t="s">
        <v>51</v>
      </c>
      <c r="F9" t="s">
        <v>2421</v>
      </c>
      <c r="G9" t="s">
        <v>2402</v>
      </c>
      <c r="H9">
        <v>6</v>
      </c>
      <c r="I9" t="s">
        <v>51</v>
      </c>
      <c r="J9" t="str">
        <f t="shared" si="0"/>
        <v>Property Patterns for the Formal Verification of Automated Production Systemsstar</v>
      </c>
    </row>
    <row r="10" spans="1:10">
      <c r="A10" t="s">
        <v>2422</v>
      </c>
      <c r="B10" t="s">
        <v>2423</v>
      </c>
      <c r="C10">
        <v>2019</v>
      </c>
      <c r="D10" t="s">
        <v>2424</v>
      </c>
      <c r="E10" t="s">
        <v>51</v>
      </c>
      <c r="F10" t="s">
        <v>2425</v>
      </c>
      <c r="G10" t="s">
        <v>2402</v>
      </c>
      <c r="H10">
        <v>13</v>
      </c>
      <c r="I10" t="s">
        <v>51</v>
      </c>
      <c r="J10" t="str">
        <f t="shared" si="0"/>
        <v>Digital transformation of manufacturing through cloud services and resource virtualization</v>
      </c>
    </row>
    <row r="11" spans="1:10">
      <c r="A11" t="s">
        <v>2426</v>
      </c>
      <c r="B11" t="s">
        <v>2427</v>
      </c>
      <c r="C11">
        <v>2015</v>
      </c>
      <c r="D11" t="s">
        <v>2428</v>
      </c>
      <c r="E11" t="s">
        <v>51</v>
      </c>
      <c r="F11" t="s">
        <v>2429</v>
      </c>
      <c r="G11" t="s">
        <v>2430</v>
      </c>
      <c r="H11">
        <v>6</v>
      </c>
      <c r="I11" t="s">
        <v>51</v>
      </c>
      <c r="J11" t="str">
        <f t="shared" si="0"/>
        <v>WF-IoT - FIT IoT-LAB: A large scale open experimental IoT testbed</v>
      </c>
    </row>
    <row r="12" spans="1:10">
      <c r="A12" t="s">
        <v>2431</v>
      </c>
      <c r="B12" t="s">
        <v>2432</v>
      </c>
      <c r="C12">
        <v>2018</v>
      </c>
      <c r="D12" t="s">
        <v>2433</v>
      </c>
      <c r="E12" t="s">
        <v>51</v>
      </c>
      <c r="F12" t="s">
        <v>2434</v>
      </c>
      <c r="G12" t="s">
        <v>2402</v>
      </c>
      <c r="H12">
        <v>9</v>
      </c>
      <c r="I12" t="s">
        <v>51</v>
      </c>
      <c r="J12" t="str">
        <f t="shared" si="0"/>
        <v>Container-based architecture for flexible industrial control applications</v>
      </c>
    </row>
    <row r="13" spans="1:10">
      <c r="A13" t="s">
        <v>2435</v>
      </c>
      <c r="B13" t="s">
        <v>2436</v>
      </c>
      <c r="C13">
        <v>2024</v>
      </c>
      <c r="D13" t="s">
        <v>2437</v>
      </c>
      <c r="E13" t="s">
        <v>51</v>
      </c>
      <c r="F13" t="s">
        <v>2438</v>
      </c>
      <c r="G13" t="s">
        <v>2439</v>
      </c>
      <c r="H13">
        <v>11</v>
      </c>
      <c r="I13" t="s">
        <v>51</v>
      </c>
      <c r="J13" t="str">
        <f t="shared" si="0"/>
        <v>Interworking between Modbus and internet of things platform for industrial services</v>
      </c>
    </row>
    <row r="14" spans="1:10">
      <c r="A14" t="s">
        <v>2440</v>
      </c>
      <c r="B14" t="s">
        <v>2441</v>
      </c>
      <c r="C14">
        <v>2022</v>
      </c>
      <c r="D14" t="s">
        <v>2442</v>
      </c>
      <c r="E14" t="s">
        <v>51</v>
      </c>
      <c r="F14" t="s">
        <v>2443</v>
      </c>
      <c r="G14" t="s">
        <v>2444</v>
      </c>
      <c r="I14" t="s">
        <v>51</v>
      </c>
      <c r="J14" t="str">
        <f t="shared" si="0"/>
        <v>GNS3 Communication Network Emulation for Substation GOOSE Based Protection Schemes</v>
      </c>
    </row>
    <row r="15" spans="1:10">
      <c r="A15" t="s">
        <v>2445</v>
      </c>
      <c r="B15" t="s">
        <v>2446</v>
      </c>
      <c r="C15">
        <v>2017</v>
      </c>
      <c r="D15" t="s">
        <v>2447</v>
      </c>
      <c r="E15" t="s">
        <v>51</v>
      </c>
      <c r="F15" t="s">
        <v>2448</v>
      </c>
      <c r="G15" t="s">
        <v>2449</v>
      </c>
      <c r="H15">
        <v>6</v>
      </c>
      <c r="I15" t="s">
        <v>51</v>
      </c>
      <c r="J15" t="str">
        <f t="shared" si="0"/>
        <v>ICC - Application protocols enabling internet of remote things via random access satellite channels</v>
      </c>
    </row>
    <row r="16" spans="1:10">
      <c r="A16" t="s">
        <v>2450</v>
      </c>
      <c r="B16" t="s">
        <v>2451</v>
      </c>
      <c r="C16">
        <v>2021</v>
      </c>
      <c r="D16" t="s">
        <v>2452</v>
      </c>
      <c r="E16" t="s">
        <v>51</v>
      </c>
      <c r="F16" t="s">
        <v>2453</v>
      </c>
      <c r="G16" t="s">
        <v>2454</v>
      </c>
      <c r="I16" t="s">
        <v>51</v>
      </c>
      <c r="J16" t="str">
        <f t="shared" si="0"/>
        <v>Denial-of-Service Attack on IEC 61850-Based Substation Automation System: A Crucial Cyber Threat towards Smart Substation Pathways.</v>
      </c>
    </row>
    <row r="17" spans="1:10">
      <c r="A17" t="s">
        <v>2455</v>
      </c>
      <c r="B17" t="s">
        <v>2456</v>
      </c>
      <c r="C17">
        <v>2010</v>
      </c>
      <c r="D17" t="s">
        <v>2457</v>
      </c>
      <c r="E17" t="s">
        <v>51</v>
      </c>
      <c r="F17" t="s">
        <v>2458</v>
      </c>
      <c r="G17" t="s">
        <v>2459</v>
      </c>
      <c r="H17">
        <v>6</v>
      </c>
      <c r="I17" t="s">
        <v>51</v>
      </c>
      <c r="J17" t="str">
        <f t="shared" si="0"/>
        <v>Performance evaluation of the EtherCAT distributed clock algorithm</v>
      </c>
    </row>
    <row r="18" spans="1:10">
      <c r="A18" t="s">
        <v>2460</v>
      </c>
      <c r="B18" t="s">
        <v>2461</v>
      </c>
      <c r="C18">
        <v>2017</v>
      </c>
      <c r="D18" t="s">
        <v>2462</v>
      </c>
      <c r="E18" t="s">
        <v>51</v>
      </c>
      <c r="F18" t="s">
        <v>2463</v>
      </c>
      <c r="G18" t="s">
        <v>2464</v>
      </c>
      <c r="H18">
        <v>4</v>
      </c>
      <c r="I18" t="s">
        <v>51</v>
      </c>
      <c r="J18" t="str">
        <f t="shared" si="0"/>
        <v>A case study of data acquisition from field devices using OPC UA and MQTT</v>
      </c>
    </row>
    <row r="19" spans="1:10">
      <c r="A19" t="s">
        <v>2465</v>
      </c>
      <c r="B19" t="s">
        <v>2466</v>
      </c>
      <c r="C19">
        <v>2023</v>
      </c>
      <c r="D19" t="s">
        <v>2467</v>
      </c>
      <c r="E19" t="s">
        <v>51</v>
      </c>
      <c r="F19" t="s">
        <v>2468</v>
      </c>
      <c r="G19" t="s">
        <v>2469</v>
      </c>
      <c r="H19">
        <v>11</v>
      </c>
      <c r="I19" t="s">
        <v>51</v>
      </c>
      <c r="J19" t="str">
        <f t="shared" si="0"/>
        <v>Design of Industrial Edge Applications Based on IEC 61499 Microservices and Containers</v>
      </c>
    </row>
    <row r="20" spans="1:10">
      <c r="A20" t="s">
        <v>2470</v>
      </c>
      <c r="B20" t="s">
        <v>2471</v>
      </c>
      <c r="C20">
        <v>2011</v>
      </c>
      <c r="D20" t="s">
        <v>2472</v>
      </c>
      <c r="E20" t="s">
        <v>51</v>
      </c>
      <c r="F20" t="s">
        <v>2473</v>
      </c>
      <c r="G20" t="s">
        <v>2474</v>
      </c>
      <c r="H20">
        <v>19</v>
      </c>
      <c r="I20" t="s">
        <v>51</v>
      </c>
      <c r="J20" t="str">
        <f t="shared" si="0"/>
        <v>Safe controllers design for industrial automation systems</v>
      </c>
    </row>
    <row r="21" spans="1:10">
      <c r="A21" t="s">
        <v>2476</v>
      </c>
      <c r="B21" t="s">
        <v>2477</v>
      </c>
      <c r="C21">
        <v>2024</v>
      </c>
      <c r="D21" t="s">
        <v>2478</v>
      </c>
      <c r="E21" t="s">
        <v>51</v>
      </c>
      <c r="F21" t="s">
        <v>2479</v>
      </c>
      <c r="G21" t="s">
        <v>2402</v>
      </c>
      <c r="H21">
        <v>19</v>
      </c>
      <c r="I21" t="s">
        <v>51</v>
      </c>
      <c r="J21" t="str">
        <f t="shared" si="0"/>
        <v>Structured Defense Model Against DNP3-Based Critical Infrastructure Attacks</v>
      </c>
    </row>
    <row r="22" spans="1:10">
      <c r="A22" t="s">
        <v>2480</v>
      </c>
      <c r="B22" t="s">
        <v>2481</v>
      </c>
      <c r="C22">
        <v>2017</v>
      </c>
      <c r="D22" t="s">
        <v>2482</v>
      </c>
      <c r="E22" t="s">
        <v>51</v>
      </c>
      <c r="F22" t="s">
        <v>2483</v>
      </c>
      <c r="G22" t="s">
        <v>2484</v>
      </c>
      <c r="H22">
        <v>7</v>
      </c>
      <c r="I22" t="s">
        <v>51</v>
      </c>
      <c r="J22" t="str">
        <f t="shared" si="0"/>
        <v>Choice of effective messaging protocols for IoT systems: MQTT, CoAP, AMQP and HTTP</v>
      </c>
    </row>
    <row r="23" spans="1:10">
      <c r="A23" t="s">
        <v>2488</v>
      </c>
      <c r="B23" t="s">
        <v>2489</v>
      </c>
      <c r="C23">
        <v>2022</v>
      </c>
      <c r="D23" t="s">
        <v>2490</v>
      </c>
      <c r="E23" t="s">
        <v>51</v>
      </c>
      <c r="F23" t="s">
        <v>2491</v>
      </c>
      <c r="G23" t="s">
        <v>2492</v>
      </c>
      <c r="H23">
        <v>1</v>
      </c>
      <c r="I23" t="s">
        <v>51</v>
      </c>
      <c r="J23" t="str">
        <f t="shared" si="0"/>
        <v>Identification Overview of Industry 4.0 Essential Attributes and Resource-Limited Embedded Artificial-Intelligence-of-Things Devices for Small and Medium-Sized Enterprises</v>
      </c>
    </row>
    <row r="24" spans="1:10">
      <c r="A24" t="s">
        <v>2493</v>
      </c>
      <c r="B24" t="s">
        <v>2494</v>
      </c>
      <c r="C24">
        <v>2023</v>
      </c>
      <c r="D24" t="s">
        <v>2495</v>
      </c>
      <c r="E24" t="s">
        <v>51</v>
      </c>
      <c r="F24" t="s">
        <v>2496</v>
      </c>
      <c r="G24" t="s">
        <v>2497</v>
      </c>
      <c r="I24" t="s">
        <v>51</v>
      </c>
      <c r="J24" t="str">
        <f t="shared" si="0"/>
        <v>Simulation and Analysis of Cyber-Attack on Modbus Protocol for Smart Grids in Virtual Environment</v>
      </c>
    </row>
    <row r="25" spans="1:10">
      <c r="A25" t="s">
        <v>2499</v>
      </c>
      <c r="B25" t="s">
        <v>2500</v>
      </c>
      <c r="C25">
        <v>2019</v>
      </c>
      <c r="D25" t="s">
        <v>2501</v>
      </c>
      <c r="E25" t="s">
        <v>51</v>
      </c>
      <c r="F25" t="s">
        <v>2502</v>
      </c>
      <c r="G25" t="s">
        <v>2503</v>
      </c>
      <c r="H25">
        <v>10</v>
      </c>
      <c r="I25" t="s">
        <v>51</v>
      </c>
      <c r="J25" t="str">
        <f t="shared" si="0"/>
        <v>A Novel Approach for Mitigation of Replay and Masquerade Attacks in Smartgrids Using IEC 61850 Standard</v>
      </c>
    </row>
    <row r="26" spans="1:10">
      <c r="A26" t="s">
        <v>2504</v>
      </c>
      <c r="B26" t="s">
        <v>2505</v>
      </c>
      <c r="C26">
        <v>2014</v>
      </c>
      <c r="D26" t="s">
        <v>2506</v>
      </c>
      <c r="E26" t="s">
        <v>51</v>
      </c>
      <c r="F26" t="s">
        <v>2507</v>
      </c>
      <c r="G26" t="s">
        <v>2508</v>
      </c>
      <c r="I26" t="s">
        <v>51</v>
      </c>
      <c r="J26" t="str">
        <f t="shared" si="0"/>
        <v>A survey of intrusion detection techniques for cyber-physical systems</v>
      </c>
    </row>
    <row r="27" spans="1:10">
      <c r="A27" t="s">
        <v>2509</v>
      </c>
      <c r="B27" t="s">
        <v>2510</v>
      </c>
      <c r="C27">
        <v>2018</v>
      </c>
      <c r="D27" t="s">
        <v>2511</v>
      </c>
      <c r="E27" t="s">
        <v>51</v>
      </c>
      <c r="F27" t="s">
        <v>2512</v>
      </c>
      <c r="G27" t="s">
        <v>2513</v>
      </c>
      <c r="H27">
        <v>5</v>
      </c>
      <c r="I27" t="s">
        <v>51</v>
      </c>
      <c r="J27" t="str">
        <f t="shared" si="0"/>
        <v>MetroInd4.0&amp;amp;IoT - Performance Comparison Between OPC UA and MQTT for Data Exchange</v>
      </c>
    </row>
    <row r="28" spans="1:10">
      <c r="A28" t="s">
        <v>2515</v>
      </c>
      <c r="B28" t="s">
        <v>2516</v>
      </c>
      <c r="C28">
        <v>2018</v>
      </c>
      <c r="D28" t="s">
        <v>2517</v>
      </c>
      <c r="E28" t="s">
        <v>51</v>
      </c>
      <c r="F28" t="s">
        <v>2518</v>
      </c>
      <c r="G28" t="s">
        <v>2519</v>
      </c>
      <c r="H28">
        <v>7</v>
      </c>
      <c r="I28" t="s">
        <v>51</v>
      </c>
      <c r="J28" t="str">
        <f t="shared" si="0"/>
        <v>ETFA - TSN-Enabled OPC UA in Field Devices</v>
      </c>
    </row>
    <row r="29" spans="1:10">
      <c r="A29" t="s">
        <v>2520</v>
      </c>
      <c r="B29" t="s">
        <v>2521</v>
      </c>
      <c r="C29">
        <v>2020</v>
      </c>
      <c r="D29" t="s">
        <v>2522</v>
      </c>
      <c r="E29" t="s">
        <v>51</v>
      </c>
      <c r="F29" t="s">
        <v>2523</v>
      </c>
      <c r="G29" t="s">
        <v>2524</v>
      </c>
      <c r="H29">
        <v>12</v>
      </c>
      <c r="I29" t="s">
        <v>51</v>
      </c>
      <c r="J29" t="str">
        <f t="shared" si="0"/>
        <v>Practical Implementation of an OPC UA TSN Communication Architecture for a Manufacturing System</v>
      </c>
    </row>
    <row r="30" spans="1:10">
      <c r="A30" t="s">
        <v>2525</v>
      </c>
      <c r="B30" t="s">
        <v>2526</v>
      </c>
      <c r="C30">
        <v>2018</v>
      </c>
      <c r="D30" t="s">
        <v>2527</v>
      </c>
      <c r="E30" t="s">
        <v>51</v>
      </c>
      <c r="F30" t="s">
        <v>2528</v>
      </c>
      <c r="G30" t="s">
        <v>2529</v>
      </c>
      <c r="H30">
        <v>7</v>
      </c>
      <c r="I30" t="s">
        <v>51</v>
      </c>
      <c r="J30" t="str">
        <f t="shared" si="0"/>
        <v>LANMAN - Robustness of IoT Application Protocols to Network Impairments</v>
      </c>
    </row>
    <row r="31" spans="1:10">
      <c r="A31" t="s">
        <v>2530</v>
      </c>
      <c r="B31" t="s">
        <v>2531</v>
      </c>
      <c r="C31">
        <v>2017</v>
      </c>
      <c r="D31" t="s">
        <v>2532</v>
      </c>
      <c r="E31" t="s">
        <v>51</v>
      </c>
      <c r="F31" t="s">
        <v>2533</v>
      </c>
      <c r="G31" t="s">
        <v>2402</v>
      </c>
      <c r="H31">
        <v>13</v>
      </c>
      <c r="I31" t="s">
        <v>51</v>
      </c>
      <c r="J31" t="str">
        <f t="shared" si="0"/>
        <v>A survey of intrusion detection in Internet of Things</v>
      </c>
    </row>
    <row r="32" spans="1:10">
      <c r="A32" t="s">
        <v>2534</v>
      </c>
      <c r="B32" t="s">
        <v>2535</v>
      </c>
      <c r="C32">
        <v>2021</v>
      </c>
      <c r="D32" t="s">
        <v>2536</v>
      </c>
      <c r="E32" t="s">
        <v>51</v>
      </c>
      <c r="F32" t="s">
        <v>2537</v>
      </c>
      <c r="G32" t="s">
        <v>2538</v>
      </c>
      <c r="H32">
        <v>11</v>
      </c>
      <c r="I32" t="s">
        <v>51</v>
      </c>
      <c r="J32" t="str">
        <f t="shared" si="0"/>
        <v>Evaluating Docker for Lightweight Virtualization of Distributed and Time-Sensitive Applications in Industrial Automation</v>
      </c>
    </row>
    <row r="33" spans="1:10">
      <c r="A33" t="s">
        <v>2539</v>
      </c>
      <c r="B33" t="s">
        <v>2540</v>
      </c>
      <c r="C33">
        <v>2021</v>
      </c>
      <c r="D33" t="s">
        <v>2541</v>
      </c>
      <c r="E33" t="s">
        <v>51</v>
      </c>
      <c r="F33" t="s">
        <v>2542</v>
      </c>
      <c r="G33" t="s">
        <v>2543</v>
      </c>
      <c r="I33" t="s">
        <v>51</v>
      </c>
      <c r="J33" t="str">
        <f t="shared" si="0"/>
        <v>Performance of the XMPP and the MQTT Protocols on IEC 61850-Based Micro Grid Communication Architecture</v>
      </c>
    </row>
    <row r="34" spans="1:10">
      <c r="A34" t="s">
        <v>2544</v>
      </c>
      <c r="B34" t="s">
        <v>1344</v>
      </c>
      <c r="C34">
        <v>2021</v>
      </c>
      <c r="D34" t="s">
        <v>2545</v>
      </c>
      <c r="E34" t="s">
        <v>51</v>
      </c>
      <c r="F34" t="s">
        <v>277</v>
      </c>
      <c r="G34" t="s">
        <v>1946</v>
      </c>
      <c r="I34" t="s">
        <v>51</v>
      </c>
      <c r="J34" t="str">
        <f t="shared" si="0"/>
        <v>A Performance Analysis of Internet of Things Networking Protocols: Evaluating MQTT, CoAP, OPC UA</v>
      </c>
    </row>
    <row r="35" spans="1:10">
      <c r="A35" t="s">
        <v>2547</v>
      </c>
      <c r="B35" t="s">
        <v>2548</v>
      </c>
      <c r="C35">
        <v>2008</v>
      </c>
      <c r="D35" t="s">
        <v>2549</v>
      </c>
      <c r="E35" t="s">
        <v>51</v>
      </c>
      <c r="F35" t="s">
        <v>2550</v>
      </c>
      <c r="G35" t="s">
        <v>2551</v>
      </c>
      <c r="H35">
        <v>8</v>
      </c>
      <c r="I35" t="s">
        <v>51</v>
      </c>
      <c r="J35" t="str">
        <f t="shared" si="0"/>
        <v>ETFA - A performance analysis of EtherCAT and PROFINET IRT</v>
      </c>
    </row>
    <row r="36" spans="1:10">
      <c r="A36" t="s">
        <v>2552</v>
      </c>
      <c r="B36" t="s">
        <v>2553</v>
      </c>
      <c r="C36">
        <v>2017</v>
      </c>
      <c r="D36" t="s">
        <v>2554</v>
      </c>
      <c r="E36" t="s">
        <v>51</v>
      </c>
      <c r="F36" t="s">
        <v>2555</v>
      </c>
      <c r="G36" t="s">
        <v>2556</v>
      </c>
      <c r="H36">
        <v>28</v>
      </c>
      <c r="I36" t="s">
        <v>51</v>
      </c>
      <c r="J36" t="str">
        <f t="shared" si="0"/>
        <v>Handbook of Big Data Technologies - SCADA Systems in the Cloud</v>
      </c>
    </row>
    <row r="37" spans="1:10">
      <c r="A37" t="s">
        <v>2557</v>
      </c>
      <c r="B37" t="s">
        <v>2558</v>
      </c>
      <c r="C37">
        <v>2021</v>
      </c>
      <c r="D37" t="s">
        <v>2559</v>
      </c>
      <c r="E37" t="s">
        <v>51</v>
      </c>
      <c r="F37" t="s">
        <v>2560</v>
      </c>
      <c r="G37" t="s">
        <v>2561</v>
      </c>
      <c r="I37" t="s">
        <v>51</v>
      </c>
      <c r="J37" t="str">
        <f t="shared" si="0"/>
        <v>EnGINE: Developing a Flexible Research Infrastructure for Reliable and Scalable Intra-Vehicular TSN Networks</v>
      </c>
    </row>
    <row r="38" spans="1:10">
      <c r="A38" t="s">
        <v>2562</v>
      </c>
      <c r="B38" t="s">
        <v>2563</v>
      </c>
      <c r="C38">
        <v>2018</v>
      </c>
      <c r="D38" t="s">
        <v>2564</v>
      </c>
      <c r="E38" t="s">
        <v>51</v>
      </c>
      <c r="F38" t="s">
        <v>2565</v>
      </c>
      <c r="G38" t="s">
        <v>2566</v>
      </c>
      <c r="H38">
        <v>8</v>
      </c>
      <c r="I38" t="s">
        <v>51</v>
      </c>
      <c r="J38" t="str">
        <f t="shared" si="0"/>
        <v>An Effective Methodology for Measuring Software Resource Usage</v>
      </c>
    </row>
    <row r="39" spans="1:10">
      <c r="A39" t="s">
        <v>2567</v>
      </c>
      <c r="B39" t="s">
        <v>2568</v>
      </c>
      <c r="C39">
        <v>2018</v>
      </c>
      <c r="D39" t="s">
        <v>2569</v>
      </c>
      <c r="E39" t="s">
        <v>51</v>
      </c>
      <c r="F39" t="s">
        <v>2570</v>
      </c>
      <c r="G39" t="s">
        <v>2571</v>
      </c>
      <c r="H39">
        <v>8</v>
      </c>
      <c r="I39" t="s">
        <v>51</v>
      </c>
      <c r="J39" t="str">
        <f t="shared" si="0"/>
        <v>Manufacturing in the fourth industrial revolution: A positive prospect in Sustainable Manufacturing</v>
      </c>
    </row>
    <row r="40" spans="1:10">
      <c r="A40" t="s">
        <v>2572</v>
      </c>
      <c r="B40" t="s">
        <v>2573</v>
      </c>
      <c r="C40">
        <v>2014</v>
      </c>
      <c r="D40" t="s">
        <v>2574</v>
      </c>
      <c r="E40" t="s">
        <v>51</v>
      </c>
      <c r="F40" t="s">
        <v>2575</v>
      </c>
      <c r="G40" t="s">
        <v>2576</v>
      </c>
      <c r="H40">
        <v>5</v>
      </c>
      <c r="I40" t="s">
        <v>51</v>
      </c>
      <c r="J40" t="str">
        <f t="shared" si="0"/>
        <v>WF-IoT - OpenIoT: An open service framework for the Internet of Things</v>
      </c>
    </row>
    <row r="41" spans="1:10">
      <c r="A41" t="s">
        <v>2577</v>
      </c>
      <c r="B41" t="s">
        <v>2578</v>
      </c>
      <c r="C41">
        <v>2014</v>
      </c>
      <c r="D41" t="s">
        <v>2579</v>
      </c>
      <c r="E41" t="s">
        <v>51</v>
      </c>
      <c r="F41" t="s">
        <v>2580</v>
      </c>
      <c r="G41" t="s">
        <v>2581</v>
      </c>
      <c r="H41">
        <v>20</v>
      </c>
      <c r="I41" t="s">
        <v>51</v>
      </c>
      <c r="J41" t="str">
        <f t="shared" si="0"/>
        <v>On Cyber Attacks and Signature Based Intrusion Detection for Modbus Based Industrial Control Systems</v>
      </c>
    </row>
    <row r="42" spans="1:10">
      <c r="A42" t="s">
        <v>2582</v>
      </c>
      <c r="B42" t="s">
        <v>2583</v>
      </c>
      <c r="C42">
        <v>2018</v>
      </c>
      <c r="D42" t="s">
        <v>2584</v>
      </c>
      <c r="E42" t="s">
        <v>51</v>
      </c>
      <c r="F42" t="s">
        <v>2585</v>
      </c>
      <c r="G42" t="s">
        <v>2586</v>
      </c>
      <c r="H42">
        <v>4</v>
      </c>
      <c r="I42" t="s">
        <v>51</v>
      </c>
      <c r="J42" t="str">
        <f t="shared" si="0"/>
        <v>ETFA - Towards Transforming an Industrial Automation System from Monolithic to Microservices</v>
      </c>
    </row>
    <row r="43" spans="1:10">
      <c r="A43" t="s">
        <v>2587</v>
      </c>
      <c r="B43" t="s">
        <v>2588</v>
      </c>
      <c r="C43">
        <v>2010</v>
      </c>
      <c r="D43" t="s">
        <v>2589</v>
      </c>
      <c r="E43" t="s">
        <v>51</v>
      </c>
      <c r="F43" t="s">
        <v>2590</v>
      </c>
      <c r="G43" t="s">
        <v>2591</v>
      </c>
      <c r="I43" t="s">
        <v>51</v>
      </c>
      <c r="J43" t="str">
        <f t="shared" si="0"/>
        <v>A Treatise on Electricity and Magnetism: Contents</v>
      </c>
    </row>
    <row r="44" spans="1:10">
      <c r="A44" t="s">
        <v>2592</v>
      </c>
      <c r="B44" t="s">
        <v>2593</v>
      </c>
      <c r="C44">
        <v>2020</v>
      </c>
      <c r="D44" t="s">
        <v>2594</v>
      </c>
      <c r="E44" t="s">
        <v>51</v>
      </c>
      <c r="F44" t="s">
        <v>2595</v>
      </c>
      <c r="G44" t="s">
        <v>2596</v>
      </c>
      <c r="H44">
        <v>12</v>
      </c>
      <c r="I44" t="s">
        <v>51</v>
      </c>
      <c r="J44" t="str">
        <f t="shared" si="0"/>
        <v>A Review of IEC 62351 Security Mechanisms for IEC 61850 Message Exchanges</v>
      </c>
    </row>
    <row r="45" spans="1:10">
      <c r="A45" t="s">
        <v>2597</v>
      </c>
      <c r="B45" t="s">
        <v>2598</v>
      </c>
      <c r="C45">
        <v>2018</v>
      </c>
      <c r="D45" t="s">
        <v>2599</v>
      </c>
      <c r="E45" t="s">
        <v>51</v>
      </c>
      <c r="F45" t="s">
        <v>2600</v>
      </c>
      <c r="G45" t="s">
        <v>2601</v>
      </c>
      <c r="I45" t="s">
        <v>51</v>
      </c>
      <c r="J45" t="str">
        <f t="shared" ref="J45:J91" si="1">HYPERLINK($D45,$B45)</f>
        <v>SmartGridComm - A Cost-efficient Software Testbed for Cyber-Physical Security in IEC 61850-based Substations</v>
      </c>
    </row>
    <row r="46" spans="1:10">
      <c r="A46" t="s">
        <v>2603</v>
      </c>
      <c r="B46" t="s">
        <v>2604</v>
      </c>
      <c r="C46">
        <v>1987</v>
      </c>
      <c r="D46" t="s">
        <v>2605</v>
      </c>
      <c r="E46" t="s">
        <v>51</v>
      </c>
      <c r="F46" t="s">
        <v>2606</v>
      </c>
      <c r="G46" t="s">
        <v>2607</v>
      </c>
      <c r="H46">
        <v>2</v>
      </c>
      <c r="I46" t="s">
        <v>51</v>
      </c>
      <c r="J46" t="str">
        <f t="shared" si="1"/>
        <v>Electron Spectroscopy Studies on Magneto-Optical Media and Plastic Substrate Interface</v>
      </c>
    </row>
    <row r="47" spans="1:10">
      <c r="A47" t="s">
        <v>2608</v>
      </c>
      <c r="B47" t="s">
        <v>2609</v>
      </c>
      <c r="C47">
        <v>2018</v>
      </c>
      <c r="D47" t="s">
        <v>2610</v>
      </c>
      <c r="E47" t="s">
        <v>51</v>
      </c>
      <c r="F47" t="s">
        <v>2611</v>
      </c>
      <c r="G47" t="s">
        <v>2612</v>
      </c>
      <c r="H47">
        <v>17</v>
      </c>
      <c r="I47" t="s">
        <v>51</v>
      </c>
      <c r="J47" t="str">
        <f t="shared" si="1"/>
        <v>QEST - How Fast Is MQTT</v>
      </c>
    </row>
    <row r="48" spans="1:10">
      <c r="A48" t="s">
        <v>2613</v>
      </c>
      <c r="B48" t="s">
        <v>2614</v>
      </c>
      <c r="C48">
        <v>2018</v>
      </c>
      <c r="D48" t="s">
        <v>2615</v>
      </c>
      <c r="E48" t="s">
        <v>51</v>
      </c>
      <c r="F48" t="s">
        <v>2616</v>
      </c>
      <c r="G48" t="s">
        <v>2617</v>
      </c>
      <c r="H48">
        <v>6</v>
      </c>
      <c r="I48" t="s">
        <v>51</v>
      </c>
      <c r="J48" t="str">
        <f t="shared" si="1"/>
        <v>ISGT Europe - Stealthy Injection Attacks Against IEC61850's GOOSE Messaging Service</v>
      </c>
    </row>
    <row r="49" spans="1:10">
      <c r="A49" t="s">
        <v>2618</v>
      </c>
      <c r="B49" t="s">
        <v>2619</v>
      </c>
      <c r="C49">
        <v>2018</v>
      </c>
      <c r="D49" t="s">
        <v>2620</v>
      </c>
      <c r="E49" t="s">
        <v>51</v>
      </c>
      <c r="F49" t="s">
        <v>2621</v>
      </c>
      <c r="G49" t="s">
        <v>2622</v>
      </c>
      <c r="H49">
        <v>11</v>
      </c>
      <c r="I49" t="s">
        <v>51</v>
      </c>
      <c r="J49" t="str">
        <f t="shared" si="1"/>
        <v>Internet of Things (IoT): Research, Simulators, and Testbeds</v>
      </c>
    </row>
    <row r="50" spans="1:10">
      <c r="A50" t="s">
        <v>2623</v>
      </c>
      <c r="B50" t="s">
        <v>2624</v>
      </c>
      <c r="C50">
        <v>2024</v>
      </c>
      <c r="D50" t="s">
        <v>2625</v>
      </c>
      <c r="E50" t="s">
        <v>51</v>
      </c>
      <c r="F50" t="s">
        <v>2626</v>
      </c>
      <c r="G50" t="s">
        <v>2627</v>
      </c>
      <c r="H50">
        <v>19</v>
      </c>
      <c r="I50" t="s">
        <v>51</v>
      </c>
      <c r="J50" t="str">
        <f t="shared" si="1"/>
        <v>SoK: A Reality Check for DNP3 Attacks 15 Years Later</v>
      </c>
    </row>
    <row r="51" spans="1:10">
      <c r="A51" t="s">
        <v>2628</v>
      </c>
      <c r="B51" t="s">
        <v>2629</v>
      </c>
      <c r="C51">
        <v>2018</v>
      </c>
      <c r="D51" t="s">
        <v>2630</v>
      </c>
      <c r="E51" t="s">
        <v>51</v>
      </c>
      <c r="F51" t="s">
        <v>2631</v>
      </c>
      <c r="G51" t="s">
        <v>2632</v>
      </c>
      <c r="H51">
        <v>17</v>
      </c>
      <c r="I51" t="s">
        <v>51</v>
      </c>
      <c r="J51" t="str">
        <f t="shared" si="1"/>
        <v>Avoiding the internet of insecure industrial things</v>
      </c>
    </row>
    <row r="52" spans="1:10">
      <c r="A52" t="s">
        <v>2633</v>
      </c>
      <c r="B52" t="s">
        <v>2634</v>
      </c>
      <c r="C52">
        <v>2018</v>
      </c>
      <c r="D52" t="s">
        <v>2635</v>
      </c>
      <c r="E52" t="s">
        <v>51</v>
      </c>
      <c r="F52" t="s">
        <v>2636</v>
      </c>
      <c r="G52" t="s">
        <v>2637</v>
      </c>
      <c r="H52">
        <v>8</v>
      </c>
      <c r="I52" t="s">
        <v>51</v>
      </c>
      <c r="J52" t="str">
        <f t="shared" si="1"/>
        <v>ES - Performance Evaluation of Application Layer Protocols for the Internet-of-Things</v>
      </c>
    </row>
    <row r="53" spans="1:10">
      <c r="A53" t="s">
        <v>2638</v>
      </c>
      <c r="B53" t="s">
        <v>2639</v>
      </c>
      <c r="C53">
        <v>2011</v>
      </c>
      <c r="D53" t="s">
        <v>2640</v>
      </c>
      <c r="E53" t="s">
        <v>51</v>
      </c>
      <c r="F53" t="s">
        <v>2641</v>
      </c>
      <c r="G53" t="s">
        <v>2642</v>
      </c>
      <c r="H53">
        <v>6</v>
      </c>
      <c r="I53" t="s">
        <v>51</v>
      </c>
      <c r="J53" t="str">
        <f t="shared" si="1"/>
        <v>Modeling network architecture and time behavior of Distributed Control Systems in industrial plant automation</v>
      </c>
    </row>
    <row r="54" spans="1:10">
      <c r="A54" t="s">
        <v>2644</v>
      </c>
      <c r="B54" t="s">
        <v>2645</v>
      </c>
      <c r="C54">
        <v>2013</v>
      </c>
      <c r="D54" t="s">
        <v>2646</v>
      </c>
      <c r="E54" t="s">
        <v>51</v>
      </c>
      <c r="F54" t="s">
        <v>2647</v>
      </c>
      <c r="G54" t="s">
        <v>2648</v>
      </c>
      <c r="H54">
        <v>6</v>
      </c>
      <c r="I54" t="s">
        <v>51</v>
      </c>
      <c r="J54" t="str">
        <f t="shared" si="1"/>
        <v>Verification of parallel operation of flywheel energy storage with high speed network operation</v>
      </c>
    </row>
    <row r="55" spans="1:10">
      <c r="A55" t="s">
        <v>2649</v>
      </c>
      <c r="B55" t="s">
        <v>2650</v>
      </c>
      <c r="C55">
        <v>2019</v>
      </c>
      <c r="D55" t="s">
        <v>2651</v>
      </c>
      <c r="E55" t="s">
        <v>51</v>
      </c>
      <c r="F55" t="s">
        <v>2652</v>
      </c>
      <c r="G55" t="s">
        <v>2653</v>
      </c>
      <c r="H55">
        <v>12</v>
      </c>
      <c r="I55" t="s">
        <v>51</v>
      </c>
      <c r="J55" t="str">
        <f t="shared" si="1"/>
        <v>ICPE - Bottleneck Identification and Performance Modeling of OPC UA Communication Models</v>
      </c>
    </row>
    <row r="56" spans="1:10">
      <c r="A56" t="s">
        <v>2654</v>
      </c>
      <c r="B56" t="s">
        <v>2655</v>
      </c>
      <c r="C56">
        <v>2014</v>
      </c>
      <c r="D56" t="s">
        <v>2656</v>
      </c>
      <c r="E56" t="s">
        <v>51</v>
      </c>
      <c r="F56" t="s">
        <v>2657</v>
      </c>
      <c r="G56" t="s">
        <v>2658</v>
      </c>
      <c r="H56">
        <v>10</v>
      </c>
      <c r="I56" t="s">
        <v>51</v>
      </c>
      <c r="J56" t="str">
        <f t="shared" si="1"/>
        <v>Information Centric Networking in the IoT: Experiments with NDN in the Wild</v>
      </c>
    </row>
    <row r="57" spans="1:10">
      <c r="A57" t="s">
        <v>2659</v>
      </c>
      <c r="B57" t="s">
        <v>2660</v>
      </c>
      <c r="C57">
        <v>2017</v>
      </c>
      <c r="D57" t="s">
        <v>2661</v>
      </c>
      <c r="E57" t="s">
        <v>51</v>
      </c>
      <c r="F57" t="s">
        <v>2662</v>
      </c>
      <c r="G57" t="s">
        <v>2663</v>
      </c>
      <c r="H57">
        <v>8</v>
      </c>
      <c r="I57" t="s">
        <v>51</v>
      </c>
      <c r="J57" t="str">
        <f t="shared" si="1"/>
        <v>ICIOT - IoTbed: A Generic Architecture for Testbed as a Service for Internet of Things-Based Systems</v>
      </c>
    </row>
    <row r="58" spans="1:10">
      <c r="A58" t="s">
        <v>2504</v>
      </c>
      <c r="B58" t="s">
        <v>2664</v>
      </c>
      <c r="C58">
        <v>2016</v>
      </c>
      <c r="D58" t="s">
        <v>2665</v>
      </c>
      <c r="E58" t="s">
        <v>51</v>
      </c>
      <c r="F58" t="s">
        <v>2666</v>
      </c>
      <c r="G58" t="s">
        <v>2667</v>
      </c>
      <c r="H58">
        <v>9</v>
      </c>
      <c r="I58" t="s">
        <v>51</v>
      </c>
      <c r="J58" t="str">
        <f t="shared" si="1"/>
        <v>Modeling and Analysis of Attacks and Counter Defense Mechanisms for Cyber Physical Systems</v>
      </c>
    </row>
    <row r="59" spans="1:10">
      <c r="A59" t="s">
        <v>2670</v>
      </c>
      <c r="B59" t="s">
        <v>2671</v>
      </c>
      <c r="C59">
        <v>2016</v>
      </c>
      <c r="D59" t="s">
        <v>2672</v>
      </c>
      <c r="E59" t="s">
        <v>51</v>
      </c>
      <c r="F59" t="s">
        <v>2673</v>
      </c>
      <c r="G59" t="s">
        <v>2674</v>
      </c>
      <c r="H59">
        <v>10</v>
      </c>
      <c r="I59" t="s">
        <v>51</v>
      </c>
      <c r="J59" t="str">
        <f t="shared" si="1"/>
        <v>HICSS - Design Principles for Industrie 4.0 Scenarios</v>
      </c>
    </row>
    <row r="60" spans="1:10">
      <c r="A60" t="s">
        <v>2675</v>
      </c>
      <c r="B60" t="s">
        <v>2676</v>
      </c>
      <c r="C60">
        <v>2015</v>
      </c>
      <c r="D60" t="s">
        <v>2677</v>
      </c>
      <c r="E60" t="s">
        <v>51</v>
      </c>
      <c r="F60" t="s">
        <v>2678</v>
      </c>
      <c r="G60" t="s">
        <v>2679</v>
      </c>
      <c r="H60">
        <v>6</v>
      </c>
      <c r="I60" t="s">
        <v>51</v>
      </c>
      <c r="J60" t="str">
        <f t="shared" si="1"/>
        <v>A Comparison of Lightweight Communication Protocols in Robotic Applications</v>
      </c>
    </row>
    <row r="61" spans="1:10">
      <c r="A61" t="s">
        <v>2680</v>
      </c>
      <c r="B61" t="s">
        <v>2681</v>
      </c>
      <c r="C61">
        <v>2015</v>
      </c>
      <c r="D61" t="s">
        <v>2682</v>
      </c>
      <c r="E61" t="s">
        <v>51</v>
      </c>
      <c r="F61" t="s">
        <v>2683</v>
      </c>
      <c r="G61" t="s">
        <v>2402</v>
      </c>
      <c r="I61" t="s">
        <v>51</v>
      </c>
      <c r="J61" t="str">
        <f t="shared" si="1"/>
        <v>IoT-RFID Testbed for Supporting Traffic Light Control</v>
      </c>
    </row>
    <row r="62" spans="1:10">
      <c r="A62" t="s">
        <v>2684</v>
      </c>
      <c r="B62" t="s">
        <v>2685</v>
      </c>
      <c r="C62">
        <v>2021</v>
      </c>
      <c r="D62" t="s">
        <v>2686</v>
      </c>
      <c r="E62" t="s">
        <v>51</v>
      </c>
      <c r="F62" t="s">
        <v>2687</v>
      </c>
      <c r="G62" t="s">
        <v>2688</v>
      </c>
      <c r="I62" t="s">
        <v>51</v>
      </c>
      <c r="J62" t="str">
        <f t="shared" si="1"/>
        <v>Vulnerability and Impact Analysis of the IEC 61850 GOOSE Protocol in the Smart Grid.</v>
      </c>
    </row>
    <row r="63" spans="1:10">
      <c r="A63" t="s">
        <v>2689</v>
      </c>
      <c r="B63" t="s">
        <v>2690</v>
      </c>
      <c r="C63">
        <v>2022</v>
      </c>
      <c r="D63" t="s">
        <v>2691</v>
      </c>
      <c r="E63" t="s">
        <v>51</v>
      </c>
      <c r="F63" t="s">
        <v>2692</v>
      </c>
      <c r="G63" t="s">
        <v>2693</v>
      </c>
      <c r="H63">
        <v>1</v>
      </c>
      <c r="I63" t="s">
        <v>51</v>
      </c>
      <c r="J63" t="str">
        <f t="shared" si="1"/>
        <v>Demonstration of 5G Solutions for Smart Energy Grids of the Future: A Perspective of the Smart5Grid Project</v>
      </c>
    </row>
    <row r="64" spans="1:10">
      <c r="A64" t="s">
        <v>2695</v>
      </c>
      <c r="B64" t="s">
        <v>2696</v>
      </c>
      <c r="C64">
        <v>2017</v>
      </c>
      <c r="D64" t="s">
        <v>2697</v>
      </c>
      <c r="E64" t="s">
        <v>51</v>
      </c>
      <c r="F64" t="s">
        <v>2698</v>
      </c>
      <c r="G64" t="s">
        <v>2699</v>
      </c>
      <c r="H64">
        <v>6</v>
      </c>
      <c r="I64" t="s">
        <v>51</v>
      </c>
      <c r="J64" t="str">
        <f t="shared" si="1"/>
        <v>INDIN - OPC UA integration for field devices</v>
      </c>
    </row>
    <row r="65" spans="1:10">
      <c r="A65" t="s">
        <v>2700</v>
      </c>
      <c r="B65" t="s">
        <v>2701</v>
      </c>
      <c r="C65">
        <v>2022</v>
      </c>
      <c r="D65" t="s">
        <v>2702</v>
      </c>
      <c r="E65" t="s">
        <v>51</v>
      </c>
      <c r="F65" t="s">
        <v>2703</v>
      </c>
      <c r="G65" t="s">
        <v>2704</v>
      </c>
      <c r="H65">
        <v>1</v>
      </c>
      <c r="I65" t="s">
        <v>51</v>
      </c>
      <c r="J65" t="str">
        <f t="shared" si="1"/>
        <v>Analysis of pneumatic parameters to identify leakages and faults on the demand side of a compressed air system</v>
      </c>
    </row>
    <row r="66" spans="1:10">
      <c r="A66" t="s">
        <v>2705</v>
      </c>
      <c r="B66" t="s">
        <v>2706</v>
      </c>
      <c r="C66">
        <v>2013</v>
      </c>
      <c r="D66" t="s">
        <v>2707</v>
      </c>
      <c r="E66" t="s">
        <v>51</v>
      </c>
      <c r="F66" t="s">
        <v>2708</v>
      </c>
      <c r="G66" t="s">
        <v>2402</v>
      </c>
      <c r="H66">
        <v>13</v>
      </c>
      <c r="I66" t="s">
        <v>51</v>
      </c>
      <c r="J66" t="str">
        <f t="shared" si="1"/>
        <v>Analysis of OPC UA performances</v>
      </c>
    </row>
    <row r="67" spans="1:10">
      <c r="A67" t="s">
        <v>2709</v>
      </c>
      <c r="B67" t="s">
        <v>2710</v>
      </c>
      <c r="C67">
        <v>2014</v>
      </c>
      <c r="D67" t="s">
        <v>2711</v>
      </c>
      <c r="E67" t="s">
        <v>51</v>
      </c>
      <c r="F67" t="s">
        <v>2712</v>
      </c>
      <c r="G67" t="s">
        <v>2713</v>
      </c>
      <c r="H67">
        <v>112</v>
      </c>
      <c r="I67" t="s">
        <v>51</v>
      </c>
      <c r="J67" t="str">
        <f t="shared" si="1"/>
        <v>The Constrained Application Protocol (CoAP)</v>
      </c>
    </row>
    <row r="68" spans="1:10">
      <c r="A68" t="s">
        <v>2714</v>
      </c>
      <c r="B68" t="s">
        <v>2715</v>
      </c>
      <c r="C68">
        <v>2023</v>
      </c>
      <c r="D68" t="s">
        <v>2716</v>
      </c>
      <c r="E68" t="s">
        <v>51</v>
      </c>
      <c r="F68" t="s">
        <v>2717</v>
      </c>
      <c r="G68" t="s">
        <v>2718</v>
      </c>
      <c r="H68">
        <v>1</v>
      </c>
      <c r="I68" t="s">
        <v>51</v>
      </c>
      <c r="J68" t="str">
        <f t="shared" si="1"/>
        <v>An integrated outlook of Cyber–Physical Systems for Industry 4.0: Topical practices, architecture, and applications</v>
      </c>
    </row>
    <row r="69" spans="1:10">
      <c r="A69" t="s">
        <v>2720</v>
      </c>
      <c r="B69" t="s">
        <v>2721</v>
      </c>
      <c r="C69">
        <v>2017</v>
      </c>
      <c r="D69" t="s">
        <v>2722</v>
      </c>
      <c r="E69" t="s">
        <v>51</v>
      </c>
      <c r="F69" t="s">
        <v>2723</v>
      </c>
      <c r="G69" t="s">
        <v>2402</v>
      </c>
      <c r="H69">
        <v>12</v>
      </c>
      <c r="I69" t="s">
        <v>51</v>
      </c>
      <c r="J69" t="str">
        <f t="shared" si="1"/>
        <v>Comparative analysis of the security of configuration protocols for industrial control devices</v>
      </c>
    </row>
    <row r="70" spans="1:10">
      <c r="A70" t="s">
        <v>2724</v>
      </c>
      <c r="B70" t="s">
        <v>2725</v>
      </c>
      <c r="C70">
        <v>2021</v>
      </c>
      <c r="D70" t="s">
        <v>2726</v>
      </c>
      <c r="E70" t="s">
        <v>51</v>
      </c>
      <c r="F70" t="s">
        <v>2727</v>
      </c>
      <c r="G70" t="s">
        <v>2402</v>
      </c>
      <c r="H70">
        <v>8</v>
      </c>
      <c r="I70" t="s">
        <v>51</v>
      </c>
      <c r="J70" t="str">
        <f t="shared" si="1"/>
        <v>Experimental Characterization of Asynchronous Notification Latency for Subscriptions in OPC UA</v>
      </c>
    </row>
    <row r="71" spans="1:10">
      <c r="A71" t="s">
        <v>2728</v>
      </c>
      <c r="B71" t="s">
        <v>2729</v>
      </c>
      <c r="C71">
        <v>2021</v>
      </c>
      <c r="D71" t="s">
        <v>2730</v>
      </c>
      <c r="E71" t="s">
        <v>51</v>
      </c>
      <c r="F71" t="s">
        <v>2731</v>
      </c>
      <c r="G71" t="s">
        <v>2732</v>
      </c>
      <c r="H71">
        <v>11</v>
      </c>
      <c r="I71" t="s">
        <v>51</v>
      </c>
      <c r="J71" t="str">
        <f t="shared" si="1"/>
        <v>Assessment of Different OPC UA Implementations for Industrial IoT-Based Measurement Applications</v>
      </c>
    </row>
    <row r="72" spans="1:10">
      <c r="A72" t="s">
        <v>2733</v>
      </c>
      <c r="B72" t="s">
        <v>2734</v>
      </c>
      <c r="C72">
        <v>2019</v>
      </c>
      <c r="D72" t="s">
        <v>2735</v>
      </c>
      <c r="E72" t="s">
        <v>51</v>
      </c>
      <c r="F72" t="s">
        <v>2736</v>
      </c>
      <c r="G72" t="s">
        <v>2737</v>
      </c>
      <c r="H72">
        <v>8</v>
      </c>
      <c r="I72" t="s">
        <v>51</v>
      </c>
      <c r="J72" t="str">
        <f t="shared" si="1"/>
        <v>ICIT - OPC UA versus ROS, DDS, and MQTT: Performance Evaluation of Industry 4.0 Protocols</v>
      </c>
    </row>
    <row r="73" spans="1:10">
      <c r="A73" t="s">
        <v>2738</v>
      </c>
      <c r="B73" t="s">
        <v>2739</v>
      </c>
      <c r="C73">
        <v>2021</v>
      </c>
      <c r="D73" t="s">
        <v>2740</v>
      </c>
      <c r="E73" t="s">
        <v>51</v>
      </c>
      <c r="F73" t="s">
        <v>2741</v>
      </c>
      <c r="G73" t="s">
        <v>2402</v>
      </c>
      <c r="H73">
        <v>17</v>
      </c>
      <c r="I73" t="s">
        <v>51</v>
      </c>
      <c r="J73" t="str">
        <f t="shared" si="1"/>
        <v>Cyber-physical systems architectures for industrial internet of things applications in Industry 4.0: A literature review</v>
      </c>
    </row>
    <row r="74" spans="1:10">
      <c r="A74" t="s">
        <v>2742</v>
      </c>
      <c r="B74" t="s">
        <v>2743</v>
      </c>
      <c r="C74">
        <v>1989</v>
      </c>
      <c r="D74" t="s">
        <v>2744</v>
      </c>
      <c r="E74" t="s">
        <v>51</v>
      </c>
      <c r="F74" t="s">
        <v>2745</v>
      </c>
      <c r="G74" t="s">
        <v>2402</v>
      </c>
      <c r="H74">
        <v>6</v>
      </c>
      <c r="I74" t="s">
        <v>51</v>
      </c>
      <c r="J74" t="str">
        <f t="shared" si="1"/>
        <v>NONLINEAR OPTIMAL EXCITATION CONTROL FOR MULTIMACHINE SYSTEMS</v>
      </c>
    </row>
    <row r="75" spans="1:10">
      <c r="A75" t="s">
        <v>2746</v>
      </c>
      <c r="B75" t="s">
        <v>2747</v>
      </c>
      <c r="C75">
        <v>2018</v>
      </c>
      <c r="D75" t="s">
        <v>2748</v>
      </c>
      <c r="E75" t="s">
        <v>51</v>
      </c>
      <c r="F75" t="s">
        <v>2749</v>
      </c>
      <c r="G75" t="s">
        <v>2750</v>
      </c>
      <c r="H75">
        <v>12</v>
      </c>
      <c r="I75" t="s">
        <v>51</v>
      </c>
      <c r="J75" t="str">
        <f t="shared" si="1"/>
        <v>The industrial internet of things (IIoT): An analysis framework</v>
      </c>
    </row>
    <row r="76" spans="1:10">
      <c r="A76" t="s">
        <v>2751</v>
      </c>
      <c r="B76" t="s">
        <v>2752</v>
      </c>
      <c r="C76">
        <v>2018</v>
      </c>
      <c r="D76" t="s">
        <v>2753</v>
      </c>
      <c r="E76" t="s">
        <v>51</v>
      </c>
      <c r="F76" t="s">
        <v>2754</v>
      </c>
      <c r="G76" t="s">
        <v>2755</v>
      </c>
      <c r="I76" t="s">
        <v>51</v>
      </c>
      <c r="J76" t="str">
        <f t="shared" si="1"/>
        <v>Address resolution protocol spoofing attacks and security approaches: A survey</v>
      </c>
    </row>
    <row r="77" spans="1:10">
      <c r="A77" t="s">
        <v>2756</v>
      </c>
      <c r="B77" t="s">
        <v>2757</v>
      </c>
      <c r="C77">
        <v>2019</v>
      </c>
      <c r="D77" t="s">
        <v>2758</v>
      </c>
      <c r="E77" t="s">
        <v>51</v>
      </c>
      <c r="F77" t="s">
        <v>2759</v>
      </c>
      <c r="G77" t="s">
        <v>2760</v>
      </c>
      <c r="H77">
        <v>6</v>
      </c>
      <c r="I77" t="s">
        <v>51</v>
      </c>
      <c r="J77" t="str">
        <f t="shared" si="1"/>
        <v>A comparison of AMQP and MQTT protocols for Internet of Things</v>
      </c>
    </row>
    <row r="78" spans="1:10">
      <c r="A78" t="s">
        <v>2761</v>
      </c>
      <c r="B78" t="s">
        <v>2762</v>
      </c>
      <c r="C78">
        <v>2025</v>
      </c>
      <c r="D78" t="s">
        <v>2763</v>
      </c>
      <c r="E78" t="s">
        <v>51</v>
      </c>
      <c r="F78" t="s">
        <v>2764</v>
      </c>
      <c r="G78" t="s">
        <v>2765</v>
      </c>
      <c r="H78">
        <v>1</v>
      </c>
      <c r="I78" t="s">
        <v>51</v>
      </c>
      <c r="J78" t="str">
        <f t="shared" si="1"/>
        <v>End-to-End Framework for Identifying Vulnerabilities of Operational Technology Protocols and Their Implementations in Industrial IoT</v>
      </c>
    </row>
    <row r="79" spans="1:10">
      <c r="A79" t="s">
        <v>2766</v>
      </c>
      <c r="B79" t="s">
        <v>2767</v>
      </c>
      <c r="C79">
        <v>2016</v>
      </c>
      <c r="D79" t="s">
        <v>2768</v>
      </c>
      <c r="E79" t="s">
        <v>51</v>
      </c>
      <c r="F79" t="s">
        <v>2769</v>
      </c>
      <c r="G79" t="s">
        <v>2770</v>
      </c>
      <c r="H79">
        <v>6</v>
      </c>
      <c r="I79" t="s">
        <v>51</v>
      </c>
      <c r="J79" t="str">
        <f t="shared" si="1"/>
        <v>ASP-DAC - Security analysis on consumer and industrial IoT devices</v>
      </c>
    </row>
    <row r="80" spans="1:10">
      <c r="A80" t="s">
        <v>2771</v>
      </c>
      <c r="B80" t="s">
        <v>2772</v>
      </c>
      <c r="C80">
        <v>2012</v>
      </c>
      <c r="D80" t="s">
        <v>2773</v>
      </c>
      <c r="E80" t="s">
        <v>51</v>
      </c>
      <c r="F80" t="s">
        <v>2774</v>
      </c>
      <c r="G80" t="s">
        <v>2775</v>
      </c>
      <c r="H80">
        <v>6</v>
      </c>
      <c r="I80" t="s">
        <v>51</v>
      </c>
      <c r="J80" t="str">
        <f t="shared" si="1"/>
        <v>GLOBECOM Workshops - Exploiting the GOOSE protocol: A practical attack on cyber-infrastructure</v>
      </c>
    </row>
    <row r="81" spans="1:10">
      <c r="A81" t="s">
        <v>2777</v>
      </c>
      <c r="B81" t="s">
        <v>1383</v>
      </c>
      <c r="C81">
        <v>2021</v>
      </c>
      <c r="D81" t="s">
        <v>2778</v>
      </c>
      <c r="E81" t="s">
        <v>51</v>
      </c>
      <c r="F81" t="s">
        <v>1384</v>
      </c>
      <c r="G81" t="s">
        <v>2779</v>
      </c>
      <c r="H81">
        <v>35</v>
      </c>
      <c r="I81" t="s">
        <v>51</v>
      </c>
      <c r="J81" t="str">
        <f t="shared" si="1"/>
        <v>A Comprehensive Survey on Interoperability for IIoT: Taxonomy, Standards, and Future Directions</v>
      </c>
    </row>
    <row r="82" spans="1:10">
      <c r="A82" t="s">
        <v>2780</v>
      </c>
      <c r="B82" t="s">
        <v>2781</v>
      </c>
      <c r="C82">
        <v>2021</v>
      </c>
      <c r="D82" t="s">
        <v>2782</v>
      </c>
      <c r="E82" t="s">
        <v>51</v>
      </c>
      <c r="F82" t="s">
        <v>2783</v>
      </c>
      <c r="G82" t="s">
        <v>2402</v>
      </c>
      <c r="H82">
        <v>4</v>
      </c>
      <c r="I82" t="s">
        <v>51</v>
      </c>
      <c r="J82" t="str">
        <f t="shared" si="1"/>
        <v>Ubiquitous Sensing Intelligent Gateway for Power IoT based on IEC61850 Standard</v>
      </c>
    </row>
    <row r="83" spans="1:10">
      <c r="A83" t="s">
        <v>2784</v>
      </c>
      <c r="B83" t="s">
        <v>2785</v>
      </c>
      <c r="C83">
        <v>2009</v>
      </c>
      <c r="D83" t="s">
        <v>2786</v>
      </c>
      <c r="E83" t="s">
        <v>51</v>
      </c>
      <c r="F83" t="s">
        <v>2787</v>
      </c>
      <c r="G83" t="s">
        <v>2402</v>
      </c>
      <c r="H83">
        <v>8</v>
      </c>
      <c r="I83" t="s">
        <v>51</v>
      </c>
      <c r="J83" t="str">
        <f t="shared" si="1"/>
        <v>Real Time Ethernet networks evaluation using performance indicators</v>
      </c>
    </row>
    <row r="84" spans="1:10">
      <c r="A84" t="s">
        <v>2788</v>
      </c>
      <c r="B84" t="s">
        <v>2789</v>
      </c>
      <c r="C84">
        <v>2018</v>
      </c>
      <c r="D84" t="s">
        <v>2790</v>
      </c>
      <c r="E84" t="s">
        <v>51</v>
      </c>
      <c r="F84" t="s">
        <v>2791</v>
      </c>
      <c r="G84" t="s">
        <v>2792</v>
      </c>
      <c r="H84">
        <v>11</v>
      </c>
      <c r="I84" t="s">
        <v>51</v>
      </c>
      <c r="J84" t="str">
        <f t="shared" si="1"/>
        <v>Industrial Internet of Things: Challenges, Opportunities, and Directions</v>
      </c>
    </row>
    <row r="85" spans="1:10">
      <c r="A85" t="s">
        <v>2793</v>
      </c>
      <c r="B85" t="s">
        <v>2794</v>
      </c>
      <c r="C85">
        <v>2016</v>
      </c>
      <c r="D85" t="s">
        <v>2795</v>
      </c>
      <c r="E85" t="s">
        <v>51</v>
      </c>
      <c r="F85" t="s">
        <v>2796</v>
      </c>
      <c r="G85" t="s">
        <v>2797</v>
      </c>
      <c r="H85">
        <v>6</v>
      </c>
      <c r="I85" t="s">
        <v>51</v>
      </c>
      <c r="J85" t="str">
        <f t="shared" si="1"/>
        <v>URAI - An EtherCAT-based real-time motion control system in mobile robot application</v>
      </c>
    </row>
    <row r="86" spans="1:10">
      <c r="A86" t="s">
        <v>2798</v>
      </c>
      <c r="B86" t="s">
        <v>2799</v>
      </c>
      <c r="C86">
        <v>2007</v>
      </c>
      <c r="D86" t="s">
        <v>2800</v>
      </c>
      <c r="E86" t="s">
        <v>51</v>
      </c>
      <c r="F86" t="s">
        <v>2801</v>
      </c>
      <c r="G86" t="s">
        <v>2802</v>
      </c>
      <c r="H86">
        <v>8</v>
      </c>
      <c r="I86" t="s">
        <v>51</v>
      </c>
      <c r="J86" t="str">
        <f t="shared" si="1"/>
        <v>ETFA - Limits of increasing the performance of Industrial Ethernet protocols</v>
      </c>
    </row>
    <row r="87" spans="1:10">
      <c r="A87" t="s">
        <v>2803</v>
      </c>
      <c r="B87" t="s">
        <v>2804</v>
      </c>
      <c r="C87">
        <v>2023</v>
      </c>
      <c r="D87" t="s">
        <v>2805</v>
      </c>
      <c r="E87" t="s">
        <v>51</v>
      </c>
      <c r="F87" t="s">
        <v>2806</v>
      </c>
      <c r="G87" t="s">
        <v>2807</v>
      </c>
      <c r="H87">
        <v>4</v>
      </c>
      <c r="I87" t="s">
        <v>51</v>
      </c>
      <c r="J87" t="str">
        <f t="shared" si="1"/>
        <v>Assessment of Time Performance of Lightweight Virtualization for Edge Computing Applications</v>
      </c>
    </row>
    <row r="88" spans="1:10">
      <c r="A88" t="s">
        <v>2808</v>
      </c>
      <c r="B88" t="s">
        <v>2809</v>
      </c>
      <c r="C88">
        <v>2021</v>
      </c>
      <c r="D88" t="s">
        <v>2810</v>
      </c>
      <c r="E88" t="s">
        <v>51</v>
      </c>
      <c r="F88" t="s">
        <v>2811</v>
      </c>
      <c r="G88" t="s">
        <v>2812</v>
      </c>
      <c r="H88">
        <v>9</v>
      </c>
      <c r="I88" t="s">
        <v>51</v>
      </c>
      <c r="J88" t="str">
        <f t="shared" si="1"/>
        <v>Trustworthiness in Industrial IoT Systems Based on Artificial Intelligence</v>
      </c>
    </row>
    <row r="89" spans="1:10">
      <c r="A89" t="s">
        <v>2813</v>
      </c>
      <c r="B89" t="s">
        <v>2814</v>
      </c>
      <c r="C89">
        <v>2017</v>
      </c>
      <c r="D89" t="s">
        <v>2815</v>
      </c>
      <c r="E89" t="s">
        <v>51</v>
      </c>
      <c r="F89" t="s">
        <v>2816</v>
      </c>
      <c r="G89" t="s">
        <v>2817</v>
      </c>
      <c r="H89">
        <v>11</v>
      </c>
      <c r="I89" t="s">
        <v>51</v>
      </c>
      <c r="J89" t="str">
        <f t="shared" si="1"/>
        <v>Processes, Motivations, and Issues for Migrating to Microservices Architectures: An Empirical Investigation</v>
      </c>
    </row>
    <row r="90" spans="1:10">
      <c r="A90" t="s">
        <v>2818</v>
      </c>
      <c r="B90" t="s">
        <v>2819</v>
      </c>
      <c r="C90">
        <v>2019</v>
      </c>
      <c r="D90" t="s">
        <v>2820</v>
      </c>
      <c r="E90" t="s">
        <v>51</v>
      </c>
      <c r="F90" t="s">
        <v>2821</v>
      </c>
      <c r="G90" t="s">
        <v>2822</v>
      </c>
      <c r="I90" t="s">
        <v>51</v>
      </c>
      <c r="J90" t="str">
        <f t="shared" si="1"/>
        <v>Interoperability in Smart Manufacturing: Research Challenges</v>
      </c>
    </row>
    <row r="91" spans="1:10">
      <c r="A91" t="s">
        <v>2823</v>
      </c>
      <c r="B91" t="s">
        <v>2824</v>
      </c>
      <c r="C91">
        <v>2017</v>
      </c>
      <c r="D91" t="s">
        <v>2825</v>
      </c>
      <c r="E91" t="s">
        <v>51</v>
      </c>
      <c r="F91" t="s">
        <v>2826</v>
      </c>
      <c r="G91" t="s">
        <v>2827</v>
      </c>
      <c r="H91">
        <v>14</v>
      </c>
      <c r="I91" t="s">
        <v>51</v>
      </c>
      <c r="J91" t="str">
        <f t="shared" si="1"/>
        <v>SIGCOMM - The QUIC Transport Protocol: Design and Internet-Scale Deployment</v>
      </c>
    </row>
    <row r="92" spans="1:10">
      <c r="A92" t="s">
        <v>2828</v>
      </c>
      <c r="B92" t="s">
        <v>2829</v>
      </c>
      <c r="C92">
        <v>2019</v>
      </c>
      <c r="D92" t="s">
        <v>2830</v>
      </c>
      <c r="E92" t="s">
        <v>51</v>
      </c>
      <c r="F92" t="s">
        <v>2831</v>
      </c>
      <c r="G92" t="s">
        <v>2832</v>
      </c>
      <c r="H92">
        <v>6</v>
      </c>
      <c r="I92" t="s">
        <v>51</v>
      </c>
      <c r="J92" t="str">
        <f t="shared" ref="J92:J144" si="2">HYPERLINK($D92,$B92)</f>
        <v>INDIN - TSN Traffic Shaping for OPC UA Field Devices</v>
      </c>
    </row>
    <row r="93" spans="1:10">
      <c r="A93" t="s">
        <v>2833</v>
      </c>
      <c r="B93" t="s">
        <v>2834</v>
      </c>
      <c r="C93">
        <v>2013</v>
      </c>
      <c r="D93" t="s">
        <v>2835</v>
      </c>
      <c r="E93" t="s">
        <v>51</v>
      </c>
      <c r="F93" t="s">
        <v>2836</v>
      </c>
      <c r="G93" t="s">
        <v>2837</v>
      </c>
      <c r="H93">
        <v>13</v>
      </c>
      <c r="I93" t="s">
        <v>51</v>
      </c>
      <c r="J93" t="str">
        <f t="shared" si="2"/>
        <v>Synchronize Your Watches: Part II: Special-Purpose Solutions for Distributed Real-Time Control</v>
      </c>
    </row>
    <row r="94" spans="1:10">
      <c r="A94" t="s">
        <v>2838</v>
      </c>
      <c r="B94" t="s">
        <v>2839</v>
      </c>
      <c r="C94">
        <v>2017</v>
      </c>
      <c r="D94" t="s">
        <v>2840</v>
      </c>
      <c r="E94" t="s">
        <v>51</v>
      </c>
      <c r="F94" t="s">
        <v>2402</v>
      </c>
      <c r="G94" t="s">
        <v>2841</v>
      </c>
      <c r="I94" t="s">
        <v>51</v>
      </c>
      <c r="J94" t="str">
        <f t="shared" si="2"/>
        <v>Information-Centric Networking, A natural design for IoT applications?</v>
      </c>
    </row>
    <row r="95" spans="1:10">
      <c r="A95" t="s">
        <v>2842</v>
      </c>
      <c r="B95" t="s">
        <v>2843</v>
      </c>
      <c r="C95">
        <v>2024</v>
      </c>
      <c r="D95" t="s">
        <v>2844</v>
      </c>
      <c r="E95" t="s">
        <v>51</v>
      </c>
      <c r="F95" t="s">
        <v>2845</v>
      </c>
      <c r="G95" t="s">
        <v>2402</v>
      </c>
      <c r="H95">
        <v>28</v>
      </c>
      <c r="I95" t="s">
        <v>51</v>
      </c>
      <c r="J95" t="str">
        <f t="shared" si="2"/>
        <v>Trends in Smart Grid Cyber-Physical Security: Components, Threats, and Solutions</v>
      </c>
    </row>
    <row r="96" spans="1:10">
      <c r="A96" t="s">
        <v>2846</v>
      </c>
      <c r="B96" t="s">
        <v>2847</v>
      </c>
      <c r="C96">
        <v>2016</v>
      </c>
      <c r="D96" t="s">
        <v>2848</v>
      </c>
      <c r="E96" t="s">
        <v>51</v>
      </c>
      <c r="F96" t="s">
        <v>2849</v>
      </c>
      <c r="G96" t="s">
        <v>2850</v>
      </c>
      <c r="H96">
        <v>4</v>
      </c>
      <c r="I96" t="s">
        <v>51</v>
      </c>
      <c r="J96" t="str">
        <f t="shared" si="2"/>
        <v>Virtualizing Programmable Logic Controllers: Toward a Convergent Approach</v>
      </c>
    </row>
    <row r="97" spans="1:10">
      <c r="A97" t="s">
        <v>2851</v>
      </c>
      <c r="B97" t="s">
        <v>2852</v>
      </c>
      <c r="C97">
        <v>2013</v>
      </c>
      <c r="D97" t="s">
        <v>2853</v>
      </c>
      <c r="E97" t="s">
        <v>51</v>
      </c>
      <c r="F97" t="s">
        <v>2854</v>
      </c>
      <c r="G97" t="s">
        <v>2855</v>
      </c>
      <c r="H97">
        <v>6</v>
      </c>
      <c r="I97" t="s">
        <v>51</v>
      </c>
      <c r="J97" t="str">
        <f t="shared" si="2"/>
        <v>INDIN - Scalability of OPC-UA down to the chip level enables “Internet of Things”</v>
      </c>
    </row>
    <row r="98" spans="1:10">
      <c r="A98" t="s">
        <v>2856</v>
      </c>
      <c r="B98" t="s">
        <v>2857</v>
      </c>
      <c r="C98">
        <v>2014</v>
      </c>
      <c r="D98" t="s">
        <v>2858</v>
      </c>
      <c r="E98" t="s">
        <v>51</v>
      </c>
      <c r="F98" t="s">
        <v>2859</v>
      </c>
      <c r="G98" t="s">
        <v>2402</v>
      </c>
      <c r="H98">
        <v>5</v>
      </c>
      <c r="I98" t="s">
        <v>51</v>
      </c>
      <c r="J98" t="str">
        <f t="shared" si="2"/>
        <v>ICNC - Analysis of the multi-finger dynamics for robot hand system based on EtherCAT</v>
      </c>
    </row>
    <row r="99" spans="1:10">
      <c r="A99" t="s">
        <v>2552</v>
      </c>
      <c r="B99" t="s">
        <v>2860</v>
      </c>
      <c r="C99">
        <v>2015</v>
      </c>
      <c r="D99" t="s">
        <v>2861</v>
      </c>
      <c r="E99" t="s">
        <v>51</v>
      </c>
      <c r="F99" t="s">
        <v>2862</v>
      </c>
      <c r="G99" t="s">
        <v>2863</v>
      </c>
      <c r="H99">
        <v>7</v>
      </c>
      <c r="I99" t="s">
        <v>51</v>
      </c>
      <c r="J99" t="str">
        <f t="shared" si="2"/>
        <v>SmartCity - Moving SCADA Systems to IaaS Clouds</v>
      </c>
    </row>
    <row r="100" spans="1:10">
      <c r="A100" t="s">
        <v>2864</v>
      </c>
      <c r="B100" t="s">
        <v>2865</v>
      </c>
      <c r="C100">
        <v>2014</v>
      </c>
      <c r="D100" t="s">
        <v>2866</v>
      </c>
      <c r="E100" t="s">
        <v>51</v>
      </c>
      <c r="F100" t="s">
        <v>2867</v>
      </c>
      <c r="G100" t="s">
        <v>2868</v>
      </c>
      <c r="H100">
        <v>8</v>
      </c>
      <c r="I100" t="s">
        <v>51</v>
      </c>
      <c r="J100" t="str">
        <f t="shared" si="2"/>
        <v>WFCS - Design of communication systems for networked control system running on PROFINET</v>
      </c>
    </row>
    <row r="101" spans="1:10">
      <c r="A101" t="s">
        <v>2869</v>
      </c>
      <c r="B101" t="s">
        <v>2870</v>
      </c>
      <c r="C101">
        <v>2019</v>
      </c>
      <c r="D101" t="s">
        <v>2871</v>
      </c>
      <c r="E101" t="s">
        <v>51</v>
      </c>
      <c r="F101" t="s">
        <v>2872</v>
      </c>
      <c r="G101" t="s">
        <v>2873</v>
      </c>
      <c r="H101">
        <v>14</v>
      </c>
      <c r="I101" t="s">
        <v>51</v>
      </c>
      <c r="J101" t="str">
        <f t="shared" si="2"/>
        <v>CCS - Principled Unearthing of TCP Side Channel Vulnerabilities</v>
      </c>
    </row>
    <row r="102" spans="1:10">
      <c r="A102" t="s">
        <v>2874</v>
      </c>
      <c r="B102" t="s">
        <v>2875</v>
      </c>
      <c r="C102">
        <v>2018</v>
      </c>
      <c r="D102" t="s">
        <v>2876</v>
      </c>
      <c r="E102" t="s">
        <v>51</v>
      </c>
      <c r="F102" t="s">
        <v>2877</v>
      </c>
      <c r="G102" t="s">
        <v>2878</v>
      </c>
      <c r="H102">
        <v>6</v>
      </c>
      <c r="I102" t="s">
        <v>51</v>
      </c>
      <c r="J102" t="str">
        <f t="shared" si="2"/>
        <v>Communication Systems for Industry 4.0 and the IIoT</v>
      </c>
    </row>
    <row r="103" spans="1:10">
      <c r="A103" t="s">
        <v>2879</v>
      </c>
      <c r="B103" t="s">
        <v>2880</v>
      </c>
      <c r="C103">
        <v>2022</v>
      </c>
      <c r="D103" t="s">
        <v>2881</v>
      </c>
      <c r="E103" t="s">
        <v>51</v>
      </c>
      <c r="F103" t="s">
        <v>2882</v>
      </c>
      <c r="G103" t="s">
        <v>2883</v>
      </c>
      <c r="H103">
        <v>19</v>
      </c>
      <c r="I103" t="s">
        <v>51</v>
      </c>
      <c r="J103" t="str">
        <f t="shared" si="2"/>
        <v>Performance Analysis of OPC UA for Industrial Interoperability towards Industry 4.0</v>
      </c>
    </row>
    <row r="104" spans="1:10">
      <c r="A104" t="s">
        <v>2884</v>
      </c>
      <c r="B104" t="s">
        <v>2885</v>
      </c>
      <c r="C104">
        <v>2018</v>
      </c>
      <c r="D104" t="s">
        <v>2886</v>
      </c>
      <c r="E104" t="s">
        <v>51</v>
      </c>
      <c r="F104" t="s">
        <v>2887</v>
      </c>
      <c r="G104" t="s">
        <v>2888</v>
      </c>
      <c r="H104">
        <v>13</v>
      </c>
      <c r="I104" t="s">
        <v>51</v>
      </c>
      <c r="J104" t="str">
        <f t="shared" si="2"/>
        <v>ICN - NDN, CoAP, and MQTT: a comparative measurement study in the IoT</v>
      </c>
    </row>
    <row r="105" spans="1:10">
      <c r="A105" t="s">
        <v>2889</v>
      </c>
      <c r="B105" t="s">
        <v>2890</v>
      </c>
      <c r="C105">
        <v>1991</v>
      </c>
      <c r="D105" t="s">
        <v>2891</v>
      </c>
      <c r="E105" t="s">
        <v>51</v>
      </c>
      <c r="F105" t="s">
        <v>2892</v>
      </c>
      <c r="G105" t="s">
        <v>2402</v>
      </c>
      <c r="I105" t="s">
        <v>51</v>
      </c>
      <c r="J105" t="str">
        <f t="shared" si="2"/>
        <v>Energy Management Systems</v>
      </c>
    </row>
    <row r="106" spans="1:10">
      <c r="A106" t="s">
        <v>2893</v>
      </c>
      <c r="B106" t="s">
        <v>2894</v>
      </c>
      <c r="C106">
        <v>2017</v>
      </c>
      <c r="D106" t="s">
        <v>2895</v>
      </c>
      <c r="E106" t="s">
        <v>51</v>
      </c>
      <c r="F106" t="s">
        <v>2896</v>
      </c>
      <c r="G106" t="s">
        <v>2897</v>
      </c>
      <c r="H106">
        <v>6</v>
      </c>
      <c r="I106" t="s">
        <v>51</v>
      </c>
      <c r="J106" t="str">
        <f t="shared" si="2"/>
        <v>Integration of WirelessHART and ISA100.11a field devices into condition monitoring system for starting IIoT implementation</v>
      </c>
    </row>
    <row r="107" spans="1:10">
      <c r="A107" t="s">
        <v>2898</v>
      </c>
      <c r="B107" t="s">
        <v>2899</v>
      </c>
      <c r="C107">
        <v>2016</v>
      </c>
      <c r="D107" t="s">
        <v>2840</v>
      </c>
      <c r="E107" t="s">
        <v>51</v>
      </c>
      <c r="F107" t="s">
        <v>2402</v>
      </c>
      <c r="G107" t="s">
        <v>2402</v>
      </c>
      <c r="H107">
        <v>9</v>
      </c>
      <c r="I107" t="s">
        <v>51</v>
      </c>
      <c r="J107" t="str">
        <f t="shared" si="2"/>
        <v>JOSE: An Open Testbed for Field Trials of Large-scale IoT Services</v>
      </c>
    </row>
    <row r="108" spans="1:10">
      <c r="A108" t="s">
        <v>2901</v>
      </c>
      <c r="B108" t="s">
        <v>2902</v>
      </c>
      <c r="C108">
        <v>2020</v>
      </c>
      <c r="D108" t="s">
        <v>2903</v>
      </c>
      <c r="E108" t="s">
        <v>51</v>
      </c>
      <c r="F108" t="s">
        <v>2904</v>
      </c>
      <c r="G108" t="s">
        <v>2905</v>
      </c>
      <c r="H108">
        <v>10</v>
      </c>
      <c r="I108" t="s">
        <v>51</v>
      </c>
      <c r="J108" t="str">
        <f t="shared" si="2"/>
        <v>Open-Source Implementierung von OPC UA PubSub für echtzeitfähige Kommunikation mit Time-Sensitive Networking</v>
      </c>
    </row>
    <row r="109" spans="1:10">
      <c r="A109" t="s">
        <v>2906</v>
      </c>
      <c r="B109" t="s">
        <v>2907</v>
      </c>
      <c r="C109">
        <v>2011</v>
      </c>
      <c r="D109" t="s">
        <v>2908</v>
      </c>
      <c r="E109" t="s">
        <v>51</v>
      </c>
      <c r="F109" t="s">
        <v>2909</v>
      </c>
      <c r="G109" t="s">
        <v>2910</v>
      </c>
      <c r="H109">
        <v>8</v>
      </c>
      <c r="I109" t="s">
        <v>51</v>
      </c>
      <c r="J109" t="str">
        <f t="shared" si="2"/>
        <v>Communication Architecture of the IEC 61850-based Micro Grid System</v>
      </c>
    </row>
    <row r="110" spans="1:10">
      <c r="A110" t="s">
        <v>2911</v>
      </c>
      <c r="B110" t="s">
        <v>2912</v>
      </c>
      <c r="C110">
        <v>2012</v>
      </c>
      <c r="D110" t="s">
        <v>2913</v>
      </c>
      <c r="E110" t="s">
        <v>51</v>
      </c>
      <c r="F110" t="s">
        <v>2914</v>
      </c>
      <c r="G110" t="s">
        <v>2915</v>
      </c>
      <c r="H110">
        <v>6</v>
      </c>
      <c r="I110" t="s">
        <v>51</v>
      </c>
      <c r="J110" t="str">
        <f t="shared" si="2"/>
        <v>A performance analysis of three potential control network for monitoring and control in Power Electronics converter</v>
      </c>
    </row>
    <row r="111" spans="1:10">
      <c r="A111" t="s">
        <v>2916</v>
      </c>
      <c r="B111" t="s">
        <v>2917</v>
      </c>
      <c r="C111">
        <v>2014</v>
      </c>
      <c r="D111" t="s">
        <v>2918</v>
      </c>
      <c r="E111" t="s">
        <v>51</v>
      </c>
      <c r="F111" t="s">
        <v>2919</v>
      </c>
      <c r="G111" t="s">
        <v>2920</v>
      </c>
      <c r="H111">
        <v>7</v>
      </c>
      <c r="I111" t="s">
        <v>51</v>
      </c>
      <c r="J111" t="str">
        <f t="shared" si="2"/>
        <v>IECON - Network delay analysis of EtherCAT and PROFINET IRT protocols</v>
      </c>
    </row>
    <row r="112" spans="1:10">
      <c r="A112" t="s">
        <v>2921</v>
      </c>
      <c r="B112" t="s">
        <v>2922</v>
      </c>
      <c r="C112">
        <v>2020</v>
      </c>
      <c r="D112" t="s">
        <v>2923</v>
      </c>
      <c r="E112" t="s">
        <v>51</v>
      </c>
      <c r="F112" t="s">
        <v>2924</v>
      </c>
      <c r="G112" t="s">
        <v>2925</v>
      </c>
      <c r="H112">
        <v>19</v>
      </c>
      <c r="I112" t="s">
        <v>51</v>
      </c>
      <c r="J112" t="str">
        <f t="shared" si="2"/>
        <v>Concept and engineering development of cyber physical production systems: a systematic literature review</v>
      </c>
    </row>
    <row r="113" spans="1:10">
      <c r="A113" t="s">
        <v>2927</v>
      </c>
      <c r="B113" t="s">
        <v>2928</v>
      </c>
      <c r="C113">
        <v>2021</v>
      </c>
      <c r="D113" t="s">
        <v>2929</v>
      </c>
      <c r="E113" t="s">
        <v>51</v>
      </c>
      <c r="F113" t="s">
        <v>2930</v>
      </c>
      <c r="G113" t="s">
        <v>2931</v>
      </c>
      <c r="H113">
        <v>28</v>
      </c>
      <c r="I113" t="s">
        <v>51</v>
      </c>
      <c r="J113" t="str">
        <f t="shared" si="2"/>
        <v>Real-Time Hardware-in-the-Loop Testing of IEC 61850 GOOSE-Based Logically Selective Adaptive Protection of AC Microgrid</v>
      </c>
    </row>
    <row r="114" spans="1:10">
      <c r="A114" t="s">
        <v>2932</v>
      </c>
      <c r="B114" t="s">
        <v>2933</v>
      </c>
      <c r="C114">
        <v>2023</v>
      </c>
      <c r="D114" t="s">
        <v>2934</v>
      </c>
      <c r="E114" t="s">
        <v>51</v>
      </c>
      <c r="F114" t="s">
        <v>2935</v>
      </c>
      <c r="G114" t="s">
        <v>2936</v>
      </c>
      <c r="H114">
        <v>38</v>
      </c>
      <c r="I114" t="s">
        <v>51</v>
      </c>
      <c r="J114" t="str">
        <f t="shared" si="2"/>
        <v>Container-based Virtualization for Real-time Industrial Systems—A Systematic Review</v>
      </c>
    </row>
    <row r="115" spans="1:10">
      <c r="A115" t="s">
        <v>2937</v>
      </c>
      <c r="B115" t="s">
        <v>2938</v>
      </c>
      <c r="C115">
        <v>2020</v>
      </c>
      <c r="D115" t="s">
        <v>2939</v>
      </c>
      <c r="E115" t="s">
        <v>51</v>
      </c>
      <c r="F115" t="s">
        <v>2940</v>
      </c>
      <c r="G115" t="s">
        <v>2402</v>
      </c>
      <c r="I115" t="s">
        <v>51</v>
      </c>
      <c r="J115" t="str">
        <f t="shared" si="2"/>
        <v>Industry 4.0 for SMEs</v>
      </c>
    </row>
    <row r="116" spans="1:10">
      <c r="A116" t="s">
        <v>2941</v>
      </c>
      <c r="B116" t="s">
        <v>2942</v>
      </c>
      <c r="C116">
        <v>2015</v>
      </c>
      <c r="D116" t="s">
        <v>2943</v>
      </c>
      <c r="E116" t="s">
        <v>51</v>
      </c>
      <c r="F116" t="s">
        <v>2944</v>
      </c>
      <c r="G116" t="s">
        <v>2945</v>
      </c>
      <c r="H116">
        <v>6</v>
      </c>
      <c r="I116" t="s">
        <v>51</v>
      </c>
      <c r="J116" t="str">
        <f t="shared" si="2"/>
        <v>ICIT - Real-time control of a force feedback haptic interface via EtherCAT fieldbus</v>
      </c>
    </row>
    <row r="117" spans="1:10">
      <c r="A117" t="s">
        <v>2946</v>
      </c>
      <c r="B117" t="s">
        <v>2947</v>
      </c>
      <c r="C117">
        <v>2018</v>
      </c>
      <c r="D117" t="s">
        <v>2948</v>
      </c>
      <c r="E117" t="s">
        <v>51</v>
      </c>
      <c r="F117" t="s">
        <v>2949</v>
      </c>
      <c r="G117" t="s">
        <v>2950</v>
      </c>
      <c r="H117">
        <v>13</v>
      </c>
      <c r="I117" t="s">
        <v>51</v>
      </c>
      <c r="J117" t="str">
        <f t="shared" si="2"/>
        <v>An anomaly-based approach for DDoS attack detection in cloud environment</v>
      </c>
    </row>
    <row r="118" spans="1:10">
      <c r="A118" t="s">
        <v>2951</v>
      </c>
      <c r="B118" t="s">
        <v>2952</v>
      </c>
      <c r="C118">
        <v>2018</v>
      </c>
      <c r="D118" t="s">
        <v>2953</v>
      </c>
      <c r="E118" t="s">
        <v>51</v>
      </c>
      <c r="F118" t="s">
        <v>2954</v>
      </c>
      <c r="G118" t="s">
        <v>2402</v>
      </c>
      <c r="H118">
        <v>11</v>
      </c>
      <c r="I118" t="s">
        <v>51</v>
      </c>
      <c r="J118" t="str">
        <f t="shared" si="2"/>
        <v>ICETE (2) - Side Channel Attacks over Encrypted TCP/IP Modbus Reveal Functionality Leaks.</v>
      </c>
    </row>
    <row r="119" spans="1:10">
      <c r="A119" t="s">
        <v>2955</v>
      </c>
      <c r="B119" t="s">
        <v>2956</v>
      </c>
      <c r="C119">
        <v>2022</v>
      </c>
      <c r="D119" t="s">
        <v>2957</v>
      </c>
      <c r="E119" t="s">
        <v>51</v>
      </c>
      <c r="F119" t="s">
        <v>2958</v>
      </c>
      <c r="G119" t="s">
        <v>2959</v>
      </c>
      <c r="H119">
        <v>1</v>
      </c>
      <c r="I119" t="s">
        <v>51</v>
      </c>
      <c r="J119" t="str">
        <f t="shared" si="2"/>
        <v>Communication and Control of an Assembly, Disassembly and Repair Flexible Manufacturing Technology on a Mechatronics Line Assisted by an Autonomous Robotic System</v>
      </c>
    </row>
    <row r="120" spans="1:10">
      <c r="A120" t="s">
        <v>2960</v>
      </c>
      <c r="B120" t="s">
        <v>2961</v>
      </c>
      <c r="C120">
        <v>2016</v>
      </c>
      <c r="D120" t="s">
        <v>2962</v>
      </c>
      <c r="E120" t="s">
        <v>51</v>
      </c>
      <c r="F120" t="s">
        <v>2963</v>
      </c>
      <c r="G120" t="s">
        <v>2964</v>
      </c>
      <c r="H120">
        <v>7</v>
      </c>
      <c r="I120" t="s">
        <v>51</v>
      </c>
      <c r="J120" t="str">
        <f t="shared" si="2"/>
        <v>ICC - QoS-FS: A new forwarding strategy with QoS for routing in Named Data Networking</v>
      </c>
    </row>
    <row r="121" spans="1:10">
      <c r="A121" t="s">
        <v>2965</v>
      </c>
      <c r="B121" t="s">
        <v>2966</v>
      </c>
      <c r="C121">
        <v>2014</v>
      </c>
      <c r="D121" t="s">
        <v>2967</v>
      </c>
      <c r="E121" t="s">
        <v>51</v>
      </c>
      <c r="F121" t="s">
        <v>2968</v>
      </c>
      <c r="G121" t="s">
        <v>2969</v>
      </c>
      <c r="I121" t="s">
        <v>51</v>
      </c>
      <c r="J121" t="str">
        <f t="shared" si="2"/>
        <v>Critical Infrastructure Protection VIII - Critical Infrastructure Protection VIII</v>
      </c>
    </row>
    <row r="122" spans="1:10">
      <c r="A122" t="s">
        <v>2970</v>
      </c>
      <c r="B122" t="s">
        <v>2971</v>
      </c>
      <c r="C122">
        <v>2018</v>
      </c>
      <c r="D122" t="s">
        <v>2972</v>
      </c>
      <c r="E122" t="s">
        <v>51</v>
      </c>
      <c r="F122" t="s">
        <v>2973</v>
      </c>
      <c r="G122" t="s">
        <v>2974</v>
      </c>
      <c r="H122">
        <v>4</v>
      </c>
      <c r="I122" t="s">
        <v>51</v>
      </c>
      <c r="J122" t="str">
        <f t="shared" si="2"/>
        <v>ETFA - Open Source OPC UA PubSub Over TSN for Realtime Industrial Communication</v>
      </c>
    </row>
    <row r="123" spans="1:10">
      <c r="A123" t="s">
        <v>2977</v>
      </c>
      <c r="B123" t="s">
        <v>2978</v>
      </c>
      <c r="C123">
        <v>2015</v>
      </c>
      <c r="D123" t="s">
        <v>2979</v>
      </c>
      <c r="E123" t="s">
        <v>51</v>
      </c>
      <c r="F123" t="s">
        <v>2980</v>
      </c>
      <c r="G123" t="s">
        <v>2981</v>
      </c>
      <c r="H123">
        <v>6</v>
      </c>
      <c r="I123" t="s">
        <v>51</v>
      </c>
      <c r="J123" t="str">
        <f t="shared" si="2"/>
        <v>ICIA - Experimental investigation of the packet loss rate of wireless industrial networks in real industrial environments</v>
      </c>
    </row>
    <row r="124" spans="1:10">
      <c r="A124" t="s">
        <v>2728</v>
      </c>
      <c r="B124" t="s">
        <v>2982</v>
      </c>
      <c r="C124">
        <v>2020</v>
      </c>
      <c r="D124" t="s">
        <v>2983</v>
      </c>
      <c r="E124" t="s">
        <v>51</v>
      </c>
      <c r="F124" t="s">
        <v>2984</v>
      </c>
      <c r="G124" t="s">
        <v>2985</v>
      </c>
      <c r="H124">
        <v>6</v>
      </c>
      <c r="I124" t="s">
        <v>51</v>
      </c>
      <c r="J124" t="str">
        <f t="shared" si="2"/>
        <v>I2MTC - Assessment of Different OPC UA Industrial IoT solutions for Distributed Measurement Applications</v>
      </c>
    </row>
    <row r="125" spans="1:10">
      <c r="A125" t="s">
        <v>2986</v>
      </c>
      <c r="B125" t="s">
        <v>2987</v>
      </c>
      <c r="C125">
        <v>2013</v>
      </c>
      <c r="D125" t="s">
        <v>2988</v>
      </c>
      <c r="E125" t="s">
        <v>51</v>
      </c>
      <c r="F125" t="s">
        <v>2989</v>
      </c>
      <c r="G125" t="s">
        <v>2990</v>
      </c>
      <c r="H125">
        <v>14</v>
      </c>
      <c r="I125" t="s">
        <v>51</v>
      </c>
      <c r="J125" t="str">
        <f t="shared" si="2"/>
        <v>Toward a Holistic Delay Analysis of EtherCAT Synchronized Control Processes</v>
      </c>
    </row>
    <row r="126" spans="1:10">
      <c r="A126" t="s">
        <v>2991</v>
      </c>
      <c r="B126" t="s">
        <v>2992</v>
      </c>
      <c r="C126">
        <v>2015</v>
      </c>
      <c r="D126" t="s">
        <v>2993</v>
      </c>
      <c r="E126" t="s">
        <v>51</v>
      </c>
      <c r="F126" t="s">
        <v>2994</v>
      </c>
      <c r="G126" t="s">
        <v>2995</v>
      </c>
      <c r="H126">
        <v>6</v>
      </c>
      <c r="I126" t="s">
        <v>51</v>
      </c>
      <c r="J126" t="str">
        <f t="shared" si="2"/>
        <v>ICIA - EtherCAT based robot modular joint controller</v>
      </c>
    </row>
    <row r="127" spans="1:10">
      <c r="A127" t="s">
        <v>2996</v>
      </c>
      <c r="B127" t="s">
        <v>2997</v>
      </c>
      <c r="C127">
        <v>2006</v>
      </c>
      <c r="D127" t="s">
        <v>2998</v>
      </c>
      <c r="E127" t="s">
        <v>51</v>
      </c>
      <c r="F127" t="s">
        <v>2999</v>
      </c>
      <c r="G127" t="s">
        <v>3000</v>
      </c>
      <c r="H127">
        <v>3</v>
      </c>
      <c r="I127" t="s">
        <v>51</v>
      </c>
      <c r="J127" t="str">
        <f t="shared" si="2"/>
        <v>Advanced Message Queuing Protocol</v>
      </c>
    </row>
    <row r="128" spans="1:10">
      <c r="A128" t="s">
        <v>3001</v>
      </c>
      <c r="B128" t="s">
        <v>3002</v>
      </c>
      <c r="C128">
        <v>2010</v>
      </c>
      <c r="D128" t="s">
        <v>3003</v>
      </c>
      <c r="E128" t="s">
        <v>51</v>
      </c>
      <c r="F128" t="s">
        <v>3004</v>
      </c>
      <c r="G128" t="s">
        <v>3005</v>
      </c>
      <c r="H128">
        <v>4</v>
      </c>
      <c r="I128" t="s">
        <v>51</v>
      </c>
      <c r="J128" t="str">
        <f t="shared" si="2"/>
        <v>Analysis and application of Wireshark in TCP/IP protocol teaching</v>
      </c>
    </row>
    <row r="129" spans="1:10">
      <c r="A129" t="s">
        <v>3006</v>
      </c>
      <c r="B129" t="s">
        <v>3007</v>
      </c>
      <c r="C129">
        <v>2017</v>
      </c>
      <c r="D129" t="s">
        <v>2840</v>
      </c>
      <c r="E129" t="s">
        <v>51</v>
      </c>
      <c r="F129" t="s">
        <v>2402</v>
      </c>
      <c r="G129" t="s">
        <v>2402</v>
      </c>
      <c r="H129">
        <v>5</v>
      </c>
      <c r="I129" t="s">
        <v>51</v>
      </c>
      <c r="J129" t="str">
        <f t="shared" si="2"/>
        <v>Industrial Automation using IoT with Raspberry Pi</v>
      </c>
    </row>
    <row r="130" spans="1:10">
      <c r="A130" t="s">
        <v>3008</v>
      </c>
      <c r="B130" t="s">
        <v>3009</v>
      </c>
      <c r="C130">
        <v>2017</v>
      </c>
      <c r="D130" t="s">
        <v>3010</v>
      </c>
      <c r="E130" t="s">
        <v>51</v>
      </c>
      <c r="F130" t="s">
        <v>3011</v>
      </c>
      <c r="G130" t="s">
        <v>3012</v>
      </c>
      <c r="H130">
        <v>6</v>
      </c>
      <c r="I130" t="s">
        <v>51</v>
      </c>
      <c r="J130" t="str">
        <f t="shared" si="2"/>
        <v>ISIE - Identifying vulnerabilities in smart gric communication networks of electrical substations using GEESE 2.0</v>
      </c>
    </row>
    <row r="131" spans="1:10">
      <c r="A131" t="s">
        <v>3013</v>
      </c>
      <c r="B131" t="s">
        <v>3014</v>
      </c>
      <c r="C131">
        <v>2021</v>
      </c>
      <c r="D131" t="s">
        <v>3015</v>
      </c>
      <c r="E131" t="s">
        <v>51</v>
      </c>
      <c r="F131" t="s">
        <v>3016</v>
      </c>
      <c r="G131" t="s">
        <v>3017</v>
      </c>
      <c r="H131">
        <v>6</v>
      </c>
      <c r="I131" t="s">
        <v>51</v>
      </c>
      <c r="J131" t="str">
        <f t="shared" si="2"/>
        <v>A Comparative Evaluation of AMQP, MQTT and HTTP Protocols Using Real-Time Public Smart City Data</v>
      </c>
    </row>
    <row r="132" spans="1:10">
      <c r="A132" t="s">
        <v>3018</v>
      </c>
      <c r="B132" t="s">
        <v>3019</v>
      </c>
      <c r="C132">
        <v>2019</v>
      </c>
      <c r="D132" t="s">
        <v>3020</v>
      </c>
      <c r="E132" t="s">
        <v>51</v>
      </c>
      <c r="F132" t="s">
        <v>3021</v>
      </c>
      <c r="G132" t="s">
        <v>3022</v>
      </c>
      <c r="I132" t="s">
        <v>51</v>
      </c>
      <c r="J132" t="str">
        <f t="shared" si="2"/>
        <v>An Overview on Push-Based Communication Models for Information-Centric Networking</v>
      </c>
    </row>
    <row r="133" spans="1:10">
      <c r="A133" t="s">
        <v>2761</v>
      </c>
      <c r="B133" t="s">
        <v>3023</v>
      </c>
      <c r="C133">
        <v>2023</v>
      </c>
      <c r="D133" t="s">
        <v>3024</v>
      </c>
      <c r="E133" t="s">
        <v>51</v>
      </c>
      <c r="F133" t="s">
        <v>3025</v>
      </c>
      <c r="G133" t="s">
        <v>3026</v>
      </c>
      <c r="H133">
        <v>6</v>
      </c>
      <c r="I133" t="s">
        <v>51</v>
      </c>
      <c r="J133" t="str">
        <f t="shared" si="2"/>
        <v>Vulnerability Identification of Operational Technology Protocol Specifications Through Formal Modeling</v>
      </c>
    </row>
    <row r="134" spans="1:10">
      <c r="A134" t="s">
        <v>3028</v>
      </c>
      <c r="B134" t="s">
        <v>3029</v>
      </c>
      <c r="C134">
        <v>2022</v>
      </c>
      <c r="D134" t="s">
        <v>3030</v>
      </c>
      <c r="E134" t="s">
        <v>51</v>
      </c>
      <c r="F134" t="s">
        <v>3031</v>
      </c>
      <c r="G134" t="s">
        <v>3032</v>
      </c>
      <c r="H134">
        <v>1</v>
      </c>
      <c r="I134" t="s">
        <v>51</v>
      </c>
      <c r="J134" t="str">
        <f t="shared" si="2"/>
        <v>Network Architecture for IEC61850-90-5 Communication: Case Study of Evaluating R-GOOSE over 5G for Communication-Based Protection</v>
      </c>
    </row>
    <row r="135" spans="1:10">
      <c r="A135" t="s">
        <v>2916</v>
      </c>
      <c r="B135" t="s">
        <v>3033</v>
      </c>
      <c r="C135">
        <v>2013</v>
      </c>
      <c r="D135" t="s">
        <v>3034</v>
      </c>
      <c r="E135" t="s">
        <v>51</v>
      </c>
      <c r="F135" t="s">
        <v>3035</v>
      </c>
      <c r="G135" t="s">
        <v>3036</v>
      </c>
      <c r="H135">
        <v>6</v>
      </c>
      <c r="I135" t="s">
        <v>51</v>
      </c>
      <c r="J135" t="str">
        <f t="shared" si="2"/>
        <v>ETFA - EtherCAT-enabled next generation Baggage Handling Systems</v>
      </c>
    </row>
    <row r="136" spans="1:10">
      <c r="A136" t="s">
        <v>3037</v>
      </c>
      <c r="B136" t="s">
        <v>3038</v>
      </c>
      <c r="C136">
        <v>2016</v>
      </c>
      <c r="D136" t="s">
        <v>3039</v>
      </c>
      <c r="E136" t="s">
        <v>51</v>
      </c>
      <c r="F136" t="s">
        <v>3040</v>
      </c>
      <c r="G136" t="s">
        <v>3041</v>
      </c>
      <c r="H136">
        <v>6</v>
      </c>
      <c r="I136" t="s">
        <v>51</v>
      </c>
      <c r="J136" t="str">
        <f t="shared" si="2"/>
        <v>The development of a novel servo motor controller based on EtherCAT and FPGA</v>
      </c>
    </row>
    <row r="137" spans="1:10">
      <c r="A137" t="s">
        <v>3042</v>
      </c>
      <c r="B137" t="s">
        <v>3043</v>
      </c>
      <c r="C137">
        <v>2022</v>
      </c>
      <c r="D137" t="s">
        <v>3044</v>
      </c>
      <c r="E137" t="s">
        <v>51</v>
      </c>
      <c r="F137" t="s">
        <v>3045</v>
      </c>
      <c r="G137" t="s">
        <v>3046</v>
      </c>
      <c r="H137">
        <v>9</v>
      </c>
      <c r="I137" t="s">
        <v>51</v>
      </c>
      <c r="J137" t="str">
        <f t="shared" si="2"/>
        <v>On the Use of LoRaWAN and Cloud Platforms for Diversification of Mobility-as-a-Service Infrastructure in Smart City Scenarios</v>
      </c>
    </row>
    <row r="138" spans="1:10">
      <c r="A138" t="s">
        <v>3047</v>
      </c>
      <c r="B138" t="s">
        <v>3048</v>
      </c>
      <c r="C138">
        <v>2016</v>
      </c>
      <c r="D138" t="s">
        <v>3049</v>
      </c>
      <c r="E138" t="s">
        <v>51</v>
      </c>
      <c r="F138" t="s">
        <v>3050</v>
      </c>
      <c r="G138" t="s">
        <v>2402</v>
      </c>
      <c r="H138">
        <v>23</v>
      </c>
      <c r="I138" t="s">
        <v>51</v>
      </c>
      <c r="J138" t="str">
        <f t="shared" si="2"/>
        <v>Integration of IEC 61850 SCL and OPC UA to improve interoperability in Smart Grid environment</v>
      </c>
    </row>
    <row r="139" spans="1:10">
      <c r="A139" t="s">
        <v>3051</v>
      </c>
      <c r="B139" t="s">
        <v>3052</v>
      </c>
      <c r="C139">
        <v>2023</v>
      </c>
      <c r="D139" t="s">
        <v>3053</v>
      </c>
      <c r="E139" t="s">
        <v>51</v>
      </c>
      <c r="F139" t="s">
        <v>3054</v>
      </c>
      <c r="G139" t="s">
        <v>3055</v>
      </c>
      <c r="H139">
        <v>1</v>
      </c>
      <c r="I139" t="s">
        <v>51</v>
      </c>
      <c r="J139" t="str">
        <f t="shared" si="2"/>
        <v>When Operation Technology Meets Information Technology: Challenges and Opportunities</v>
      </c>
    </row>
    <row r="140" spans="1:10">
      <c r="A140" t="s">
        <v>3056</v>
      </c>
      <c r="B140" t="s">
        <v>3057</v>
      </c>
      <c r="C140">
        <v>2021</v>
      </c>
      <c r="D140" t="s">
        <v>3058</v>
      </c>
      <c r="E140" t="s">
        <v>51</v>
      </c>
      <c r="F140" t="s">
        <v>3059</v>
      </c>
      <c r="G140" t="s">
        <v>2402</v>
      </c>
      <c r="H140">
        <v>7</v>
      </c>
      <c r="I140" t="s">
        <v>51</v>
      </c>
      <c r="J140" t="str">
        <f t="shared" si="2"/>
        <v>End System TSN Enablement Using OPC UA</v>
      </c>
    </row>
    <row r="141" spans="1:10">
      <c r="A141" t="s">
        <v>3060</v>
      </c>
      <c r="B141" t="s">
        <v>3061</v>
      </c>
      <c r="C141">
        <v>2022</v>
      </c>
      <c r="D141" t="s">
        <v>3062</v>
      </c>
      <c r="E141" t="s">
        <v>51</v>
      </c>
      <c r="F141" t="s">
        <v>3063</v>
      </c>
      <c r="G141" t="s">
        <v>3064</v>
      </c>
      <c r="H141">
        <v>6</v>
      </c>
      <c r="I141" t="s">
        <v>51</v>
      </c>
      <c r="J141" t="str">
        <f t="shared" si="2"/>
        <v>An integrated testbed IEC61850-IIoT for Gas Insulated SF6 Monitoring in SCADA systems</v>
      </c>
    </row>
    <row r="142" spans="1:10">
      <c r="A142" t="s">
        <v>3065</v>
      </c>
      <c r="B142" t="s">
        <v>3066</v>
      </c>
      <c r="C142">
        <v>2024</v>
      </c>
      <c r="D142" t="s">
        <v>3067</v>
      </c>
      <c r="E142" t="s">
        <v>51</v>
      </c>
      <c r="F142" t="s">
        <v>3068</v>
      </c>
      <c r="G142" t="s">
        <v>2402</v>
      </c>
      <c r="H142">
        <v>10</v>
      </c>
      <c r="I142" t="s">
        <v>51</v>
      </c>
      <c r="J142" t="str">
        <f t="shared" si="2"/>
        <v>Industrial Control System-Anomaly Detection Dataset (ICS-ADD) for Cyber-Physical Security Monitoring in Smart Industry Environments</v>
      </c>
    </row>
    <row r="143" spans="1:10">
      <c r="A143" t="s">
        <v>3069</v>
      </c>
      <c r="B143" t="s">
        <v>3070</v>
      </c>
      <c r="C143">
        <v>2022</v>
      </c>
      <c r="D143" t="s">
        <v>3071</v>
      </c>
      <c r="E143" t="s">
        <v>51</v>
      </c>
      <c r="F143" t="s">
        <v>3072</v>
      </c>
      <c r="G143" t="s">
        <v>3073</v>
      </c>
      <c r="H143">
        <v>1</v>
      </c>
      <c r="I143" t="s">
        <v>51</v>
      </c>
      <c r="J143" t="str">
        <f t="shared" si="2"/>
        <v>Survey of Cybersecurity Governance, Threats, and Countermeasures for the Power Grid</v>
      </c>
    </row>
    <row r="144" spans="1:10">
      <c r="A144" t="s">
        <v>3074</v>
      </c>
      <c r="B144" t="s">
        <v>3075</v>
      </c>
      <c r="C144">
        <v>2016</v>
      </c>
      <c r="D144" t="s">
        <v>3076</v>
      </c>
      <c r="E144" t="s">
        <v>51</v>
      </c>
      <c r="F144" t="s">
        <v>3077</v>
      </c>
      <c r="G144" t="s">
        <v>3078</v>
      </c>
      <c r="H144">
        <v>5</v>
      </c>
      <c r="I144" t="s">
        <v>51</v>
      </c>
      <c r="J144" t="str">
        <f t="shared" si="2"/>
        <v>RTSI - Comparing application layer protocols for the Internet of Things via experimentation</v>
      </c>
    </row>
    <row r="145" spans="1:10">
      <c r="A145" t="s">
        <v>3079</v>
      </c>
      <c r="B145" t="s">
        <v>3080</v>
      </c>
      <c r="C145">
        <v>2012</v>
      </c>
      <c r="D145" t="s">
        <v>3081</v>
      </c>
      <c r="E145" t="s">
        <v>51</v>
      </c>
      <c r="F145" t="s">
        <v>3082</v>
      </c>
      <c r="G145" t="s">
        <v>3083</v>
      </c>
      <c r="H145">
        <v>10</v>
      </c>
      <c r="I145" t="s">
        <v>51</v>
      </c>
      <c r="J145" t="str">
        <f t="shared" ref="J145:J192" si="3">HYPERLINK($D145,$B145)</f>
        <v>Evaluation of EtherCAT Distributed Clock Performance</v>
      </c>
    </row>
    <row r="146" spans="1:10">
      <c r="A146" t="s">
        <v>3084</v>
      </c>
      <c r="B146" t="s">
        <v>3085</v>
      </c>
      <c r="C146">
        <v>2020</v>
      </c>
      <c r="D146" t="s">
        <v>2840</v>
      </c>
      <c r="E146" t="s">
        <v>51</v>
      </c>
      <c r="F146" t="s">
        <v>2402</v>
      </c>
      <c r="G146" t="s">
        <v>3086</v>
      </c>
      <c r="H146">
        <v>9</v>
      </c>
      <c r="I146" t="s">
        <v>51</v>
      </c>
      <c r="J146" t="str">
        <f t="shared" si="3"/>
        <v>Networking - Performance Comparison of Messaging Protocols and Serialization Formats for Digital Twins in IoV</v>
      </c>
    </row>
    <row r="147" spans="1:10">
      <c r="A147" t="s">
        <v>3087</v>
      </c>
      <c r="B147" t="s">
        <v>3088</v>
      </c>
      <c r="C147">
        <v>2014</v>
      </c>
      <c r="D147" t="s">
        <v>3089</v>
      </c>
      <c r="E147" t="s">
        <v>51</v>
      </c>
      <c r="F147" t="s">
        <v>3090</v>
      </c>
      <c r="G147" t="s">
        <v>2402</v>
      </c>
      <c r="H147">
        <v>6</v>
      </c>
      <c r="I147" t="s">
        <v>51</v>
      </c>
      <c r="J147" t="str">
        <f t="shared" si="3"/>
        <v>Performance analysis of substation automation systems architecture based on IEC 61850</v>
      </c>
    </row>
    <row r="148" spans="1:10">
      <c r="A148" t="s">
        <v>3091</v>
      </c>
      <c r="B148" t="s">
        <v>3092</v>
      </c>
      <c r="C148">
        <v>2021</v>
      </c>
      <c r="D148" t="s">
        <v>3093</v>
      </c>
      <c r="E148" t="s">
        <v>51</v>
      </c>
      <c r="F148" t="s">
        <v>3094</v>
      </c>
      <c r="G148" t="s">
        <v>2402</v>
      </c>
      <c r="I148" t="s">
        <v>51</v>
      </c>
      <c r="J148" t="str">
        <f t="shared" si="3"/>
        <v>Analysis of relevant standards for industrial systems to support zero defects manufacturing process</v>
      </c>
    </row>
    <row r="149" spans="1:10">
      <c r="A149" t="s">
        <v>3095</v>
      </c>
      <c r="B149" t="s">
        <v>3096</v>
      </c>
      <c r="C149">
        <v>2020</v>
      </c>
      <c r="D149" t="s">
        <v>3097</v>
      </c>
      <c r="E149" t="s">
        <v>51</v>
      </c>
      <c r="F149" t="s">
        <v>3098</v>
      </c>
      <c r="G149" t="s">
        <v>3099</v>
      </c>
      <c r="H149">
        <v>6</v>
      </c>
      <c r="I149" t="s">
        <v>51</v>
      </c>
      <c r="J149" t="str">
        <f t="shared" si="3"/>
        <v>Cybersecurity Analysis for the Communication Protocol in Smart Grids</v>
      </c>
    </row>
    <row r="150" spans="1:10">
      <c r="A150" t="s">
        <v>3100</v>
      </c>
      <c r="B150" t="s">
        <v>3101</v>
      </c>
      <c r="C150">
        <v>2020</v>
      </c>
      <c r="D150" t="s">
        <v>3102</v>
      </c>
      <c r="E150" t="s">
        <v>51</v>
      </c>
      <c r="F150" t="s">
        <v>3103</v>
      </c>
      <c r="G150" t="s">
        <v>3104</v>
      </c>
      <c r="H150">
        <v>35</v>
      </c>
      <c r="I150" t="s">
        <v>51</v>
      </c>
      <c r="J150" t="str">
        <f t="shared" si="3"/>
        <v>A Survey on SCADA Systems: Secure Protocols, Incidents, Threats and Tactics</v>
      </c>
    </row>
    <row r="151" spans="1:10">
      <c r="A151" t="s">
        <v>3105</v>
      </c>
      <c r="B151" t="s">
        <v>3106</v>
      </c>
      <c r="C151">
        <v>2018</v>
      </c>
      <c r="D151" t="s">
        <v>3107</v>
      </c>
      <c r="E151" t="s">
        <v>51</v>
      </c>
      <c r="F151" t="s">
        <v>3108</v>
      </c>
      <c r="G151" t="s">
        <v>3109</v>
      </c>
      <c r="H151">
        <v>5</v>
      </c>
      <c r="I151" t="s">
        <v>51</v>
      </c>
      <c r="J151" t="str">
        <f t="shared" si="3"/>
        <v>EDGE - Edge Powered Industrial Control: Concept for Combining Cloud and Automation Technologies</v>
      </c>
    </row>
    <row r="152" spans="1:10">
      <c r="A152" t="s">
        <v>3111</v>
      </c>
      <c r="B152" t="s">
        <v>3112</v>
      </c>
      <c r="C152">
        <v>2020</v>
      </c>
      <c r="D152" t="s">
        <v>3113</v>
      </c>
      <c r="E152" t="s">
        <v>51</v>
      </c>
      <c r="F152" t="s">
        <v>3114</v>
      </c>
      <c r="G152" t="s">
        <v>3115</v>
      </c>
      <c r="H152">
        <v>6</v>
      </c>
      <c r="I152" t="s">
        <v>51</v>
      </c>
      <c r="J152" t="str">
        <f t="shared" si="3"/>
        <v>SITA - Analysis and evaluation of communication Protocols for IoT Applications</v>
      </c>
    </row>
    <row r="153" spans="1:10">
      <c r="A153" t="s">
        <v>3118</v>
      </c>
      <c r="B153" t="s">
        <v>3119</v>
      </c>
      <c r="C153">
        <v>2024</v>
      </c>
      <c r="D153" t="s">
        <v>3120</v>
      </c>
      <c r="E153" t="s">
        <v>51</v>
      </c>
      <c r="F153" t="s">
        <v>3121</v>
      </c>
      <c r="G153" t="s">
        <v>2402</v>
      </c>
      <c r="H153">
        <v>1</v>
      </c>
      <c r="I153" t="s">
        <v>51</v>
      </c>
      <c r="J153" t="str">
        <f t="shared" si="3"/>
        <v>An effective intrusion detection scheme for Distributed Network Protocol 3 (DNP3) applied in SCADA-enabled IoT applications</v>
      </c>
    </row>
    <row r="154" spans="1:10">
      <c r="A154" t="s">
        <v>3122</v>
      </c>
      <c r="B154" t="s">
        <v>3123</v>
      </c>
      <c r="C154">
        <v>2019</v>
      </c>
      <c r="D154" t="s">
        <v>3124</v>
      </c>
      <c r="E154" t="s">
        <v>51</v>
      </c>
      <c r="F154" t="s">
        <v>3125</v>
      </c>
      <c r="G154" t="s">
        <v>3126</v>
      </c>
      <c r="H154">
        <v>13</v>
      </c>
      <c r="I154" t="s">
        <v>51</v>
      </c>
      <c r="J154" t="str">
        <f t="shared" si="3"/>
        <v>Integrating Electrical Substations Within the IoT Using IEC 61850, CoAP, and CBOR</v>
      </c>
    </row>
    <row r="155" spans="1:10">
      <c r="A155" t="s">
        <v>3128</v>
      </c>
      <c r="B155" t="s">
        <v>3129</v>
      </c>
      <c r="C155">
        <v>2020</v>
      </c>
      <c r="D155" t="s">
        <v>3130</v>
      </c>
      <c r="E155" t="s">
        <v>51</v>
      </c>
      <c r="F155" t="s">
        <v>3131</v>
      </c>
      <c r="G155" t="s">
        <v>3132</v>
      </c>
      <c r="H155">
        <v>6</v>
      </c>
      <c r="I155" t="s">
        <v>51</v>
      </c>
      <c r="J155" t="str">
        <f t="shared" si="3"/>
        <v>Utilisation of a compressed air test bed to assess the effects of pneumatic parameters on energy consumption</v>
      </c>
    </row>
    <row r="156" spans="1:10">
      <c r="A156" t="s">
        <v>3133</v>
      </c>
      <c r="B156" t="s">
        <v>3134</v>
      </c>
      <c r="C156">
        <v>2013</v>
      </c>
      <c r="D156" t="s">
        <v>2840</v>
      </c>
      <c r="E156" t="s">
        <v>51</v>
      </c>
      <c r="F156" t="s">
        <v>2402</v>
      </c>
      <c r="G156" t="s">
        <v>3135</v>
      </c>
      <c r="H156">
        <v>6</v>
      </c>
      <c r="I156" t="s">
        <v>51</v>
      </c>
      <c r="J156" t="str">
        <f t="shared" si="3"/>
        <v>Requirement bottlenecks in a cloud based SCADA system</v>
      </c>
    </row>
    <row r="157" spans="1:10">
      <c r="A157" t="s">
        <v>3136</v>
      </c>
      <c r="B157" t="s">
        <v>3137</v>
      </c>
      <c r="C157">
        <v>2013</v>
      </c>
      <c r="D157" t="s">
        <v>3138</v>
      </c>
      <c r="E157" t="s">
        <v>51</v>
      </c>
      <c r="F157" t="s">
        <v>3139</v>
      </c>
      <c r="G157" t="s">
        <v>3140</v>
      </c>
      <c r="H157">
        <v>6</v>
      </c>
      <c r="I157" t="s">
        <v>51</v>
      </c>
      <c r="J157" t="str">
        <f t="shared" si="3"/>
        <v>SCVT - Comparison of two lightweight protocols for smartphone-based sensing</v>
      </c>
    </row>
    <row r="158" spans="1:10">
      <c r="A158" t="s">
        <v>3141</v>
      </c>
      <c r="B158" t="s">
        <v>3142</v>
      </c>
      <c r="C158">
        <v>2019</v>
      </c>
      <c r="D158" t="s">
        <v>3143</v>
      </c>
      <c r="E158" t="s">
        <v>51</v>
      </c>
      <c r="F158" t="s">
        <v>3144</v>
      </c>
      <c r="G158" t="s">
        <v>3145</v>
      </c>
      <c r="H158">
        <v>22</v>
      </c>
      <c r="I158" t="s">
        <v>51</v>
      </c>
      <c r="J158" t="str">
        <f t="shared" si="3"/>
        <v>Security Testbed for Internet-of-Things Devices</v>
      </c>
    </row>
    <row r="159" spans="1:10">
      <c r="A159" t="s">
        <v>3146</v>
      </c>
      <c r="B159" t="s">
        <v>3147</v>
      </c>
      <c r="C159">
        <v>2013</v>
      </c>
      <c r="D159" t="s">
        <v>3148</v>
      </c>
      <c r="E159" t="s">
        <v>51</v>
      </c>
      <c r="F159" t="s">
        <v>3149</v>
      </c>
      <c r="G159" t="s">
        <v>3150</v>
      </c>
      <c r="H159">
        <v>4</v>
      </c>
      <c r="I159" t="s">
        <v>51</v>
      </c>
      <c r="J159" t="str">
        <f t="shared" si="3"/>
        <v>ASPI@UbiComp - A testbed for adaptive security for IoT in eHealth</v>
      </c>
    </row>
    <row r="160" spans="1:10">
      <c r="A160" t="s">
        <v>3152</v>
      </c>
      <c r="B160" t="s">
        <v>3153</v>
      </c>
      <c r="C160">
        <v>2022</v>
      </c>
      <c r="D160" t="s">
        <v>3154</v>
      </c>
      <c r="E160" t="s">
        <v>51</v>
      </c>
      <c r="F160" t="s">
        <v>3155</v>
      </c>
      <c r="G160" t="s">
        <v>3156</v>
      </c>
      <c r="I160" t="s">
        <v>51</v>
      </c>
      <c r="J160" t="str">
        <f t="shared" si="3"/>
        <v>Converging IoT protocols for the data integration of automation systems in the electrical industry</v>
      </c>
    </row>
    <row r="161" spans="1:10">
      <c r="A161" t="s">
        <v>3157</v>
      </c>
      <c r="B161" t="s">
        <v>3158</v>
      </c>
      <c r="C161">
        <v>2022</v>
      </c>
      <c r="D161" t="s">
        <v>3159</v>
      </c>
      <c r="E161" t="s">
        <v>51</v>
      </c>
      <c r="F161" t="s">
        <v>3160</v>
      </c>
      <c r="G161" t="s">
        <v>2402</v>
      </c>
      <c r="I161" t="s">
        <v>51</v>
      </c>
      <c r="J161" t="str">
        <f t="shared" si="3"/>
        <v>Design of an IoT-PLC: A containerized programmable logical controller for the industry 4.0</v>
      </c>
    </row>
    <row r="162" spans="1:10">
      <c r="A162" t="s">
        <v>3161</v>
      </c>
      <c r="B162" t="s">
        <v>3162</v>
      </c>
      <c r="C162">
        <v>2015</v>
      </c>
      <c r="D162" t="s">
        <v>3163</v>
      </c>
      <c r="E162" t="s">
        <v>51</v>
      </c>
      <c r="F162" t="s">
        <v>3164</v>
      </c>
      <c r="G162" t="s">
        <v>3165</v>
      </c>
      <c r="H162">
        <v>6</v>
      </c>
      <c r="I162" t="s">
        <v>51</v>
      </c>
      <c r="J162" t="str">
        <f t="shared" si="3"/>
        <v>ICIN - Performance evaluation of M2M protocols over cellular networks in a lab environment</v>
      </c>
    </row>
    <row r="163" spans="1:10">
      <c r="A163" t="s">
        <v>3166</v>
      </c>
      <c r="B163" t="s">
        <v>3167</v>
      </c>
      <c r="C163">
        <v>2022</v>
      </c>
      <c r="D163" t="s">
        <v>3168</v>
      </c>
      <c r="E163" t="s">
        <v>51</v>
      </c>
      <c r="F163" t="s">
        <v>3169</v>
      </c>
      <c r="G163" t="s">
        <v>3170</v>
      </c>
      <c r="H163">
        <v>6</v>
      </c>
      <c r="I163" t="s">
        <v>51</v>
      </c>
      <c r="J163" t="str">
        <f t="shared" si="3"/>
        <v>Scalability Evaluation of a Modbus TCP Control and Monitoring System for Distributed Energy Resources</v>
      </c>
    </row>
    <row r="164" spans="1:10">
      <c r="A164" t="s">
        <v>3171</v>
      </c>
      <c r="B164" t="s">
        <v>3172</v>
      </c>
      <c r="C164">
        <v>2014</v>
      </c>
      <c r="D164" t="s">
        <v>3173</v>
      </c>
      <c r="E164" t="s">
        <v>51</v>
      </c>
      <c r="F164" t="s">
        <v>3174</v>
      </c>
      <c r="G164" t="s">
        <v>3175</v>
      </c>
      <c r="H164">
        <v>15</v>
      </c>
      <c r="I164" t="s">
        <v>51</v>
      </c>
      <c r="J164" t="str">
        <f t="shared" si="3"/>
        <v>Minimum Cycle Time Analysis of Ethernet-Based Real-Time Protocols</v>
      </c>
    </row>
    <row r="165" spans="1:10">
      <c r="A165" t="s">
        <v>3176</v>
      </c>
      <c r="B165" t="s">
        <v>3177</v>
      </c>
      <c r="C165">
        <v>2019</v>
      </c>
      <c r="D165" t="s">
        <v>3178</v>
      </c>
      <c r="E165" t="s">
        <v>51</v>
      </c>
      <c r="F165" t="s">
        <v>3179</v>
      </c>
      <c r="G165" t="s">
        <v>3180</v>
      </c>
      <c r="H165">
        <v>8</v>
      </c>
      <c r="I165" t="s">
        <v>51</v>
      </c>
      <c r="J165" t="str">
        <f t="shared" si="3"/>
        <v>ETFA - Comparative assessment of different OPC UA open–source stacks for embedded systems</v>
      </c>
    </row>
    <row r="166" spans="1:10">
      <c r="A166" t="s">
        <v>3181</v>
      </c>
      <c r="B166" t="s">
        <v>3182</v>
      </c>
      <c r="C166">
        <v>2019</v>
      </c>
      <c r="D166" t="s">
        <v>3183</v>
      </c>
      <c r="E166" t="s">
        <v>51</v>
      </c>
      <c r="F166" t="s">
        <v>3184</v>
      </c>
      <c r="G166" t="s">
        <v>3185</v>
      </c>
      <c r="I166" t="s">
        <v>51</v>
      </c>
      <c r="J166" t="str">
        <f t="shared" si="3"/>
        <v>On the performance of OPC UA and MQTT for data exchange between industrial plants and cloud servers</v>
      </c>
    </row>
    <row r="167" spans="1:10">
      <c r="A167" t="s">
        <v>3186</v>
      </c>
      <c r="B167" t="s">
        <v>3187</v>
      </c>
      <c r="C167">
        <v>2021</v>
      </c>
      <c r="D167" t="s">
        <v>3188</v>
      </c>
      <c r="E167" t="s">
        <v>51</v>
      </c>
      <c r="F167" t="s">
        <v>3189</v>
      </c>
      <c r="G167" t="s">
        <v>3190</v>
      </c>
      <c r="H167">
        <v>6</v>
      </c>
      <c r="I167" t="s">
        <v>51</v>
      </c>
      <c r="J167" t="str">
        <f t="shared" si="3"/>
        <v>AN EQUIPMENT-ORIENTED VULNERABILITY THREAT ASSESSMENT METHOD FOR ELECTRIC POWER SUPERVISION AND CONTROL SYSTEMS</v>
      </c>
    </row>
    <row r="168" spans="1:10">
      <c r="A168" t="s">
        <v>3191</v>
      </c>
      <c r="B168" t="s">
        <v>3192</v>
      </c>
      <c r="C168">
        <v>2021</v>
      </c>
      <c r="D168" t="s">
        <v>3193</v>
      </c>
      <c r="E168" t="s">
        <v>51</v>
      </c>
      <c r="F168" t="s">
        <v>3194</v>
      </c>
      <c r="G168" t="s">
        <v>3195</v>
      </c>
      <c r="H168">
        <v>6</v>
      </c>
      <c r="I168" t="s">
        <v>51</v>
      </c>
      <c r="J168" t="str">
        <f t="shared" si="3"/>
        <v>Real-time Power System Simulation with Hardware Devices through DNP3 in Cyber-Physical Testbed</v>
      </c>
    </row>
    <row r="169" spans="1:10">
      <c r="A169" t="s">
        <v>3196</v>
      </c>
      <c r="B169" t="s">
        <v>3197</v>
      </c>
      <c r="C169">
        <v>2018</v>
      </c>
      <c r="D169" t="s">
        <v>3198</v>
      </c>
      <c r="E169" t="s">
        <v>51</v>
      </c>
      <c r="F169" t="s">
        <v>3199</v>
      </c>
      <c r="G169" t="s">
        <v>3200</v>
      </c>
      <c r="H169">
        <v>12</v>
      </c>
      <c r="I169" t="s">
        <v>51</v>
      </c>
      <c r="J169" t="str">
        <f t="shared" si="3"/>
        <v>Delay Estimation of Industrial IoT Applications Based on Messaging Protocols</v>
      </c>
    </row>
    <row r="170" spans="1:10">
      <c r="A170" t="s">
        <v>3201</v>
      </c>
      <c r="B170" t="s">
        <v>3202</v>
      </c>
      <c r="C170">
        <v>2023</v>
      </c>
      <c r="D170" t="s">
        <v>3203</v>
      </c>
      <c r="E170" t="s">
        <v>51</v>
      </c>
      <c r="F170" t="s">
        <v>3204</v>
      </c>
      <c r="G170" t="s">
        <v>3205</v>
      </c>
      <c r="H170">
        <v>17</v>
      </c>
      <c r="I170" t="s">
        <v>51</v>
      </c>
      <c r="J170" t="str">
        <f t="shared" si="3"/>
        <v>Protecting Modbus/TCP-Based Industrial Automation and Control Systems Using Message Authentication Codes</v>
      </c>
    </row>
    <row r="171" spans="1:10">
      <c r="A171" t="s">
        <v>3206</v>
      </c>
      <c r="B171" t="s">
        <v>3207</v>
      </c>
      <c r="C171">
        <v>2019</v>
      </c>
      <c r="D171" t="s">
        <v>3208</v>
      </c>
      <c r="E171" t="s">
        <v>51</v>
      </c>
      <c r="F171" t="s">
        <v>3209</v>
      </c>
      <c r="G171" t="s">
        <v>3210</v>
      </c>
      <c r="H171">
        <v>7</v>
      </c>
      <c r="I171" t="s">
        <v>51</v>
      </c>
      <c r="J171" t="str">
        <f t="shared" si="3"/>
        <v>ETFA - Analysis of the Round Trip Time of OPC UA and TSN based Peer-to-Peer Communication</v>
      </c>
    </row>
    <row r="172" spans="1:10">
      <c r="A172" t="s">
        <v>3211</v>
      </c>
      <c r="B172" t="s">
        <v>3212</v>
      </c>
      <c r="C172">
        <v>2024</v>
      </c>
      <c r="D172" t="s">
        <v>3213</v>
      </c>
      <c r="E172" t="s">
        <v>51</v>
      </c>
      <c r="F172" t="s">
        <v>3214</v>
      </c>
      <c r="G172" t="s">
        <v>2402</v>
      </c>
      <c r="H172">
        <v>1</v>
      </c>
      <c r="I172" t="s">
        <v>51</v>
      </c>
      <c r="J172" t="str">
        <f t="shared" si="3"/>
        <v>Performance evaluation of modbus and DNP3 protocols in the communication network of a university campus microgrid</v>
      </c>
    </row>
    <row r="173" spans="1:10">
      <c r="A173" t="s">
        <v>3215</v>
      </c>
      <c r="B173" t="s">
        <v>3216</v>
      </c>
      <c r="C173">
        <v>2016</v>
      </c>
      <c r="D173" t="s">
        <v>3217</v>
      </c>
      <c r="E173" t="s">
        <v>51</v>
      </c>
      <c r="F173" t="s">
        <v>3218</v>
      </c>
      <c r="G173" t="s">
        <v>3219</v>
      </c>
      <c r="H173">
        <v>10</v>
      </c>
      <c r="I173" t="s">
        <v>51</v>
      </c>
      <c r="J173" t="str">
        <f t="shared" si="3"/>
        <v>RESTful Industrial Communication With OPC UA</v>
      </c>
    </row>
    <row r="174" spans="1:10">
      <c r="A174" t="s">
        <v>3220</v>
      </c>
      <c r="B174" t="s">
        <v>3221</v>
      </c>
      <c r="C174">
        <v>2010</v>
      </c>
      <c r="D174" t="s">
        <v>3222</v>
      </c>
      <c r="E174" t="s">
        <v>51</v>
      </c>
      <c r="F174" t="s">
        <v>3223</v>
      </c>
      <c r="G174" t="s">
        <v>3224</v>
      </c>
      <c r="H174">
        <v>6</v>
      </c>
      <c r="I174" t="s">
        <v>51</v>
      </c>
      <c r="J174" t="str">
        <f t="shared" si="3"/>
        <v>EtherCAT enabled advanced control architecture</v>
      </c>
    </row>
    <row r="175" spans="1:10">
      <c r="A175" t="s">
        <v>3225</v>
      </c>
      <c r="B175" t="s">
        <v>3226</v>
      </c>
      <c r="C175">
        <v>2022</v>
      </c>
      <c r="D175" t="s">
        <v>3227</v>
      </c>
      <c r="E175" t="s">
        <v>51</v>
      </c>
      <c r="F175" t="s">
        <v>3228</v>
      </c>
      <c r="G175" t="s">
        <v>3229</v>
      </c>
      <c r="H175">
        <v>1</v>
      </c>
      <c r="I175" t="s">
        <v>51</v>
      </c>
      <c r="J175" t="str">
        <f t="shared" si="3"/>
        <v>Development of an Open-Source Testbed Based on the Modbus Protocol for Cybersecurity Analysis of Nuclear Power Plants</v>
      </c>
    </row>
    <row r="176" spans="1:10">
      <c r="A176" t="s">
        <v>3230</v>
      </c>
      <c r="B176" t="s">
        <v>3231</v>
      </c>
      <c r="C176">
        <v>2022</v>
      </c>
      <c r="D176" t="s">
        <v>3232</v>
      </c>
      <c r="E176" t="s">
        <v>51</v>
      </c>
      <c r="F176" t="s">
        <v>3233</v>
      </c>
      <c r="G176" t="s">
        <v>3234</v>
      </c>
      <c r="I176" t="s">
        <v>51</v>
      </c>
      <c r="J176" t="str">
        <f t="shared" si="3"/>
        <v>How Real (Time) Are Virtual PLCs?</v>
      </c>
    </row>
    <row r="177" spans="1:10">
      <c r="A177" t="s">
        <v>3235</v>
      </c>
      <c r="B177" t="s">
        <v>3236</v>
      </c>
      <c r="C177">
        <v>2022</v>
      </c>
      <c r="D177" t="s">
        <v>3237</v>
      </c>
      <c r="E177" t="s">
        <v>51</v>
      </c>
      <c r="F177" t="s">
        <v>3238</v>
      </c>
      <c r="G177" t="s">
        <v>2402</v>
      </c>
      <c r="H177">
        <v>14</v>
      </c>
      <c r="I177" t="s">
        <v>51</v>
      </c>
      <c r="J177" t="str">
        <f t="shared" si="3"/>
        <v>Off-Path TCP Hijacking Attacks via the Side Channel of Downgraded IPID</v>
      </c>
    </row>
    <row r="178" spans="1:10">
      <c r="A178" t="s">
        <v>3239</v>
      </c>
      <c r="B178" t="s">
        <v>3240</v>
      </c>
      <c r="C178">
        <v>2019</v>
      </c>
      <c r="D178" t="s">
        <v>3241</v>
      </c>
      <c r="E178" t="s">
        <v>51</v>
      </c>
      <c r="F178" t="s">
        <v>3242</v>
      </c>
      <c r="G178" t="s">
        <v>3243</v>
      </c>
      <c r="H178">
        <v>5</v>
      </c>
      <c r="I178" t="s">
        <v>51</v>
      </c>
      <c r="J178" t="str">
        <f t="shared" si="3"/>
        <v>BDIOT - An Efficient Intrusion Detection Model for Edge System in Brownfield Industrial Internet of Things</v>
      </c>
    </row>
    <row r="179" spans="1:10">
      <c r="A179" t="s">
        <v>3244</v>
      </c>
      <c r="B179" t="s">
        <v>3245</v>
      </c>
      <c r="C179">
        <v>2016</v>
      </c>
      <c r="D179" t="s">
        <v>3246</v>
      </c>
      <c r="E179" t="s">
        <v>51</v>
      </c>
      <c r="F179" t="s">
        <v>3247</v>
      </c>
      <c r="G179" t="s">
        <v>3248</v>
      </c>
      <c r="H179">
        <v>10</v>
      </c>
      <c r="I179" t="s">
        <v>51</v>
      </c>
      <c r="J179" t="str">
        <f t="shared" si="3"/>
        <v>Edge Computing: Vision and Challenges</v>
      </c>
    </row>
    <row r="180" spans="1:10">
      <c r="A180" t="s">
        <v>3249</v>
      </c>
      <c r="B180" t="s">
        <v>3250</v>
      </c>
      <c r="C180">
        <v>2018</v>
      </c>
      <c r="D180" t="s">
        <v>3251</v>
      </c>
      <c r="E180" t="s">
        <v>51</v>
      </c>
      <c r="F180" t="s">
        <v>3252</v>
      </c>
      <c r="G180" t="s">
        <v>3253</v>
      </c>
      <c r="H180">
        <v>6</v>
      </c>
      <c r="I180" t="s">
        <v>51</v>
      </c>
      <c r="J180" t="str">
        <f t="shared" si="3"/>
        <v>GOOSE Protocol: IED's Smart Solution for Victoria University Zone Substation (VUZS) Simulator Based on IEC61850 Standard</v>
      </c>
    </row>
    <row r="181" spans="1:10">
      <c r="A181" t="s">
        <v>3254</v>
      </c>
      <c r="B181" t="s">
        <v>3255</v>
      </c>
      <c r="C181">
        <v>2021</v>
      </c>
      <c r="D181" t="s">
        <v>3256</v>
      </c>
      <c r="E181" t="s">
        <v>51</v>
      </c>
      <c r="F181" t="s">
        <v>3257</v>
      </c>
      <c r="G181" t="s">
        <v>3258</v>
      </c>
      <c r="I181" t="s">
        <v>51</v>
      </c>
      <c r="J181" t="str">
        <f t="shared" si="3"/>
        <v>Communication Requirements for a Hybrid VSC Based HVDC/AC Transmission Networks State Estimation</v>
      </c>
    </row>
    <row r="182" spans="1:10">
      <c r="A182" t="s">
        <v>3261</v>
      </c>
      <c r="B182" t="s">
        <v>3262</v>
      </c>
      <c r="C182">
        <v>2024</v>
      </c>
      <c r="D182" t="s">
        <v>3263</v>
      </c>
      <c r="E182" t="s">
        <v>51</v>
      </c>
      <c r="F182" t="s">
        <v>3264</v>
      </c>
      <c r="G182" t="s">
        <v>2402</v>
      </c>
      <c r="H182">
        <v>5</v>
      </c>
      <c r="I182" t="s">
        <v>51</v>
      </c>
      <c r="J182" t="str">
        <f t="shared" si="3"/>
        <v>DNP3 Implementation in a High DER Penetration Distribution System</v>
      </c>
    </row>
    <row r="183" spans="1:10">
      <c r="A183" t="s">
        <v>3265</v>
      </c>
      <c r="B183" t="s">
        <v>3266</v>
      </c>
      <c r="C183">
        <v>2012</v>
      </c>
      <c r="D183" t="s">
        <v>3267</v>
      </c>
      <c r="E183" t="s">
        <v>51</v>
      </c>
      <c r="F183" t="s">
        <v>3268</v>
      </c>
      <c r="G183" t="s">
        <v>3269</v>
      </c>
      <c r="H183">
        <v>8</v>
      </c>
      <c r="I183" t="s">
        <v>51</v>
      </c>
      <c r="J183" t="str">
        <f t="shared" si="3"/>
        <v>ETFA - Data Distribution Service for industrial automation</v>
      </c>
    </row>
    <row r="184" spans="1:10">
      <c r="A184" t="s">
        <v>3270</v>
      </c>
      <c r="B184" t="s">
        <v>3271</v>
      </c>
      <c r="C184">
        <v>2018</v>
      </c>
      <c r="D184" t="s">
        <v>3272</v>
      </c>
      <c r="E184" t="s">
        <v>51</v>
      </c>
      <c r="F184" t="s">
        <v>3273</v>
      </c>
      <c r="G184" t="s">
        <v>3274</v>
      </c>
      <c r="I184" t="s">
        <v>51</v>
      </c>
      <c r="J184" t="str">
        <f t="shared" si="3"/>
        <v>Docker container based analytics at IoT edge Video analytics usecase</v>
      </c>
    </row>
    <row r="185" spans="1:10">
      <c r="A185" t="s">
        <v>3275</v>
      </c>
      <c r="B185" t="s">
        <v>3276</v>
      </c>
      <c r="C185">
        <v>2017</v>
      </c>
      <c r="D185" t="s">
        <v>2840</v>
      </c>
      <c r="E185" t="s">
        <v>51</v>
      </c>
      <c r="F185" t="s">
        <v>2402</v>
      </c>
      <c r="G185" t="s">
        <v>3277</v>
      </c>
      <c r="I185" t="s">
        <v>51</v>
      </c>
      <c r="J185" t="str">
        <f t="shared" si="3"/>
        <v>A Testbed for Experimenting Internet of Things Applications.</v>
      </c>
    </row>
    <row r="186" spans="1:10">
      <c r="A186" t="s">
        <v>3278</v>
      </c>
      <c r="B186" t="s">
        <v>3279</v>
      </c>
      <c r="C186">
        <v>2019</v>
      </c>
      <c r="D186" t="s">
        <v>3280</v>
      </c>
      <c r="E186" t="s">
        <v>51</v>
      </c>
      <c r="F186" t="s">
        <v>3281</v>
      </c>
      <c r="G186" t="s">
        <v>3282</v>
      </c>
      <c r="H186">
        <v>15</v>
      </c>
      <c r="I186" t="s">
        <v>51</v>
      </c>
      <c r="J186" t="str">
        <f t="shared" si="3"/>
        <v>Targeted Ransomware: A New Cyber Threat to Edge System of Brownfield Industrial Internet of Things</v>
      </c>
    </row>
    <row r="187" spans="1:10">
      <c r="A187" t="s">
        <v>3283</v>
      </c>
      <c r="B187" t="s">
        <v>3284</v>
      </c>
      <c r="C187">
        <v>2024</v>
      </c>
      <c r="D187" t="s">
        <v>3285</v>
      </c>
      <c r="E187" t="s">
        <v>51</v>
      </c>
      <c r="F187" t="s">
        <v>3286</v>
      </c>
      <c r="G187" t="s">
        <v>3287</v>
      </c>
      <c r="H187">
        <v>10</v>
      </c>
      <c r="I187" t="s">
        <v>51</v>
      </c>
      <c r="J187" t="str">
        <f t="shared" si="3"/>
        <v>Implementation of an intelligence-based framework for anomaly detection on the demand-side of sustainable compressed air systems</v>
      </c>
    </row>
    <row r="188" spans="1:10">
      <c r="A188" t="s">
        <v>3288</v>
      </c>
      <c r="B188" t="s">
        <v>3289</v>
      </c>
      <c r="C188">
        <v>2010</v>
      </c>
      <c r="D188" t="s">
        <v>3290</v>
      </c>
      <c r="E188" t="s">
        <v>51</v>
      </c>
      <c r="F188" t="s">
        <v>3291</v>
      </c>
      <c r="G188" t="s">
        <v>3292</v>
      </c>
      <c r="H188">
        <v>8</v>
      </c>
      <c r="I188" t="s">
        <v>51</v>
      </c>
      <c r="J188" t="str">
        <f t="shared" si="3"/>
        <v>ETFA - Performance evaluation of OPC UA</v>
      </c>
    </row>
    <row r="189" spans="1:10">
      <c r="A189" t="s">
        <v>3293</v>
      </c>
      <c r="B189" t="s">
        <v>3294</v>
      </c>
      <c r="C189">
        <v>2022</v>
      </c>
      <c r="D189" t="s">
        <v>3295</v>
      </c>
      <c r="E189" t="s">
        <v>51</v>
      </c>
      <c r="F189" t="s">
        <v>3296</v>
      </c>
      <c r="G189" t="s">
        <v>3297</v>
      </c>
      <c r="H189">
        <v>8</v>
      </c>
      <c r="I189" t="s">
        <v>51</v>
      </c>
      <c r="J189" t="str">
        <f t="shared" si="3"/>
        <v>Attacking and Defending DNP3 ICS/SCADA Systems</v>
      </c>
    </row>
    <row r="190" spans="1:10">
      <c r="A190" t="s">
        <v>3298</v>
      </c>
      <c r="B190" t="s">
        <v>3299</v>
      </c>
      <c r="C190">
        <v>2021</v>
      </c>
      <c r="D190" t="s">
        <v>3300</v>
      </c>
      <c r="E190" t="s">
        <v>51</v>
      </c>
      <c r="F190" t="s">
        <v>3301</v>
      </c>
      <c r="G190" t="s">
        <v>3302</v>
      </c>
      <c r="H190">
        <v>5</v>
      </c>
      <c r="I190" t="s">
        <v>51</v>
      </c>
      <c r="J190" t="str">
        <f t="shared" si="3"/>
        <v>CPS Testbed Architectures for WAMPAC using Industrial Substation and Control Center Platforms and Attack-Defense Evaluation</v>
      </c>
    </row>
    <row r="191" spans="1:10">
      <c r="A191" t="s">
        <v>3303</v>
      </c>
      <c r="B191" t="s">
        <v>3304</v>
      </c>
      <c r="C191">
        <v>2023</v>
      </c>
      <c r="D191" t="s">
        <v>3305</v>
      </c>
      <c r="E191" t="s">
        <v>51</v>
      </c>
      <c r="F191" t="s">
        <v>3306</v>
      </c>
      <c r="G191" t="s">
        <v>3307</v>
      </c>
      <c r="H191">
        <v>7</v>
      </c>
      <c r="I191" t="s">
        <v>51</v>
      </c>
      <c r="J191" t="str">
        <f t="shared" si="3"/>
        <v>Supporting vPLC Networking over TSN with Kubernetes in Industry 4.0</v>
      </c>
    </row>
    <row r="192" spans="1:10">
      <c r="A192" t="s">
        <v>3308</v>
      </c>
      <c r="B192" t="s">
        <v>3309</v>
      </c>
      <c r="C192">
        <v>2009</v>
      </c>
      <c r="D192" t="s">
        <v>2840</v>
      </c>
      <c r="E192" t="s">
        <v>51</v>
      </c>
      <c r="F192" t="s">
        <v>2402</v>
      </c>
      <c r="G192" t="s">
        <v>3310</v>
      </c>
      <c r="H192">
        <v>8</v>
      </c>
      <c r="I192" t="s">
        <v>51</v>
      </c>
      <c r="J192" t="str">
        <f t="shared" si="3"/>
        <v>ETFA - Real Time Ethernet networks evaluation using performance indicators</v>
      </c>
    </row>
    <row r="193" spans="1:10">
      <c r="A193" t="s">
        <v>3259</v>
      </c>
      <c r="B193" t="s">
        <v>3260</v>
      </c>
      <c r="C193">
        <v>2017</v>
      </c>
      <c r="D193" t="s">
        <v>2840</v>
      </c>
      <c r="E193" t="s">
        <v>51</v>
      </c>
      <c r="F193" t="s">
        <v>2402</v>
      </c>
      <c r="G193" t="s">
        <v>3311</v>
      </c>
      <c r="H193">
        <v>5</v>
      </c>
      <c r="I193" t="s">
        <v>51</v>
      </c>
      <c r="J193" t="str">
        <f t="shared" ref="J193:J200" si="4">HYPERLINK($D193,$B193)</f>
        <v>Attack scenarios and security analysis of MQTT communication protocol in IoT system</v>
      </c>
    </row>
    <row r="194" spans="1:10">
      <c r="A194" t="s">
        <v>3312</v>
      </c>
      <c r="B194" t="s">
        <v>3313</v>
      </c>
      <c r="C194">
        <v>2023</v>
      </c>
      <c r="D194" t="s">
        <v>3314</v>
      </c>
      <c r="E194" t="s">
        <v>51</v>
      </c>
      <c r="F194" t="s">
        <v>3315</v>
      </c>
      <c r="G194" t="s">
        <v>3316</v>
      </c>
      <c r="H194">
        <v>1</v>
      </c>
      <c r="I194" t="s">
        <v>51</v>
      </c>
      <c r="J194" t="str">
        <f t="shared" si="4"/>
        <v>Wireless Technologies for Industry 4.0 Applications</v>
      </c>
    </row>
    <row r="195" spans="1:10">
      <c r="A195" t="s">
        <v>3317</v>
      </c>
      <c r="B195" t="s">
        <v>3318</v>
      </c>
      <c r="C195">
        <v>2013</v>
      </c>
      <c r="D195" t="s">
        <v>2840</v>
      </c>
      <c r="E195" t="s">
        <v>51</v>
      </c>
      <c r="F195" t="s">
        <v>2402</v>
      </c>
      <c r="G195" t="s">
        <v>3319</v>
      </c>
      <c r="I195" t="s">
        <v>51</v>
      </c>
      <c r="J195" t="str">
        <f t="shared" si="4"/>
        <v>Anomaly Detection and its Adaptation: Studies on Cyber-Physical Systems</v>
      </c>
    </row>
    <row r="196" spans="1:10">
      <c r="A196" t="s">
        <v>3320</v>
      </c>
      <c r="B196" t="s">
        <v>3321</v>
      </c>
      <c r="C196">
        <v>2022</v>
      </c>
      <c r="D196" t="s">
        <v>3322</v>
      </c>
      <c r="E196" t="s">
        <v>51</v>
      </c>
      <c r="F196" t="s">
        <v>3323</v>
      </c>
      <c r="G196" t="s">
        <v>3324</v>
      </c>
      <c r="H196">
        <v>3</v>
      </c>
      <c r="I196" t="s">
        <v>51</v>
      </c>
      <c r="J196" t="str">
        <f t="shared" si="4"/>
        <v>RESTful information-centric networking</v>
      </c>
    </row>
    <row r="197" spans="1:10">
      <c r="A197" t="s">
        <v>3325</v>
      </c>
      <c r="B197" t="s">
        <v>3326</v>
      </c>
      <c r="C197">
        <v>2022</v>
      </c>
      <c r="D197" t="s">
        <v>3327</v>
      </c>
      <c r="E197" t="s">
        <v>51</v>
      </c>
      <c r="F197" t="s">
        <v>3328</v>
      </c>
      <c r="G197" t="s">
        <v>3329</v>
      </c>
      <c r="H197">
        <v>1</v>
      </c>
      <c r="I197" t="s">
        <v>51</v>
      </c>
      <c r="J197" t="str">
        <f t="shared" si="4"/>
        <v>Key Challenges and Emerging Technologies in Industrial IoT Architectures: A Review.</v>
      </c>
    </row>
    <row r="198" spans="1:10">
      <c r="A198" t="s">
        <v>3330</v>
      </c>
      <c r="B198" t="s">
        <v>3331</v>
      </c>
      <c r="C198">
        <v>2022</v>
      </c>
      <c r="D198" t="s">
        <v>3332</v>
      </c>
      <c r="E198" t="s">
        <v>51</v>
      </c>
      <c r="F198" t="s">
        <v>3333</v>
      </c>
      <c r="G198" t="s">
        <v>2402</v>
      </c>
      <c r="H198">
        <v>11</v>
      </c>
      <c r="I198" t="s">
        <v>51</v>
      </c>
      <c r="J198" t="str">
        <f t="shared" si="4"/>
        <v>A survey on communication protocols and performance evaluations for Internet of Things</v>
      </c>
    </row>
    <row r="199" spans="1:10">
      <c r="A199" t="s">
        <v>3334</v>
      </c>
      <c r="B199" t="s">
        <v>3335</v>
      </c>
      <c r="C199">
        <v>2013</v>
      </c>
      <c r="D199" t="s">
        <v>2840</v>
      </c>
      <c r="E199" t="s">
        <v>51</v>
      </c>
      <c r="F199" t="s">
        <v>2402</v>
      </c>
      <c r="G199" t="s">
        <v>3336</v>
      </c>
      <c r="H199">
        <v>15</v>
      </c>
      <c r="I199" t="s">
        <v>51</v>
      </c>
      <c r="J199" t="str">
        <f t="shared" si="4"/>
        <v>Performance Tuning Towards a KVM-based Embedded Real-time Virtualization System</v>
      </c>
    </row>
    <row r="200" spans="1:10">
      <c r="A200" t="s">
        <v>3337</v>
      </c>
      <c r="B200" t="s">
        <v>3338</v>
      </c>
      <c r="C200">
        <v>2017</v>
      </c>
      <c r="D200" t="s">
        <v>2840</v>
      </c>
      <c r="E200" t="s">
        <v>51</v>
      </c>
      <c r="F200" t="s">
        <v>2402</v>
      </c>
      <c r="G200" t="s">
        <v>3339</v>
      </c>
      <c r="I200" t="s">
        <v>51</v>
      </c>
      <c r="J200" t="str">
        <f t="shared" si="4"/>
        <v>IoT Fundamentals: Networking Technologies, Protocols, and Use Cases for the Internet of Things</v>
      </c>
    </row>
    <row r="208" spans="1:10">
      <c r="B208" s="9"/>
    </row>
    <row r="209" spans="2:2">
      <c r="B209" s="10"/>
    </row>
    <row r="210" spans="2:2">
      <c r="B210" s="9"/>
    </row>
  </sheetData>
  <conditionalFormatting sqref="B1:B1048576">
    <cfRule type="duplicateValues" dxfId="31" priority="1"/>
  </conditionalFormatting>
  <conditionalFormatting sqref="B242:B1048576 B1:B210">
    <cfRule type="duplicateValues" dxfId="30" priority="3"/>
  </conditionalFormatting>
  <conditionalFormatting sqref="B242:B1048576 B1:B218">
    <cfRule type="duplicateValues" dxfId="29" priority="2"/>
  </conditionalFormatting>
  <conditionalFormatting sqref="B242:B1048576">
    <cfRule type="duplicateValues" dxfId="28" priority="5"/>
  </conditionalFormatting>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6C558-F758-40B5-B372-C67CA7F30149}">
  <dimension ref="A1:J826"/>
  <sheetViews>
    <sheetView topLeftCell="B154" workbookViewId="0">
      <selection activeCell="B183" sqref="B183:B245"/>
    </sheetView>
  </sheetViews>
  <sheetFormatPr defaultRowHeight="12.75"/>
  <cols>
    <col min="1" max="2" width="81.140625" bestFit="1" customWidth="1"/>
    <col min="3" max="3" width="7.28515625" bestFit="1" customWidth="1"/>
    <col min="4" max="4" width="52.7109375" bestFit="1" customWidth="1"/>
    <col min="5" max="5" width="6.7109375" bestFit="1" customWidth="1"/>
    <col min="6" max="6" width="40.2851562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4334</v>
      </c>
      <c r="B2" t="s">
        <v>4335</v>
      </c>
      <c r="C2">
        <v>2024</v>
      </c>
      <c r="D2" t="s">
        <v>4336</v>
      </c>
      <c r="E2" t="s">
        <v>51</v>
      </c>
      <c r="F2" t="s">
        <v>4337</v>
      </c>
      <c r="G2" t="s">
        <v>4338</v>
      </c>
      <c r="H2">
        <v>7</v>
      </c>
      <c r="I2" t="s">
        <v>51</v>
      </c>
      <c r="J2" t="str">
        <f t="shared" ref="J2:J47" si="0">HYPERLINK($D2,$B2)</f>
        <v>Programming of Skill-Based Robots</v>
      </c>
    </row>
    <row r="3" spans="1:10">
      <c r="A3" t="s">
        <v>4339</v>
      </c>
      <c r="B3" t="s">
        <v>4340</v>
      </c>
      <c r="C3">
        <v>2020</v>
      </c>
      <c r="D3" t="s">
        <v>4341</v>
      </c>
      <c r="E3" t="s">
        <v>51</v>
      </c>
      <c r="F3" t="s">
        <v>4342</v>
      </c>
      <c r="G3" t="s">
        <v>4343</v>
      </c>
      <c r="H3">
        <v>8</v>
      </c>
      <c r="I3" t="s">
        <v>51</v>
      </c>
      <c r="J3" t="str">
        <f t="shared" si="0"/>
        <v>A CAD feature-based manufacturing approach with OPC UA skills</v>
      </c>
    </row>
    <row r="4" spans="1:10">
      <c r="A4" t="s">
        <v>4344</v>
      </c>
      <c r="B4" t="s">
        <v>4345</v>
      </c>
      <c r="C4">
        <v>2022</v>
      </c>
      <c r="D4" t="s">
        <v>4346</v>
      </c>
      <c r="E4" t="s">
        <v>51</v>
      </c>
      <c r="F4" t="s">
        <v>4347</v>
      </c>
      <c r="G4" t="s">
        <v>4348</v>
      </c>
      <c r="H4">
        <v>14</v>
      </c>
      <c r="I4" t="s">
        <v>51</v>
      </c>
      <c r="J4" t="str">
        <f t="shared" si="0"/>
        <v>Optimising data visualisation in the process control and IIoT environments</v>
      </c>
    </row>
    <row r="5" spans="1:10">
      <c r="A5" t="s">
        <v>4349</v>
      </c>
      <c r="B5" t="s">
        <v>4350</v>
      </c>
      <c r="C5">
        <v>2021</v>
      </c>
      <c r="D5" t="s">
        <v>4351</v>
      </c>
      <c r="E5" t="s">
        <v>51</v>
      </c>
      <c r="F5" t="s">
        <v>4352</v>
      </c>
      <c r="G5" t="s">
        <v>4353</v>
      </c>
      <c r="H5">
        <v>12</v>
      </c>
      <c r="I5" t="s">
        <v>51</v>
      </c>
      <c r="J5" t="str">
        <f t="shared" si="0"/>
        <v>SOHOMA - About the Applicability of IoT Concept for Classical Manufacturing Systems</v>
      </c>
    </row>
    <row r="6" spans="1:10">
      <c r="A6" t="s">
        <v>4354</v>
      </c>
      <c r="B6" t="s">
        <v>4355</v>
      </c>
      <c r="C6">
        <v>2020</v>
      </c>
      <c r="D6" t="s">
        <v>4356</v>
      </c>
      <c r="E6" t="s">
        <v>51</v>
      </c>
      <c r="F6" t="s">
        <v>4357</v>
      </c>
      <c r="G6" t="s">
        <v>4358</v>
      </c>
      <c r="H6">
        <v>17</v>
      </c>
      <c r="I6" t="s">
        <v>51</v>
      </c>
      <c r="J6" t="str">
        <f t="shared" si="0"/>
        <v>Evaluation of OPC-UA communication in an autonomous advanced manufacturing cell implementation</v>
      </c>
    </row>
    <row r="7" spans="1:10">
      <c r="A7" t="s">
        <v>4360</v>
      </c>
      <c r="B7" t="s">
        <v>4361</v>
      </c>
      <c r="C7">
        <v>2021</v>
      </c>
      <c r="D7" t="s">
        <v>4362</v>
      </c>
      <c r="E7" t="s">
        <v>51</v>
      </c>
      <c r="F7" t="s">
        <v>4363</v>
      </c>
      <c r="G7" t="s">
        <v>2402</v>
      </c>
      <c r="H7">
        <v>12</v>
      </c>
      <c r="I7" t="s">
        <v>51</v>
      </c>
      <c r="J7" t="str">
        <f t="shared" si="0"/>
        <v>IC2E - A Comprehensive Performance Evaluation of Different Kubernetes CNI Plugins for Edge-based and Containerized Publish/Subscribe Applications.</v>
      </c>
    </row>
    <row r="8" spans="1:10">
      <c r="A8" t="s">
        <v>4364</v>
      </c>
      <c r="B8" t="s">
        <v>4365</v>
      </c>
      <c r="C8">
        <v>2021</v>
      </c>
      <c r="D8" t="s">
        <v>4366</v>
      </c>
      <c r="E8" t="s">
        <v>51</v>
      </c>
      <c r="F8" t="s">
        <v>4367</v>
      </c>
      <c r="G8" t="s">
        <v>4368</v>
      </c>
      <c r="I8" t="s">
        <v>51</v>
      </c>
      <c r="J8" t="str">
        <f t="shared" si="0"/>
        <v>Smartspectrometer—embedded optical spectroscopy for applications in agriculture and industry</v>
      </c>
    </row>
    <row r="9" spans="1:10">
      <c r="A9" t="s">
        <v>4370</v>
      </c>
      <c r="B9" t="s">
        <v>4371</v>
      </c>
      <c r="C9">
        <v>2021</v>
      </c>
      <c r="D9" t="s">
        <v>4372</v>
      </c>
      <c r="E9" t="s">
        <v>51</v>
      </c>
      <c r="F9" t="s">
        <v>4373</v>
      </c>
      <c r="G9" t="s">
        <v>4374</v>
      </c>
      <c r="H9">
        <v>7</v>
      </c>
      <c r="I9" t="s">
        <v>51</v>
      </c>
      <c r="J9" t="str">
        <f t="shared" si="0"/>
        <v>Internet of Things (IoT) Protocols, Communication Technologies, and Services in Industry</v>
      </c>
    </row>
    <row r="10" spans="1:10">
      <c r="A10" t="s">
        <v>4375</v>
      </c>
      <c r="B10" t="s">
        <v>4376</v>
      </c>
      <c r="C10">
        <v>2023</v>
      </c>
      <c r="D10" t="s">
        <v>4377</v>
      </c>
      <c r="E10" t="s">
        <v>51</v>
      </c>
      <c r="F10" t="s">
        <v>4378</v>
      </c>
      <c r="G10" t="s">
        <v>2402</v>
      </c>
      <c r="H10">
        <v>33</v>
      </c>
      <c r="I10" t="s">
        <v>51</v>
      </c>
      <c r="J10" t="str">
        <f t="shared" si="0"/>
        <v>Towards Digital Twin for Biopharmaceutical Processes: Concept and Progress</v>
      </c>
    </row>
    <row r="11" spans="1:10">
      <c r="A11" t="s">
        <v>4379</v>
      </c>
      <c r="B11" t="s">
        <v>4380</v>
      </c>
      <c r="C11">
        <v>2022</v>
      </c>
      <c r="D11" t="s">
        <v>4381</v>
      </c>
      <c r="E11" t="s">
        <v>51</v>
      </c>
      <c r="F11" t="s">
        <v>4382</v>
      </c>
      <c r="G11" t="s">
        <v>2402</v>
      </c>
      <c r="H11">
        <v>1</v>
      </c>
      <c r="I11" t="s">
        <v>51</v>
      </c>
      <c r="J11" t="str">
        <f t="shared" si="0"/>
        <v>Autoware_Perf: A tracing and performance analysis framework for ROS 2 applications</v>
      </c>
    </row>
    <row r="12" spans="1:10">
      <c r="A12" t="s">
        <v>4384</v>
      </c>
      <c r="B12" t="s">
        <v>4385</v>
      </c>
      <c r="C12">
        <v>2020</v>
      </c>
      <c r="D12" t="s">
        <v>4386</v>
      </c>
      <c r="E12" t="s">
        <v>51</v>
      </c>
      <c r="F12" t="s">
        <v>4387</v>
      </c>
      <c r="G12" t="s">
        <v>4388</v>
      </c>
      <c r="H12">
        <v>32</v>
      </c>
      <c r="I12" t="s">
        <v>51</v>
      </c>
      <c r="J12" t="str">
        <f t="shared" si="0"/>
        <v>Investigating Messaging Protocols for the Internet of Things (IoT)</v>
      </c>
    </row>
    <row r="13" spans="1:10">
      <c r="A13" t="s">
        <v>4390</v>
      </c>
      <c r="B13" t="s">
        <v>4391</v>
      </c>
      <c r="C13">
        <v>2019</v>
      </c>
      <c r="D13" t="s">
        <v>4392</v>
      </c>
      <c r="E13" t="s">
        <v>51</v>
      </c>
      <c r="F13" t="s">
        <v>4393</v>
      </c>
      <c r="G13" t="s">
        <v>4394</v>
      </c>
      <c r="H13">
        <v>4</v>
      </c>
      <c r="I13" t="s">
        <v>51</v>
      </c>
      <c r="J13" t="str">
        <f t="shared" si="0"/>
        <v>Design of a micro-service based Data Pool for device integration to speed up digitalization</v>
      </c>
    </row>
    <row r="14" spans="1:10">
      <c r="A14" t="s">
        <v>4400</v>
      </c>
      <c r="B14" t="s">
        <v>4401</v>
      </c>
      <c r="C14">
        <v>2020</v>
      </c>
      <c r="D14" t="s">
        <v>4402</v>
      </c>
      <c r="E14" t="s">
        <v>51</v>
      </c>
      <c r="F14" t="s">
        <v>4403</v>
      </c>
      <c r="G14" t="s">
        <v>4404</v>
      </c>
      <c r="H14">
        <v>22</v>
      </c>
      <c r="I14" t="s">
        <v>51</v>
      </c>
      <c r="J14" t="str">
        <f t="shared" si="0"/>
        <v>ESORICS (2) - Towards Post-Quantum Security for Cyber-Physical Systems: Integrating PQC into Industrial M2M Communication.</v>
      </c>
    </row>
    <row r="15" spans="1:10">
      <c r="A15" t="s">
        <v>4405</v>
      </c>
      <c r="B15" t="s">
        <v>4406</v>
      </c>
      <c r="C15">
        <v>2024</v>
      </c>
      <c r="D15" t="s">
        <v>4407</v>
      </c>
      <c r="E15" t="s">
        <v>51</v>
      </c>
      <c r="F15" t="s">
        <v>4408</v>
      </c>
      <c r="G15" t="s">
        <v>2402</v>
      </c>
      <c r="H15">
        <v>6</v>
      </c>
      <c r="I15" t="s">
        <v>51</v>
      </c>
      <c r="J15" t="str">
        <f t="shared" si="0"/>
        <v>An Autonomous Edge Box System Architecture for Industrial IoT Applications</v>
      </c>
    </row>
    <row r="16" spans="1:10">
      <c r="A16" t="s">
        <v>4410</v>
      </c>
      <c r="B16" t="s">
        <v>4411</v>
      </c>
      <c r="C16">
        <v>2020</v>
      </c>
      <c r="D16" t="s">
        <v>4412</v>
      </c>
      <c r="E16" t="s">
        <v>51</v>
      </c>
      <c r="F16" t="s">
        <v>4413</v>
      </c>
      <c r="G16" t="s">
        <v>4414</v>
      </c>
      <c r="H16">
        <v>5</v>
      </c>
      <c r="I16" t="s">
        <v>51</v>
      </c>
      <c r="J16" t="str">
        <f t="shared" si="0"/>
        <v>Methodology for Plant Specific Cultivation through a Plant Identification pipeline</v>
      </c>
    </row>
    <row r="17" spans="1:10">
      <c r="A17" t="s">
        <v>4415</v>
      </c>
      <c r="B17" t="s">
        <v>4416</v>
      </c>
      <c r="C17">
        <v>2021</v>
      </c>
      <c r="D17" t="s">
        <v>4417</v>
      </c>
      <c r="E17" t="s">
        <v>51</v>
      </c>
      <c r="F17" t="s">
        <v>4418</v>
      </c>
      <c r="G17" t="s">
        <v>4419</v>
      </c>
      <c r="I17" t="s">
        <v>51</v>
      </c>
      <c r="J17" t="str">
        <f t="shared" si="0"/>
        <v>Data Science on Industrial Data—Today’s Challenges in Brown Field Applications</v>
      </c>
    </row>
    <row r="18" spans="1:10">
      <c r="A18" t="s">
        <v>4420</v>
      </c>
      <c r="B18" t="s">
        <v>4421</v>
      </c>
      <c r="C18">
        <v>2021</v>
      </c>
      <c r="D18" t="s">
        <v>4422</v>
      </c>
      <c r="E18" t="s">
        <v>51</v>
      </c>
      <c r="F18" t="s">
        <v>4423</v>
      </c>
      <c r="G18" t="s">
        <v>4424</v>
      </c>
      <c r="H18">
        <v>31</v>
      </c>
      <c r="I18" t="s">
        <v>51</v>
      </c>
      <c r="J18" t="str">
        <f t="shared" si="0"/>
        <v>Towards post-quantum security for cyber-physical systems: Integrating PQC into industrial M2M communication</v>
      </c>
    </row>
    <row r="19" spans="1:10">
      <c r="A19" t="s">
        <v>4426</v>
      </c>
      <c r="B19" t="s">
        <v>4427</v>
      </c>
      <c r="C19">
        <v>2020</v>
      </c>
      <c r="D19" t="s">
        <v>4428</v>
      </c>
      <c r="E19" t="s">
        <v>51</v>
      </c>
      <c r="F19" t="s">
        <v>4429</v>
      </c>
      <c r="G19" t="s">
        <v>2402</v>
      </c>
      <c r="H19">
        <v>14</v>
      </c>
      <c r="I19" t="s">
        <v>51</v>
      </c>
      <c r="J19" t="str">
        <f t="shared" si="0"/>
        <v>MES-integrated digital twin frameworks</v>
      </c>
    </row>
    <row r="20" spans="1:10">
      <c r="A20" t="s">
        <v>4430</v>
      </c>
      <c r="B20" t="s">
        <v>4431</v>
      </c>
      <c r="C20">
        <v>2023</v>
      </c>
      <c r="D20" t="s">
        <v>4432</v>
      </c>
      <c r="E20" t="s">
        <v>51</v>
      </c>
      <c r="F20" t="s">
        <v>4433</v>
      </c>
      <c r="G20" t="s">
        <v>4434</v>
      </c>
      <c r="H20">
        <v>1</v>
      </c>
      <c r="I20" t="s">
        <v>51</v>
      </c>
      <c r="J20" t="str">
        <f t="shared" si="0"/>
        <v>IIoT-Supported Manufacturing-Material-Flow Tracking in a DES-Based Digital-Twin Environment</v>
      </c>
    </row>
    <row r="21" spans="1:10">
      <c r="A21" t="s">
        <v>4436</v>
      </c>
      <c r="B21" t="s">
        <v>4437</v>
      </c>
      <c r="C21">
        <v>2025</v>
      </c>
      <c r="D21" t="s">
        <v>4438</v>
      </c>
      <c r="E21" t="s">
        <v>51</v>
      </c>
      <c r="F21" t="s">
        <v>4439</v>
      </c>
      <c r="G21" t="s">
        <v>4440</v>
      </c>
      <c r="H21">
        <v>30</v>
      </c>
      <c r="I21" t="s">
        <v>51</v>
      </c>
      <c r="J21" t="str">
        <f t="shared" si="0"/>
        <v>&lt;i&gt;SCOPE&lt;/i&gt; : Performance Testing for Serverless Computing</v>
      </c>
    </row>
    <row r="22" spans="1:10">
      <c r="A22" t="s">
        <v>4441</v>
      </c>
      <c r="B22" t="s">
        <v>4442</v>
      </c>
      <c r="C22">
        <v>2025</v>
      </c>
      <c r="D22" t="s">
        <v>4443</v>
      </c>
      <c r="E22" t="s">
        <v>51</v>
      </c>
      <c r="F22" t="s">
        <v>4444</v>
      </c>
      <c r="G22" t="s">
        <v>4445</v>
      </c>
      <c r="H22">
        <v>27</v>
      </c>
      <c r="I22" t="s">
        <v>51</v>
      </c>
      <c r="J22" t="str">
        <f t="shared" si="0"/>
        <v>A digital twin approach for online reconfiguration of robotic manufacturing systems toward plug-and-produce</v>
      </c>
    </row>
    <row r="23" spans="1:10">
      <c r="A23" t="s">
        <v>4447</v>
      </c>
      <c r="B23" t="s">
        <v>4448</v>
      </c>
      <c r="C23">
        <v>2024</v>
      </c>
      <c r="D23" t="s">
        <v>4449</v>
      </c>
      <c r="E23" t="s">
        <v>51</v>
      </c>
      <c r="F23" t="s">
        <v>4450</v>
      </c>
      <c r="G23" t="s">
        <v>4451</v>
      </c>
      <c r="H23">
        <v>30</v>
      </c>
      <c r="I23" t="s">
        <v>51</v>
      </c>
      <c r="J23" t="str">
        <f t="shared" si="0"/>
        <v>IIoT Protocols for Edge/Fog and Cloud Computing in Industrial AI</v>
      </c>
    </row>
    <row r="24" spans="1:10">
      <c r="A24" t="s">
        <v>4452</v>
      </c>
      <c r="B24" t="s">
        <v>4453</v>
      </c>
      <c r="C24">
        <v>2022</v>
      </c>
      <c r="D24" t="s">
        <v>4454</v>
      </c>
      <c r="E24" t="s">
        <v>51</v>
      </c>
      <c r="F24" t="s">
        <v>4455</v>
      </c>
      <c r="G24" t="s">
        <v>4456</v>
      </c>
      <c r="H24">
        <v>7</v>
      </c>
      <c r="I24" t="s">
        <v>51</v>
      </c>
      <c r="J24" t="str">
        <f t="shared" si="0"/>
        <v>Unified Multi-Modal Data Aggregation for Complementary Sensor Networks Applied for Localization</v>
      </c>
    </row>
    <row r="25" spans="1:10">
      <c r="A25" t="s">
        <v>4457</v>
      </c>
      <c r="B25" t="s">
        <v>4458</v>
      </c>
      <c r="C25">
        <v>2023</v>
      </c>
      <c r="D25" t="s">
        <v>4459</v>
      </c>
      <c r="E25" t="s">
        <v>51</v>
      </c>
      <c r="F25" t="s">
        <v>4460</v>
      </c>
      <c r="G25" t="s">
        <v>4461</v>
      </c>
      <c r="H25">
        <v>7</v>
      </c>
      <c r="I25" t="s">
        <v>51</v>
      </c>
      <c r="J25" t="str">
        <f t="shared" si="0"/>
        <v>Leveraging Hybrid Information Centric Networking for Broker-Free Publish/Subscribe in IoT</v>
      </c>
    </row>
    <row r="26" spans="1:10">
      <c r="A26" t="s">
        <v>4462</v>
      </c>
      <c r="B26" t="s">
        <v>4463</v>
      </c>
      <c r="C26">
        <v>2024</v>
      </c>
      <c r="D26" t="s">
        <v>4464</v>
      </c>
      <c r="E26" t="s">
        <v>51</v>
      </c>
      <c r="F26" t="s">
        <v>4465</v>
      </c>
      <c r="G26" t="s">
        <v>2402</v>
      </c>
      <c r="H26">
        <v>13</v>
      </c>
      <c r="I26" t="s">
        <v>51</v>
      </c>
      <c r="J26" t="str">
        <f t="shared" si="0"/>
        <v>General Evaluation of EtherCAT-Based Techniques in Various Industrial Systems: Review and Applications</v>
      </c>
    </row>
    <row r="27" spans="1:10">
      <c r="A27" t="s">
        <v>4467</v>
      </c>
      <c r="B27" t="s">
        <v>4468</v>
      </c>
      <c r="C27">
        <v>2022</v>
      </c>
      <c r="D27" t="s">
        <v>4469</v>
      </c>
      <c r="E27" t="s">
        <v>51</v>
      </c>
      <c r="F27" t="s">
        <v>4470</v>
      </c>
      <c r="G27" t="s">
        <v>4471</v>
      </c>
      <c r="H27">
        <v>8</v>
      </c>
      <c r="I27" t="s">
        <v>51</v>
      </c>
      <c r="J27" t="str">
        <f t="shared" si="0"/>
        <v>ACHORD: Communication-Aware Multi-Robot Coordination With Intermittent Connectivity</v>
      </c>
    </row>
    <row r="28" spans="1:10">
      <c r="A28" t="s">
        <v>4472</v>
      </c>
      <c r="B28" t="s">
        <v>4473</v>
      </c>
      <c r="C28">
        <v>2021</v>
      </c>
      <c r="D28" t="s">
        <v>4474</v>
      </c>
      <c r="E28" t="s">
        <v>51</v>
      </c>
      <c r="F28" t="s">
        <v>4475</v>
      </c>
      <c r="G28" t="s">
        <v>2402</v>
      </c>
      <c r="H28">
        <v>8</v>
      </c>
      <c r="I28" t="s">
        <v>51</v>
      </c>
      <c r="J28" t="str">
        <f t="shared" si="0"/>
        <v>A Solution to the Generalized ROS Hardware IO Problem - A Generic Modbus/TCP Device Driver for PLCs, Sensors and Actuators</v>
      </c>
    </row>
    <row r="29" spans="1:10">
      <c r="A29" t="s">
        <v>4476</v>
      </c>
      <c r="B29" t="s">
        <v>4477</v>
      </c>
      <c r="C29">
        <v>2021</v>
      </c>
      <c r="D29" t="s">
        <v>4478</v>
      </c>
      <c r="E29" t="s">
        <v>51</v>
      </c>
      <c r="F29" t="s">
        <v>4479</v>
      </c>
      <c r="G29" t="s">
        <v>2402</v>
      </c>
      <c r="H29">
        <v>8</v>
      </c>
      <c r="I29" t="s">
        <v>51</v>
      </c>
      <c r="J29" t="str">
        <f t="shared" si="0"/>
        <v>ATLAS - A Generic Framework for Generation of Skill-Based Control Logic and Simulation Models for Intralogistics Applications</v>
      </c>
    </row>
    <row r="30" spans="1:10">
      <c r="A30" t="s">
        <v>4480</v>
      </c>
      <c r="B30" t="s">
        <v>4481</v>
      </c>
      <c r="C30">
        <v>2021</v>
      </c>
      <c r="D30" t="s">
        <v>4482</v>
      </c>
      <c r="E30" t="s">
        <v>51</v>
      </c>
      <c r="F30" t="s">
        <v>4483</v>
      </c>
      <c r="G30" t="s">
        <v>4484</v>
      </c>
      <c r="I30" t="s">
        <v>51</v>
      </c>
      <c r="J30" t="str">
        <f t="shared" si="0"/>
        <v>DDS and OPC UA Protocol Coexistence Solution in Real-Time and Industry 4.0 Context Using Non-Ideal Infrastructure.</v>
      </c>
    </row>
    <row r="31" spans="1:10">
      <c r="A31" t="s">
        <v>4486</v>
      </c>
      <c r="B31" t="s">
        <v>4487</v>
      </c>
      <c r="C31">
        <v>2024</v>
      </c>
      <c r="D31" t="s">
        <v>4488</v>
      </c>
      <c r="E31" t="s">
        <v>51</v>
      </c>
      <c r="F31" t="s">
        <v>4489</v>
      </c>
      <c r="G31" t="s">
        <v>4490</v>
      </c>
      <c r="H31">
        <v>15</v>
      </c>
      <c r="I31" t="s">
        <v>51</v>
      </c>
      <c r="J31" t="str">
        <f t="shared" si="0"/>
        <v>An Intelligent Product-Driven Manufacturing System Using Data Distribution Service</v>
      </c>
    </row>
    <row r="32" spans="1:10">
      <c r="A32" t="s">
        <v>4491</v>
      </c>
      <c r="B32" t="s">
        <v>4492</v>
      </c>
      <c r="C32">
        <v>2025</v>
      </c>
      <c r="D32" t="s">
        <v>4493</v>
      </c>
      <c r="E32" t="s">
        <v>51</v>
      </c>
      <c r="F32" t="s">
        <v>4494</v>
      </c>
      <c r="G32" t="s">
        <v>4495</v>
      </c>
      <c r="H32">
        <v>1</v>
      </c>
      <c r="I32" t="s">
        <v>51</v>
      </c>
      <c r="J32" t="str">
        <f t="shared" si="0"/>
        <v>An Explainable Markov Chain-Machine Learning Sequential-Aware Anomaly Detection Framework for Industrial IoT Systems Based on OPC UA.</v>
      </c>
    </row>
    <row r="33" spans="1:10">
      <c r="A33" t="s">
        <v>4496</v>
      </c>
      <c r="B33" t="s">
        <v>4497</v>
      </c>
      <c r="C33">
        <v>2021</v>
      </c>
      <c r="D33" t="s">
        <v>4498</v>
      </c>
      <c r="E33" t="s">
        <v>51</v>
      </c>
      <c r="F33" t="s">
        <v>4499</v>
      </c>
      <c r="G33" t="s">
        <v>4500</v>
      </c>
      <c r="H33">
        <v>10</v>
      </c>
      <c r="I33" t="s">
        <v>51</v>
      </c>
      <c r="J33" t="str">
        <f t="shared" si="0"/>
        <v>A Review on SECS/GEM: A Machine-to-Machine (M2M) Communication Protocol for Industry 4.0</v>
      </c>
    </row>
    <row r="34" spans="1:10">
      <c r="A34" t="s">
        <v>4502</v>
      </c>
      <c r="B34" t="s">
        <v>4503</v>
      </c>
      <c r="C34">
        <v>2023</v>
      </c>
      <c r="D34" t="s">
        <v>4504</v>
      </c>
      <c r="E34" t="s">
        <v>51</v>
      </c>
      <c r="F34" t="s">
        <v>4505</v>
      </c>
      <c r="G34" t="s">
        <v>4506</v>
      </c>
      <c r="H34">
        <v>1</v>
      </c>
      <c r="I34" t="s">
        <v>51</v>
      </c>
      <c r="J34" t="str">
        <f t="shared" si="0"/>
        <v>A Digital Twin-Based Distributed Manufacturing Execution System for Industry 4.0 with AI-Powered On-The-Fly Replanning Capabilities</v>
      </c>
    </row>
    <row r="35" spans="1:10">
      <c r="A35" t="s">
        <v>4507</v>
      </c>
      <c r="B35" t="s">
        <v>4508</v>
      </c>
      <c r="C35">
        <v>2021</v>
      </c>
      <c r="D35" t="s">
        <v>4509</v>
      </c>
      <c r="E35" t="s">
        <v>51</v>
      </c>
      <c r="F35" t="s">
        <v>4510</v>
      </c>
      <c r="G35" t="s">
        <v>4511</v>
      </c>
      <c r="H35">
        <v>6</v>
      </c>
      <c r="I35" t="s">
        <v>51</v>
      </c>
      <c r="J35" t="str">
        <f t="shared" si="0"/>
        <v>Fostering End-of-Life Utilization by Information-driven Robotic Disassembly</v>
      </c>
    </row>
    <row r="36" spans="1:10">
      <c r="A36" t="s">
        <v>4512</v>
      </c>
      <c r="B36" t="s">
        <v>4513</v>
      </c>
      <c r="C36">
        <v>2021</v>
      </c>
      <c r="D36" t="s">
        <v>4514</v>
      </c>
      <c r="E36" t="s">
        <v>51</v>
      </c>
      <c r="F36" t="s">
        <v>4515</v>
      </c>
      <c r="G36" t="s">
        <v>2402</v>
      </c>
      <c r="H36">
        <v>21</v>
      </c>
      <c r="I36" t="s">
        <v>51</v>
      </c>
      <c r="J36" t="str">
        <f t="shared" si="0"/>
        <v>ComBench: A Benchmarking Framework for Publish/Subscribe Communication Protocols Under Network Limitations</v>
      </c>
    </row>
    <row r="37" spans="1:10">
      <c r="A37" t="s">
        <v>4516</v>
      </c>
      <c r="B37" t="s">
        <v>4517</v>
      </c>
      <c r="C37">
        <v>2024</v>
      </c>
      <c r="D37" t="s">
        <v>4518</v>
      </c>
      <c r="E37" t="s">
        <v>51</v>
      </c>
      <c r="F37" t="s">
        <v>4519</v>
      </c>
      <c r="G37" t="s">
        <v>2402</v>
      </c>
      <c r="H37">
        <v>18</v>
      </c>
      <c r="I37" t="s">
        <v>51</v>
      </c>
      <c r="J37" t="str">
        <f t="shared" si="0"/>
        <v>Utilising unsupervised machine learning and IoT for cost-effective anomaly detection in multi-layer wire arc additive manufacturing</v>
      </c>
    </row>
    <row r="38" spans="1:10">
      <c r="A38" t="s">
        <v>4521</v>
      </c>
      <c r="B38" t="s">
        <v>4522</v>
      </c>
      <c r="C38">
        <v>2020</v>
      </c>
      <c r="D38" t="s">
        <v>4523</v>
      </c>
      <c r="E38" t="s">
        <v>51</v>
      </c>
      <c r="F38" t="s">
        <v>4524</v>
      </c>
      <c r="G38" t="s">
        <v>4525</v>
      </c>
      <c r="H38">
        <v>6</v>
      </c>
      <c r="I38" t="s">
        <v>51</v>
      </c>
      <c r="J38" t="str">
        <f t="shared" si="0"/>
        <v>ICPS - Evaluation and Extension of OPC UA Publish/Subscribe MQTT Binding</v>
      </c>
    </row>
    <row r="39" spans="1:10">
      <c r="A39" t="s">
        <v>4527</v>
      </c>
      <c r="B39" t="s">
        <v>4528</v>
      </c>
      <c r="C39">
        <v>2026</v>
      </c>
      <c r="D39" t="s">
        <v>4529</v>
      </c>
      <c r="E39" t="s">
        <v>51</v>
      </c>
      <c r="F39" t="s">
        <v>4530</v>
      </c>
      <c r="G39" t="s">
        <v>4531</v>
      </c>
      <c r="I39" t="s">
        <v>51</v>
      </c>
      <c r="J39" t="str">
        <f t="shared" si="0"/>
        <v>Innovation Meets Accessibility in Melt Electrowriting 3D Printer Design: Continuous Process Monitoring and Automation via Modular Software and Hardware</v>
      </c>
    </row>
    <row r="40" spans="1:10">
      <c r="A40" t="s">
        <v>4532</v>
      </c>
      <c r="B40" t="s">
        <v>4533</v>
      </c>
      <c r="C40">
        <v>2020</v>
      </c>
      <c r="D40" t="s">
        <v>4534</v>
      </c>
      <c r="E40" t="s">
        <v>51</v>
      </c>
      <c r="F40" t="s">
        <v>4535</v>
      </c>
      <c r="G40" t="s">
        <v>4536</v>
      </c>
      <c r="H40">
        <v>8</v>
      </c>
      <c r="I40" t="s">
        <v>51</v>
      </c>
      <c r="J40" t="str">
        <f t="shared" si="0"/>
        <v>ANT/EDI40 - An Investigation on Database Connections in OPC UA Applications</v>
      </c>
    </row>
    <row r="41" spans="1:10">
      <c r="A41" t="s">
        <v>4537</v>
      </c>
      <c r="B41" t="s">
        <v>4538</v>
      </c>
      <c r="C41">
        <v>2021</v>
      </c>
      <c r="D41" t="s">
        <v>4539</v>
      </c>
      <c r="E41" t="s">
        <v>51</v>
      </c>
      <c r="F41" t="s">
        <v>4540</v>
      </c>
      <c r="G41" t="s">
        <v>4541</v>
      </c>
      <c r="H41">
        <v>14</v>
      </c>
      <c r="I41" t="s">
        <v>51</v>
      </c>
      <c r="J41" t="str">
        <f t="shared" si="0"/>
        <v>A Generic Plug &amp; Produce System Composed of Semantic OPC UA Skills</v>
      </c>
    </row>
    <row r="42" spans="1:10">
      <c r="A42" t="s">
        <v>4543</v>
      </c>
      <c r="B42" t="s">
        <v>4544</v>
      </c>
      <c r="C42">
        <v>2021</v>
      </c>
      <c r="D42" t="s">
        <v>4545</v>
      </c>
      <c r="E42" t="s">
        <v>51</v>
      </c>
      <c r="F42" t="s">
        <v>4546</v>
      </c>
      <c r="G42" t="s">
        <v>4547</v>
      </c>
      <c r="H42">
        <v>6</v>
      </c>
      <c r="I42" t="s">
        <v>51</v>
      </c>
      <c r="J42" t="str">
        <f t="shared" si="0"/>
        <v>CASE - A Novel Architecture for Cyber-Physical Production Systems in Industry 4.0</v>
      </c>
    </row>
    <row r="43" spans="1:10">
      <c r="A43" t="s">
        <v>4548</v>
      </c>
      <c r="B43" t="s">
        <v>4549</v>
      </c>
      <c r="C43">
        <v>2021</v>
      </c>
      <c r="D43" t="s">
        <v>4550</v>
      </c>
      <c r="E43" t="s">
        <v>51</v>
      </c>
      <c r="F43" t="s">
        <v>4551</v>
      </c>
      <c r="G43" t="s">
        <v>4552</v>
      </c>
      <c r="I43" t="s">
        <v>51</v>
      </c>
      <c r="J43" t="str">
        <f t="shared" si="0"/>
        <v>A Service-Oriented Real-Time Communication Scheme for AUTOSAR Adaptive Using OPC UA and Time-Sensitive Networking.</v>
      </c>
    </row>
    <row r="44" spans="1:10">
      <c r="A44" t="s">
        <v>4553</v>
      </c>
      <c r="B44" t="s">
        <v>4554</v>
      </c>
      <c r="C44">
        <v>2022</v>
      </c>
      <c r="D44" t="s">
        <v>4555</v>
      </c>
      <c r="E44" t="s">
        <v>51</v>
      </c>
      <c r="F44" t="s">
        <v>4556</v>
      </c>
      <c r="G44" t="s">
        <v>4557</v>
      </c>
      <c r="H44">
        <v>1</v>
      </c>
      <c r="I44" t="s">
        <v>51</v>
      </c>
      <c r="J44" t="str">
        <f t="shared" si="0"/>
        <v>DDS-XRCE Standard Performance Evaluation of Different Communication Scenarios in IoT Technologies</v>
      </c>
    </row>
    <row r="45" spans="1:10">
      <c r="A45" t="s">
        <v>4559</v>
      </c>
      <c r="B45" t="s">
        <v>4560</v>
      </c>
      <c r="C45">
        <v>2021</v>
      </c>
      <c r="D45" t="s">
        <v>4561</v>
      </c>
      <c r="E45" t="s">
        <v>51</v>
      </c>
      <c r="F45" t="s">
        <v>4562</v>
      </c>
      <c r="G45" t="s">
        <v>2402</v>
      </c>
      <c r="I45" t="s">
        <v>51</v>
      </c>
      <c r="J45" t="str">
        <f t="shared" si="0"/>
        <v>REAM: A Framework for Resource Efficient Adaptive Monitoring of Community Spaces</v>
      </c>
    </row>
    <row r="46" spans="1:10">
      <c r="A46" t="s">
        <v>4563</v>
      </c>
      <c r="B46" t="s">
        <v>4564</v>
      </c>
      <c r="C46">
        <v>2020</v>
      </c>
      <c r="D46" t="s">
        <v>4565</v>
      </c>
      <c r="E46" t="s">
        <v>51</v>
      </c>
      <c r="F46" t="s">
        <v>4566</v>
      </c>
      <c r="G46" t="s">
        <v>4567</v>
      </c>
      <c r="H46">
        <v>8</v>
      </c>
      <c r="I46" t="s">
        <v>51</v>
      </c>
      <c r="J46" t="str">
        <f t="shared" si="0"/>
        <v>ETFA - A generic Approach for the Industrial Application of Skill-based Engineering using OPC UA</v>
      </c>
    </row>
    <row r="47" spans="1:10">
      <c r="A47" t="s">
        <v>4570</v>
      </c>
      <c r="B47" t="s">
        <v>4571</v>
      </c>
      <c r="C47">
        <v>2022</v>
      </c>
      <c r="D47" t="s">
        <v>4572</v>
      </c>
      <c r="E47" t="s">
        <v>51</v>
      </c>
      <c r="F47" t="s">
        <v>4573</v>
      </c>
      <c r="G47" t="s">
        <v>4574</v>
      </c>
      <c r="H47">
        <v>7</v>
      </c>
      <c r="I47" t="s">
        <v>51</v>
      </c>
      <c r="J47" t="str">
        <f t="shared" si="0"/>
        <v>An OPC UA PubSub Implementation Approach for Memory-Constrained Sensor Devices</v>
      </c>
    </row>
    <row r="48" spans="1:10">
      <c r="A48" t="s">
        <v>4575</v>
      </c>
      <c r="B48" t="s">
        <v>4576</v>
      </c>
      <c r="C48">
        <v>2024</v>
      </c>
      <c r="D48" t="s">
        <v>4577</v>
      </c>
      <c r="E48" t="s">
        <v>51</v>
      </c>
      <c r="F48" t="s">
        <v>4578</v>
      </c>
      <c r="G48" t="s">
        <v>4579</v>
      </c>
      <c r="H48">
        <v>1</v>
      </c>
      <c r="I48" t="s">
        <v>51</v>
      </c>
      <c r="J48" t="str">
        <f t="shared" ref="J48:J100" si="1">HYPERLINK($D48,$B48)</f>
        <v>Achieving Accountability and Data Integrity in Message Queuing Telemetry Transport Using Blockchain and Interplanetary File System</v>
      </c>
    </row>
    <row r="49" spans="1:10">
      <c r="A49" t="s">
        <v>4580</v>
      </c>
      <c r="B49" t="s">
        <v>4581</v>
      </c>
      <c r="C49">
        <v>2025</v>
      </c>
      <c r="D49" t="s">
        <v>4582</v>
      </c>
      <c r="E49" t="s">
        <v>51</v>
      </c>
      <c r="F49" t="s">
        <v>4583</v>
      </c>
      <c r="G49" t="s">
        <v>2402</v>
      </c>
      <c r="H49">
        <v>17</v>
      </c>
      <c r="I49" t="s">
        <v>51</v>
      </c>
      <c r="J49" t="str">
        <f t="shared" si="1"/>
        <v>Fiber-Optic Sensing Technologies for Underground Pipeline Monitoring</v>
      </c>
    </row>
    <row r="50" spans="1:10">
      <c r="A50" t="s">
        <v>4584</v>
      </c>
      <c r="B50" t="s">
        <v>4585</v>
      </c>
      <c r="C50">
        <v>2021</v>
      </c>
      <c r="D50" t="s">
        <v>4586</v>
      </c>
      <c r="E50" t="s">
        <v>51</v>
      </c>
      <c r="F50" t="s">
        <v>4587</v>
      </c>
      <c r="G50" t="s">
        <v>4588</v>
      </c>
      <c r="H50">
        <v>11</v>
      </c>
      <c r="I50" t="s">
        <v>51</v>
      </c>
      <c r="J50" t="str">
        <f t="shared" si="1"/>
        <v>ICSA - Towards Resilient IoT Messaging: An Experience Report Analyzing MQTT Brokers</v>
      </c>
    </row>
    <row r="51" spans="1:10">
      <c r="A51" t="s">
        <v>4589</v>
      </c>
      <c r="B51" t="s">
        <v>4590</v>
      </c>
      <c r="C51">
        <v>2022</v>
      </c>
      <c r="D51" t="s">
        <v>4591</v>
      </c>
      <c r="E51" t="s">
        <v>51</v>
      </c>
      <c r="F51" t="s">
        <v>4592</v>
      </c>
      <c r="G51" t="s">
        <v>4593</v>
      </c>
      <c r="I51" t="s">
        <v>51</v>
      </c>
      <c r="J51" t="str">
        <f t="shared" si="1"/>
        <v>Plant-wide interoperability and decoupled, data-driven process control with message bus communication</v>
      </c>
    </row>
    <row r="52" spans="1:10">
      <c r="A52" t="s">
        <v>4594</v>
      </c>
      <c r="B52" t="s">
        <v>4595</v>
      </c>
      <c r="C52">
        <v>2021</v>
      </c>
      <c r="D52" t="s">
        <v>4596</v>
      </c>
      <c r="E52" t="s">
        <v>51</v>
      </c>
      <c r="F52" t="s">
        <v>4597</v>
      </c>
      <c r="G52" t="s">
        <v>2402</v>
      </c>
      <c r="H52">
        <v>6</v>
      </c>
      <c r="I52" t="s">
        <v>51</v>
      </c>
      <c r="J52" t="str">
        <f t="shared" si="1"/>
        <v>Hyperconnected Architecture for High Cognitive Production Plants</v>
      </c>
    </row>
    <row r="53" spans="1:10">
      <c r="A53" t="s">
        <v>4598</v>
      </c>
      <c r="B53" t="s">
        <v>4599</v>
      </c>
      <c r="C53">
        <v>2021</v>
      </c>
      <c r="D53" t="s">
        <v>4600</v>
      </c>
      <c r="E53" t="s">
        <v>51</v>
      </c>
      <c r="F53" t="s">
        <v>4601</v>
      </c>
      <c r="G53" t="s">
        <v>2402</v>
      </c>
      <c r="H53">
        <v>7</v>
      </c>
      <c r="I53" t="s">
        <v>51</v>
      </c>
      <c r="J53" t="str">
        <f t="shared" si="1"/>
        <v>Review Literature Performance: Quality of Service from Internet of Things for Transportation System</v>
      </c>
    </row>
    <row r="54" spans="1:10">
      <c r="A54" t="s">
        <v>4602</v>
      </c>
      <c r="B54" t="s">
        <v>4603</v>
      </c>
      <c r="C54">
        <v>2020</v>
      </c>
      <c r="D54" t="s">
        <v>4604</v>
      </c>
      <c r="E54" t="s">
        <v>51</v>
      </c>
      <c r="F54" t="s">
        <v>4605</v>
      </c>
      <c r="G54" t="s">
        <v>4606</v>
      </c>
      <c r="H54">
        <v>8</v>
      </c>
      <c r="I54" t="s">
        <v>51</v>
      </c>
      <c r="J54" t="str">
        <f t="shared" si="1"/>
        <v>ETFA - Assessing Long Distance Communication Alternatives for the Remote Control of AGVs</v>
      </c>
    </row>
    <row r="55" spans="1:10">
      <c r="A55" t="s">
        <v>4607</v>
      </c>
      <c r="B55" t="s">
        <v>4608</v>
      </c>
      <c r="C55">
        <v>2024</v>
      </c>
      <c r="D55" t="s">
        <v>4609</v>
      </c>
      <c r="E55" t="s">
        <v>51</v>
      </c>
      <c r="F55" t="s">
        <v>4610</v>
      </c>
      <c r="G55" t="s">
        <v>2402</v>
      </c>
      <c r="H55">
        <v>14</v>
      </c>
      <c r="I55" t="s">
        <v>51</v>
      </c>
      <c r="J55" t="str">
        <f t="shared" si="1"/>
        <v>AdaEdge: A Dynamic Compression Selection Framework for Resource Constrained Devices</v>
      </c>
    </row>
    <row r="56" spans="1:10">
      <c r="A56" t="s">
        <v>4611</v>
      </c>
      <c r="B56" t="s">
        <v>4612</v>
      </c>
      <c r="C56">
        <v>2020</v>
      </c>
      <c r="D56" t="s">
        <v>4613</v>
      </c>
      <c r="E56" t="s">
        <v>51</v>
      </c>
      <c r="F56" t="s">
        <v>4614</v>
      </c>
      <c r="G56" t="s">
        <v>4615</v>
      </c>
      <c r="H56">
        <v>5</v>
      </c>
      <c r="I56" t="s">
        <v>51</v>
      </c>
      <c r="J56" t="str">
        <f t="shared" si="1"/>
        <v>IOT Companion - AI Approaches to Optimize Human-Machine Collaboration in Manufacturing Facilities with IoT-Ready Machinery</v>
      </c>
    </row>
    <row r="57" spans="1:10">
      <c r="A57" t="s">
        <v>4616</v>
      </c>
      <c r="B57" t="s">
        <v>4617</v>
      </c>
      <c r="C57">
        <v>2022</v>
      </c>
      <c r="D57" t="s">
        <v>4618</v>
      </c>
      <c r="E57" t="s">
        <v>51</v>
      </c>
      <c r="F57" t="s">
        <v>4619</v>
      </c>
      <c r="G57" t="s">
        <v>4620</v>
      </c>
      <c r="H57">
        <v>6</v>
      </c>
      <c r="I57" t="s">
        <v>51</v>
      </c>
      <c r="J57" t="str">
        <f t="shared" si="1"/>
        <v>Recent Development Techniques on Digital Twins for Manufacturing: State of the Art</v>
      </c>
    </row>
    <row r="58" spans="1:10">
      <c r="A58" t="s">
        <v>4621</v>
      </c>
      <c r="B58" t="s">
        <v>4622</v>
      </c>
      <c r="C58">
        <v>2022</v>
      </c>
      <c r="D58" t="s">
        <v>4623</v>
      </c>
      <c r="E58" t="s">
        <v>51</v>
      </c>
      <c r="F58" t="s">
        <v>4624</v>
      </c>
      <c r="G58" t="s">
        <v>2402</v>
      </c>
      <c r="H58">
        <v>18</v>
      </c>
      <c r="I58" t="s">
        <v>51</v>
      </c>
      <c r="J58" t="str">
        <f t="shared" si="1"/>
        <v>Level of automation (LOA) in aerospace composite manufacturing: Present status and future directions towards industry 4.0</v>
      </c>
    </row>
    <row r="59" spans="1:10">
      <c r="A59" t="s">
        <v>4626</v>
      </c>
      <c r="B59" t="s">
        <v>4627</v>
      </c>
      <c r="C59">
        <v>2019</v>
      </c>
      <c r="D59" t="s">
        <v>2840</v>
      </c>
      <c r="E59" t="s">
        <v>51</v>
      </c>
      <c r="F59" t="s">
        <v>2402</v>
      </c>
      <c r="G59" t="s">
        <v>2402</v>
      </c>
      <c r="I59" t="s">
        <v>51</v>
      </c>
      <c r="J59" t="str">
        <f t="shared" si="1"/>
        <v>Towards Wireless ADAS - Retrofitting IoT for Increased Safety</v>
      </c>
    </row>
    <row r="60" spans="1:10">
      <c r="A60" t="s">
        <v>4628</v>
      </c>
      <c r="B60" t="s">
        <v>4629</v>
      </c>
      <c r="C60">
        <v>2021</v>
      </c>
      <c r="D60" t="s">
        <v>4630</v>
      </c>
      <c r="E60" t="s">
        <v>51</v>
      </c>
      <c r="F60" t="s">
        <v>4631</v>
      </c>
      <c r="G60" t="s">
        <v>4632</v>
      </c>
      <c r="H60">
        <v>17</v>
      </c>
      <c r="I60" t="s">
        <v>51</v>
      </c>
      <c r="J60" t="str">
        <f t="shared" si="1"/>
        <v>ECSA - Dynamic Updates of Virtual PLCs Deployed as Kubernetes Microservices</v>
      </c>
    </row>
    <row r="61" spans="1:10">
      <c r="A61" t="s">
        <v>4633</v>
      </c>
      <c r="B61" t="s">
        <v>4634</v>
      </c>
      <c r="C61">
        <v>2020</v>
      </c>
      <c r="D61" t="s">
        <v>4635</v>
      </c>
      <c r="E61" t="s">
        <v>51</v>
      </c>
      <c r="F61" t="s">
        <v>4636</v>
      </c>
      <c r="G61" t="s">
        <v>4637</v>
      </c>
      <c r="H61">
        <v>6</v>
      </c>
      <c r="I61" t="s">
        <v>51</v>
      </c>
      <c r="J61" t="str">
        <f t="shared" si="1"/>
        <v>Industrial Messaging Middleware: Standards and Performance Evaluation</v>
      </c>
    </row>
    <row r="62" spans="1:10">
      <c r="A62" t="s">
        <v>4640</v>
      </c>
      <c r="B62" t="s">
        <v>4641</v>
      </c>
      <c r="C62">
        <v>2021</v>
      </c>
      <c r="D62" t="s">
        <v>4642</v>
      </c>
      <c r="E62" t="s">
        <v>51</v>
      </c>
      <c r="F62" t="s">
        <v>4643</v>
      </c>
      <c r="G62" t="s">
        <v>4644</v>
      </c>
      <c r="H62">
        <v>5</v>
      </c>
      <c r="I62" t="s">
        <v>51</v>
      </c>
      <c r="J62" t="str">
        <f t="shared" si="1"/>
        <v>Hardware Implementation of an OPC UA Server for Industrial Field Devices</v>
      </c>
    </row>
    <row r="63" spans="1:10">
      <c r="A63" t="s">
        <v>4645</v>
      </c>
      <c r="B63" t="s">
        <v>4646</v>
      </c>
      <c r="C63">
        <v>2022</v>
      </c>
      <c r="D63" t="s">
        <v>4647</v>
      </c>
      <c r="E63" t="s">
        <v>51</v>
      </c>
      <c r="F63" t="s">
        <v>4648</v>
      </c>
      <c r="G63" t="s">
        <v>4649</v>
      </c>
      <c r="H63">
        <v>1</v>
      </c>
      <c r="I63" t="s">
        <v>51</v>
      </c>
      <c r="J63" t="str">
        <f t="shared" si="1"/>
        <v>Implementation of DDS Cloud Platform for Real-Time Data Acquisition of Sensors for a Legacy Machine</v>
      </c>
    </row>
    <row r="64" spans="1:10">
      <c r="A64" t="s">
        <v>4650</v>
      </c>
      <c r="B64" t="s">
        <v>4651</v>
      </c>
      <c r="C64">
        <v>2020</v>
      </c>
      <c r="D64" t="s">
        <v>4652</v>
      </c>
      <c r="E64" t="s">
        <v>51</v>
      </c>
      <c r="F64" t="s">
        <v>4653</v>
      </c>
      <c r="G64" t="s">
        <v>4654</v>
      </c>
      <c r="H64">
        <v>17</v>
      </c>
      <c r="I64" t="s">
        <v>51</v>
      </c>
      <c r="J64" t="str">
        <f t="shared" si="1"/>
        <v>ECSA - A Comparison of MQTT Brokers for Distributed IoT Edge Computing</v>
      </c>
    </row>
    <row r="65" spans="1:10">
      <c r="A65" t="s">
        <v>4655</v>
      </c>
      <c r="B65" t="s">
        <v>4656</v>
      </c>
      <c r="C65">
        <v>2020</v>
      </c>
      <c r="D65" t="s">
        <v>4657</v>
      </c>
      <c r="E65" t="s">
        <v>51</v>
      </c>
      <c r="F65" t="s">
        <v>4658</v>
      </c>
      <c r="G65" t="s">
        <v>4659</v>
      </c>
      <c r="H65">
        <v>8</v>
      </c>
      <c r="I65" t="s">
        <v>51</v>
      </c>
      <c r="J65" t="str">
        <f t="shared" si="1"/>
        <v>Exoskeletons Towards Industrie 4.0: Benefits and Challenges of the IoT Communication Architecture</v>
      </c>
    </row>
    <row r="66" spans="1:10">
      <c r="A66" t="s">
        <v>4664</v>
      </c>
      <c r="B66" t="s">
        <v>4665</v>
      </c>
      <c r="C66">
        <v>2019</v>
      </c>
      <c r="D66" t="s">
        <v>4666</v>
      </c>
      <c r="E66" t="s">
        <v>51</v>
      </c>
      <c r="F66" t="s">
        <v>4667</v>
      </c>
      <c r="G66" t="s">
        <v>4668</v>
      </c>
      <c r="H66">
        <v>4</v>
      </c>
      <c r="I66" t="s">
        <v>51</v>
      </c>
      <c r="J66" t="str">
        <f t="shared" si="1"/>
        <v>ETFA - Hard Real-Time Capable OPC UA Server as Hardware Peripheral for Single Chip IoT Systems</v>
      </c>
    </row>
    <row r="67" spans="1:10">
      <c r="A67" t="s">
        <v>4669</v>
      </c>
      <c r="B67" t="s">
        <v>4670</v>
      </c>
      <c r="C67">
        <v>2019</v>
      </c>
      <c r="D67" t="s">
        <v>4671</v>
      </c>
      <c r="E67" t="s">
        <v>51</v>
      </c>
      <c r="F67" t="s">
        <v>4672</v>
      </c>
      <c r="G67" t="s">
        <v>4673</v>
      </c>
      <c r="H67">
        <v>10</v>
      </c>
      <c r="I67" t="s">
        <v>51</v>
      </c>
      <c r="J67" t="str">
        <f t="shared" si="1"/>
        <v>ICCCI (2) - Some Solutions for Improving OPC UA Performance</v>
      </c>
    </row>
    <row r="68" spans="1:10">
      <c r="A68" t="s">
        <v>4674</v>
      </c>
      <c r="B68" t="s">
        <v>4675</v>
      </c>
      <c r="C68">
        <v>2021</v>
      </c>
      <c r="D68" t="s">
        <v>4676</v>
      </c>
      <c r="E68" t="s">
        <v>51</v>
      </c>
      <c r="F68" t="s">
        <v>4677</v>
      </c>
      <c r="G68" t="s">
        <v>4678</v>
      </c>
      <c r="H68">
        <v>14</v>
      </c>
      <c r="I68" t="s">
        <v>51</v>
      </c>
      <c r="J68" t="str">
        <f t="shared" si="1"/>
        <v>Challenges of modeling and analysis in cybermanufacturing: a review from a machine learning and computation perspective.</v>
      </c>
    </row>
    <row r="69" spans="1:10">
      <c r="A69" t="s">
        <v>4679</v>
      </c>
      <c r="B69" t="s">
        <v>4680</v>
      </c>
      <c r="C69">
        <v>2024</v>
      </c>
      <c r="D69" t="s">
        <v>4681</v>
      </c>
      <c r="E69" t="s">
        <v>51</v>
      </c>
      <c r="F69" t="s">
        <v>4682</v>
      </c>
      <c r="G69" t="s">
        <v>4683</v>
      </c>
      <c r="I69" t="s">
        <v>51</v>
      </c>
      <c r="J69" t="str">
        <f t="shared" si="1"/>
        <v>»Relationships are Key« A Semantic Relationship Awareness Framework for Operational Technology Monitoring</v>
      </c>
    </row>
    <row r="70" spans="1:10">
      <c r="A70" t="s">
        <v>4684</v>
      </c>
      <c r="B70" t="s">
        <v>4685</v>
      </c>
      <c r="C70">
        <v>2024</v>
      </c>
      <c r="D70" t="s">
        <v>4686</v>
      </c>
      <c r="E70" t="s">
        <v>51</v>
      </c>
      <c r="F70" t="s">
        <v>4687</v>
      </c>
      <c r="G70" t="s">
        <v>4688</v>
      </c>
      <c r="H70">
        <v>1</v>
      </c>
      <c r="I70" t="s">
        <v>51</v>
      </c>
      <c r="J70" t="str">
        <f t="shared" si="1"/>
        <v>Advances in Metal Casting Technology: A Review of State of the Art, Challenges and Trends—Part II: Technologies New and Revived</v>
      </c>
    </row>
    <row r="71" spans="1:10">
      <c r="A71" t="s">
        <v>4689</v>
      </c>
      <c r="B71" t="s">
        <v>4690</v>
      </c>
      <c r="C71">
        <v>2021</v>
      </c>
      <c r="D71" t="s">
        <v>4691</v>
      </c>
      <c r="E71" t="s">
        <v>51</v>
      </c>
      <c r="F71" t="s">
        <v>4692</v>
      </c>
      <c r="G71" t="s">
        <v>4693</v>
      </c>
      <c r="H71">
        <v>6</v>
      </c>
      <c r="I71" t="s">
        <v>51</v>
      </c>
      <c r="J71" t="str">
        <f t="shared" si="1"/>
        <v>Towards a scalable implementation of digital twins - A generic method to acquire shopfloor data</v>
      </c>
    </row>
    <row r="72" spans="1:10">
      <c r="A72" t="s">
        <v>4694</v>
      </c>
      <c r="B72" t="s">
        <v>4695</v>
      </c>
      <c r="C72">
        <v>2019</v>
      </c>
      <c r="D72" t="s">
        <v>4696</v>
      </c>
      <c r="E72" t="s">
        <v>51</v>
      </c>
      <c r="F72" t="s">
        <v>4697</v>
      </c>
      <c r="G72" t="s">
        <v>4698</v>
      </c>
      <c r="H72">
        <v>29</v>
      </c>
      <c r="I72" t="s">
        <v>51</v>
      </c>
      <c r="J72" t="str">
        <f t="shared" si="1"/>
        <v>Automated industrial IoT‐device integration using the OpenPnP reference architecture</v>
      </c>
    </row>
    <row r="73" spans="1:10">
      <c r="A73" t="s">
        <v>4700</v>
      </c>
      <c r="B73" t="s">
        <v>4701</v>
      </c>
      <c r="C73">
        <v>2023</v>
      </c>
      <c r="D73" t="s">
        <v>4702</v>
      </c>
      <c r="E73" t="s">
        <v>51</v>
      </c>
      <c r="F73" t="s">
        <v>4703</v>
      </c>
      <c r="G73" t="s">
        <v>2402</v>
      </c>
      <c r="H73">
        <v>11</v>
      </c>
      <c r="I73" t="s">
        <v>51</v>
      </c>
      <c r="J73" t="str">
        <f t="shared" si="1"/>
        <v>Towards Automating Semantic Relationship Awareness in Operational Technology Monitoring</v>
      </c>
    </row>
    <row r="74" spans="1:10">
      <c r="A74" t="s">
        <v>4704</v>
      </c>
      <c r="B74" t="s">
        <v>4705</v>
      </c>
      <c r="C74">
        <v>2022</v>
      </c>
      <c r="D74" t="s">
        <v>4706</v>
      </c>
      <c r="E74" t="s">
        <v>51</v>
      </c>
      <c r="F74" t="s">
        <v>4707</v>
      </c>
      <c r="G74" t="s">
        <v>4708</v>
      </c>
      <c r="H74">
        <v>8</v>
      </c>
      <c r="I74" t="s">
        <v>51</v>
      </c>
      <c r="J74" t="str">
        <f t="shared" si="1"/>
        <v>Universal energy information model for industrial communication</v>
      </c>
    </row>
    <row r="75" spans="1:10">
      <c r="A75" t="s">
        <v>4709</v>
      </c>
      <c r="B75" t="s">
        <v>4710</v>
      </c>
      <c r="C75">
        <v>2022</v>
      </c>
      <c r="D75" t="s">
        <v>4711</v>
      </c>
      <c r="E75" t="s">
        <v>51</v>
      </c>
      <c r="F75" t="s">
        <v>4712</v>
      </c>
      <c r="G75" t="s">
        <v>4713</v>
      </c>
      <c r="H75">
        <v>6</v>
      </c>
      <c r="I75" t="s">
        <v>51</v>
      </c>
      <c r="J75" t="str">
        <f t="shared" si="1"/>
        <v>Novel Deep Packet Compression For Industrial Internet of Things</v>
      </c>
    </row>
    <row r="76" spans="1:10">
      <c r="A76" t="s">
        <v>4714</v>
      </c>
      <c r="B76" t="s">
        <v>4715</v>
      </c>
      <c r="C76">
        <v>2020</v>
      </c>
      <c r="D76" t="s">
        <v>4716</v>
      </c>
      <c r="E76" t="s">
        <v>51</v>
      </c>
      <c r="F76" t="s">
        <v>4717</v>
      </c>
      <c r="G76" t="s">
        <v>4718</v>
      </c>
      <c r="H76">
        <v>6</v>
      </c>
      <c r="I76" t="s">
        <v>51</v>
      </c>
      <c r="J76" t="str">
        <f t="shared" si="1"/>
        <v>Machine OEE Monitoring and Analysis for a Complex Manufacturing Environment</v>
      </c>
    </row>
    <row r="77" spans="1:10">
      <c r="A77" t="s">
        <v>4719</v>
      </c>
      <c r="B77" t="s">
        <v>4720</v>
      </c>
      <c r="C77">
        <v>2021</v>
      </c>
      <c r="D77" t="s">
        <v>4721</v>
      </c>
      <c r="E77" t="s">
        <v>51</v>
      </c>
      <c r="F77" t="s">
        <v>4722</v>
      </c>
      <c r="G77" t="s">
        <v>4723</v>
      </c>
      <c r="H77">
        <v>5</v>
      </c>
      <c r="I77" t="s">
        <v>51</v>
      </c>
      <c r="J77" t="str">
        <f t="shared" si="1"/>
        <v>Research the Traffic Characteristics of MQTT and DDS Protocols in Low-bandwidth Radio Networks</v>
      </c>
    </row>
    <row r="78" spans="1:10">
      <c r="A78" t="s">
        <v>4724</v>
      </c>
      <c r="B78" t="s">
        <v>4725</v>
      </c>
      <c r="C78">
        <v>2020</v>
      </c>
      <c r="D78" t="s">
        <v>2840</v>
      </c>
      <c r="E78" t="s">
        <v>51</v>
      </c>
      <c r="F78" t="s">
        <v>2402</v>
      </c>
      <c r="G78" t="s">
        <v>2402</v>
      </c>
      <c r="I78" t="s">
        <v>51</v>
      </c>
      <c r="J78" t="str">
        <f t="shared" si="1"/>
        <v>Andon System using Industrial IoT for Controlled Production Line by conventional PLC</v>
      </c>
    </row>
    <row r="79" spans="1:10">
      <c r="A79" t="s">
        <v>4726</v>
      </c>
      <c r="B79" t="s">
        <v>4727</v>
      </c>
      <c r="C79">
        <v>2024</v>
      </c>
      <c r="D79" t="s">
        <v>4728</v>
      </c>
      <c r="E79" t="s">
        <v>51</v>
      </c>
      <c r="F79" t="s">
        <v>4729</v>
      </c>
      <c r="G79" t="s">
        <v>2402</v>
      </c>
      <c r="H79">
        <v>16</v>
      </c>
      <c r="I79" t="s">
        <v>51</v>
      </c>
      <c r="J79" t="str">
        <f t="shared" si="1"/>
        <v>Cloud Continuum Digital Twins: Architectures of Solution, Open Technical Challenges, and Lessons Learned</v>
      </c>
    </row>
    <row r="80" spans="1:10">
      <c r="A80" t="s">
        <v>4730</v>
      </c>
      <c r="B80" t="s">
        <v>4731</v>
      </c>
      <c r="C80">
        <v>2024</v>
      </c>
      <c r="D80" t="s">
        <v>4732</v>
      </c>
      <c r="E80" t="s">
        <v>51</v>
      </c>
      <c r="F80" t="s">
        <v>4733</v>
      </c>
      <c r="G80" t="s">
        <v>4734</v>
      </c>
      <c r="H80">
        <v>1</v>
      </c>
      <c r="I80" t="s">
        <v>51</v>
      </c>
      <c r="J80" t="str">
        <f t="shared" si="1"/>
        <v>An Approach to Develop Digital Twins in Industry.</v>
      </c>
    </row>
    <row r="81" spans="1:10">
      <c r="A81" t="s">
        <v>4735</v>
      </c>
      <c r="B81" t="s">
        <v>4736</v>
      </c>
      <c r="C81">
        <v>2020</v>
      </c>
      <c r="D81" t="s">
        <v>4737</v>
      </c>
      <c r="E81" t="s">
        <v>51</v>
      </c>
      <c r="F81" t="s">
        <v>4738</v>
      </c>
      <c r="G81" t="s">
        <v>4739</v>
      </c>
      <c r="H81">
        <v>7</v>
      </c>
      <c r="I81" t="s">
        <v>51</v>
      </c>
      <c r="J81" t="str">
        <f t="shared" si="1"/>
        <v>Industry 4.0: examples of the use of the robotic arm for digital manufacturing processes</v>
      </c>
    </row>
    <row r="82" spans="1:10">
      <c r="A82" t="s">
        <v>4740</v>
      </c>
      <c r="B82" t="s">
        <v>4741</v>
      </c>
      <c r="C82">
        <v>2020</v>
      </c>
      <c r="D82" t="s">
        <v>4742</v>
      </c>
      <c r="E82" t="s">
        <v>51</v>
      </c>
      <c r="F82" t="s">
        <v>4743</v>
      </c>
      <c r="G82" t="s">
        <v>4744</v>
      </c>
      <c r="H82">
        <v>5</v>
      </c>
      <c r="I82" t="s">
        <v>51</v>
      </c>
      <c r="J82" t="str">
        <f t="shared" si="1"/>
        <v>ICSTCC - Rule-based extension through IoT for a robotized application</v>
      </c>
    </row>
    <row r="83" spans="1:10">
      <c r="A83" t="s">
        <v>4719</v>
      </c>
      <c r="B83" t="s">
        <v>4745</v>
      </c>
      <c r="C83">
        <v>2022</v>
      </c>
      <c r="D83" t="s">
        <v>4746</v>
      </c>
      <c r="E83" t="s">
        <v>51</v>
      </c>
      <c r="F83" t="s">
        <v>4747</v>
      </c>
      <c r="G83" t="s">
        <v>2402</v>
      </c>
      <c r="H83">
        <v>19</v>
      </c>
      <c r="I83" t="s">
        <v>51</v>
      </c>
      <c r="J83" t="str">
        <f t="shared" si="1"/>
        <v>Research of Automated Control Systems Development Based on "Publish-Subscribe" Technology Over Low-Bandwidth Radio Networks</v>
      </c>
    </row>
    <row r="84" spans="1:10">
      <c r="A84" t="s">
        <v>4748</v>
      </c>
      <c r="B84" t="s">
        <v>4749</v>
      </c>
      <c r="C84">
        <v>2023</v>
      </c>
      <c r="D84" t="s">
        <v>4750</v>
      </c>
      <c r="E84" t="s">
        <v>51</v>
      </c>
      <c r="F84" t="s">
        <v>4751</v>
      </c>
      <c r="G84" t="s">
        <v>4752</v>
      </c>
      <c r="H84">
        <v>1</v>
      </c>
      <c r="I84" t="s">
        <v>51</v>
      </c>
      <c r="J84" t="str">
        <f t="shared" si="1"/>
        <v>Assessing the Value of Multimodal Interfaces: A Study on Human-Machine Interaction in Weld Inspection Workstations.</v>
      </c>
    </row>
    <row r="85" spans="1:10">
      <c r="A85" t="s">
        <v>4753</v>
      </c>
      <c r="B85" t="s">
        <v>4754</v>
      </c>
      <c r="C85">
        <v>2020</v>
      </c>
      <c r="D85" t="s">
        <v>4755</v>
      </c>
      <c r="E85" t="s">
        <v>51</v>
      </c>
      <c r="F85" t="s">
        <v>4756</v>
      </c>
      <c r="G85" t="s">
        <v>4757</v>
      </c>
      <c r="H85">
        <v>4</v>
      </c>
      <c r="I85" t="s">
        <v>51</v>
      </c>
      <c r="J85" t="str">
        <f t="shared" si="1"/>
        <v>Standards für das Internet der Dinge: Heterogenität, Interoperabilität und Herausforderungen</v>
      </c>
    </row>
    <row r="86" spans="1:10">
      <c r="A86" t="s">
        <v>4759</v>
      </c>
      <c r="B86" t="s">
        <v>4760</v>
      </c>
      <c r="C86">
        <v>2022</v>
      </c>
      <c r="D86" t="s">
        <v>4761</v>
      </c>
      <c r="E86" t="s">
        <v>51</v>
      </c>
      <c r="F86" t="s">
        <v>4762</v>
      </c>
      <c r="G86" t="s">
        <v>4763</v>
      </c>
      <c r="H86">
        <v>5</v>
      </c>
      <c r="I86" t="s">
        <v>51</v>
      </c>
      <c r="J86" t="str">
        <f t="shared" si="1"/>
        <v>Supporting the Requirements-Based Selection of Suitable Communication Protocols in Smart Grids</v>
      </c>
    </row>
    <row r="87" spans="1:10">
      <c r="A87" t="s">
        <v>4764</v>
      </c>
      <c r="B87" t="s">
        <v>4765</v>
      </c>
      <c r="C87">
        <v>2025</v>
      </c>
      <c r="D87" t="s">
        <v>4766</v>
      </c>
      <c r="E87" t="s">
        <v>51</v>
      </c>
      <c r="F87" t="s">
        <v>4767</v>
      </c>
      <c r="G87" t="s">
        <v>4768</v>
      </c>
      <c r="H87">
        <v>1</v>
      </c>
      <c r="I87" t="s">
        <v>51</v>
      </c>
      <c r="J87" t="str">
        <f t="shared" si="1"/>
        <v>Integrating Digital Twin Software Solutions with Collaborative Industrial Systems: A Comprehensive Review for Operational Efficiency</v>
      </c>
    </row>
    <row r="88" spans="1:10">
      <c r="A88" t="s">
        <v>4769</v>
      </c>
      <c r="B88" t="s">
        <v>4770</v>
      </c>
      <c r="C88">
        <v>2023</v>
      </c>
      <c r="D88" t="s">
        <v>4771</v>
      </c>
      <c r="E88" t="s">
        <v>51</v>
      </c>
      <c r="F88" t="s">
        <v>4772</v>
      </c>
      <c r="G88" t="s">
        <v>4773</v>
      </c>
      <c r="H88">
        <v>7</v>
      </c>
      <c r="I88" t="s">
        <v>51</v>
      </c>
      <c r="J88" t="str">
        <f t="shared" si="1"/>
        <v>Ontology-Based Service Composition for Interoperable and Modular Medical Devices</v>
      </c>
    </row>
    <row r="89" spans="1:10">
      <c r="A89" t="s">
        <v>4774</v>
      </c>
      <c r="B89" t="s">
        <v>4775</v>
      </c>
      <c r="C89">
        <v>2024</v>
      </c>
      <c r="D89" t="s">
        <v>4776</v>
      </c>
      <c r="E89" t="s">
        <v>51</v>
      </c>
      <c r="F89" t="s">
        <v>4777</v>
      </c>
      <c r="G89" t="s">
        <v>2402</v>
      </c>
      <c r="H89">
        <v>5</v>
      </c>
      <c r="I89" t="s">
        <v>51</v>
      </c>
      <c r="J89" t="str">
        <f t="shared" si="1"/>
        <v>Broker-Less OPC UA PubSub Communication Model Performance Analysis</v>
      </c>
    </row>
    <row r="90" spans="1:10">
      <c r="A90" t="s">
        <v>4778</v>
      </c>
      <c r="B90" t="s">
        <v>4779</v>
      </c>
      <c r="C90">
        <v>2022</v>
      </c>
      <c r="D90" t="s">
        <v>4780</v>
      </c>
      <c r="E90" t="s">
        <v>51</v>
      </c>
      <c r="F90" t="s">
        <v>4781</v>
      </c>
      <c r="G90" t="s">
        <v>4782</v>
      </c>
      <c r="H90">
        <v>26</v>
      </c>
      <c r="I90" t="s">
        <v>51</v>
      </c>
      <c r="J90" t="str">
        <f t="shared" si="1"/>
        <v>Hardware Acceleration of Data Distribution Service (DDS) for Automotive Communication and Computing</v>
      </c>
    </row>
    <row r="91" spans="1:10">
      <c r="A91" t="s">
        <v>4783</v>
      </c>
      <c r="B91" t="s">
        <v>4784</v>
      </c>
      <c r="C91">
        <v>2023</v>
      </c>
      <c r="D91" t="s">
        <v>4785</v>
      </c>
      <c r="E91" t="s">
        <v>51</v>
      </c>
      <c r="F91" t="s">
        <v>4786</v>
      </c>
      <c r="G91" t="s">
        <v>2402</v>
      </c>
      <c r="H91">
        <v>12</v>
      </c>
      <c r="I91" t="s">
        <v>51</v>
      </c>
      <c r="J91" t="str">
        <f t="shared" si="1"/>
        <v>Sustainable Utilization of Industrial Robotic Systems by Facilitating Programming Through a Human and Process Centred Declarative Approach</v>
      </c>
    </row>
    <row r="92" spans="1:10">
      <c r="A92" t="s">
        <v>4789</v>
      </c>
      <c r="B92" t="s">
        <v>4790</v>
      </c>
      <c r="C92">
        <v>2021</v>
      </c>
      <c r="D92" t="s">
        <v>4791</v>
      </c>
      <c r="E92" t="s">
        <v>51</v>
      </c>
      <c r="F92" t="s">
        <v>4792</v>
      </c>
      <c r="G92" t="s">
        <v>2402</v>
      </c>
      <c r="H92">
        <v>15</v>
      </c>
      <c r="I92" t="s">
        <v>51</v>
      </c>
      <c r="J92" t="str">
        <f t="shared" si="1"/>
        <v>SECS/GEMsec: A Mechanism for Detection and Prevention of Cyber-Attacks on SECS/GEM Communications in Industry 4.0 Landscape</v>
      </c>
    </row>
    <row r="93" spans="1:10">
      <c r="A93" t="s">
        <v>4793</v>
      </c>
      <c r="B93" t="s">
        <v>4794</v>
      </c>
      <c r="C93">
        <v>2020</v>
      </c>
      <c r="D93" t="s">
        <v>4795</v>
      </c>
      <c r="E93" t="s">
        <v>51</v>
      </c>
      <c r="F93" t="s">
        <v>4796</v>
      </c>
      <c r="G93" t="s">
        <v>4797</v>
      </c>
      <c r="H93">
        <v>6</v>
      </c>
      <c r="I93" t="s">
        <v>51</v>
      </c>
      <c r="J93" t="str">
        <f t="shared" si="1"/>
        <v>IoT Architecture for Interoperability and Monitoring of Industrial Nodes</v>
      </c>
    </row>
    <row r="94" spans="1:10">
      <c r="A94" t="s">
        <v>4798</v>
      </c>
      <c r="B94" t="s">
        <v>4799</v>
      </c>
      <c r="C94">
        <v>2024</v>
      </c>
      <c r="D94" t="s">
        <v>4800</v>
      </c>
      <c r="E94" t="s">
        <v>51</v>
      </c>
      <c r="F94" t="s">
        <v>4801</v>
      </c>
      <c r="G94" t="s">
        <v>2402</v>
      </c>
      <c r="H94">
        <v>32</v>
      </c>
      <c r="I94" t="s">
        <v>51</v>
      </c>
      <c r="J94" t="str">
        <f t="shared" si="1"/>
        <v>Konfigurierbare Arbeitsräume und Robotik als Basis der Automatisierung in der Vorfertigung des Bauwesens</v>
      </c>
    </row>
    <row r="95" spans="1:10">
      <c r="A95" t="s">
        <v>4802</v>
      </c>
      <c r="B95" t="s">
        <v>4803</v>
      </c>
      <c r="C95">
        <v>2021</v>
      </c>
      <c r="D95" t="s">
        <v>4804</v>
      </c>
      <c r="E95" t="s">
        <v>51</v>
      </c>
      <c r="F95" t="s">
        <v>4805</v>
      </c>
      <c r="G95" t="s">
        <v>2402</v>
      </c>
      <c r="I95" t="s">
        <v>51</v>
      </c>
      <c r="J95" t="str">
        <f t="shared" si="1"/>
        <v>Development of Industry 4.0 predictive maintenance architecture for broadcasting chain</v>
      </c>
    </row>
    <row r="96" spans="1:10">
      <c r="A96" t="s">
        <v>4806</v>
      </c>
      <c r="B96" t="s">
        <v>4807</v>
      </c>
      <c r="C96">
        <v>2020</v>
      </c>
      <c r="D96" t="s">
        <v>4808</v>
      </c>
      <c r="E96" t="s">
        <v>51</v>
      </c>
      <c r="F96" t="s">
        <v>4809</v>
      </c>
      <c r="G96" t="s">
        <v>4810</v>
      </c>
      <c r="I96" t="s">
        <v>51</v>
      </c>
      <c r="J96" t="str">
        <f t="shared" si="1"/>
        <v>Manufacturing big data ecosystem: A systematic literature review</v>
      </c>
    </row>
    <row r="97" spans="1:10">
      <c r="A97" t="s">
        <v>4811</v>
      </c>
      <c r="B97" t="s">
        <v>4812</v>
      </c>
      <c r="C97">
        <v>2020</v>
      </c>
      <c r="D97" t="s">
        <v>4813</v>
      </c>
      <c r="E97" t="s">
        <v>51</v>
      </c>
      <c r="F97" t="s">
        <v>4814</v>
      </c>
      <c r="G97" t="s">
        <v>4815</v>
      </c>
      <c r="I97" t="s">
        <v>51</v>
      </c>
      <c r="J97" t="str">
        <f t="shared" si="1"/>
        <v>A Comprehensive Review on IoT Protocols’ Features in Smart Grid Communication</v>
      </c>
    </row>
    <row r="98" spans="1:10">
      <c r="A98" t="s">
        <v>4816</v>
      </c>
      <c r="B98" t="s">
        <v>4817</v>
      </c>
      <c r="C98">
        <v>2024</v>
      </c>
      <c r="D98" t="s">
        <v>4818</v>
      </c>
      <c r="E98" t="s">
        <v>51</v>
      </c>
      <c r="F98" t="s">
        <v>4819</v>
      </c>
      <c r="G98" t="s">
        <v>2402</v>
      </c>
      <c r="H98">
        <v>14</v>
      </c>
      <c r="I98" t="s">
        <v>51</v>
      </c>
      <c r="J98" t="str">
        <f t="shared" si="1"/>
        <v>VAIDS: A Hybrid Deep Learning Model to Detect Intrusions in MQTT Protocol Enabled Networks</v>
      </c>
    </row>
    <row r="99" spans="1:10">
      <c r="A99" t="s">
        <v>4820</v>
      </c>
      <c r="B99" t="s">
        <v>4821</v>
      </c>
      <c r="C99">
        <v>2020</v>
      </c>
      <c r="D99" t="s">
        <v>4822</v>
      </c>
      <c r="E99" t="s">
        <v>51</v>
      </c>
      <c r="F99" t="s">
        <v>4823</v>
      </c>
      <c r="G99" t="s">
        <v>4824</v>
      </c>
      <c r="H99">
        <v>8</v>
      </c>
      <c r="I99" t="s">
        <v>51</v>
      </c>
      <c r="J99" t="str">
        <f t="shared" si="1"/>
        <v>ETFA - Hybrid OPC UA: Enabling Post-Quantum Security for the Industrial Internet of Things</v>
      </c>
    </row>
    <row r="100" spans="1:10">
      <c r="A100" t="s">
        <v>4825</v>
      </c>
      <c r="B100" t="s">
        <v>4826</v>
      </c>
      <c r="C100">
        <v>2025</v>
      </c>
      <c r="D100" t="s">
        <v>4827</v>
      </c>
      <c r="E100" t="s">
        <v>51</v>
      </c>
      <c r="F100" t="s">
        <v>4828</v>
      </c>
      <c r="G100" t="s">
        <v>2402</v>
      </c>
      <c r="H100">
        <v>18</v>
      </c>
      <c r="I100" t="s">
        <v>51</v>
      </c>
      <c r="J100" t="str">
        <f t="shared" si="1"/>
        <v>Voraussagende Instandhaltung an einer Kaltumformpresse auf Basis eines nachgerüsteten Zustandsüberwachungskonzepts</v>
      </c>
    </row>
    <row r="101" spans="1:10">
      <c r="A101" t="s">
        <v>4829</v>
      </c>
      <c r="B101" t="s">
        <v>4830</v>
      </c>
      <c r="C101">
        <v>2023</v>
      </c>
      <c r="D101" t="s">
        <v>4831</v>
      </c>
      <c r="E101" t="s">
        <v>51</v>
      </c>
      <c r="F101" t="s">
        <v>4832</v>
      </c>
      <c r="G101" t="s">
        <v>4833</v>
      </c>
      <c r="H101">
        <v>8</v>
      </c>
      <c r="I101" t="s">
        <v>51</v>
      </c>
      <c r="J101" t="str">
        <f t="shared" ref="J101:J147" si="2">HYPERLINK($D101,$B101)</f>
        <v>SOLA: A Decentralized Communication Middleware Developed with ns-3</v>
      </c>
    </row>
    <row r="102" spans="1:10">
      <c r="A102" t="s">
        <v>4834</v>
      </c>
      <c r="B102" t="s">
        <v>4835</v>
      </c>
      <c r="C102">
        <v>2025</v>
      </c>
      <c r="D102" t="s">
        <v>4836</v>
      </c>
      <c r="E102" t="s">
        <v>51</v>
      </c>
      <c r="F102" t="s">
        <v>4837</v>
      </c>
      <c r="G102" t="s">
        <v>2402</v>
      </c>
      <c r="H102">
        <v>6</v>
      </c>
      <c r="I102" t="s">
        <v>51</v>
      </c>
      <c r="J102" t="str">
        <f t="shared" si="2"/>
        <v>Real-Time Performance Evaluation of Containerized Virtual PLCs: A Comparative Study of Docker and Podman for Industrial Automation</v>
      </c>
    </row>
    <row r="103" spans="1:10">
      <c r="A103" t="s">
        <v>4838</v>
      </c>
      <c r="B103" t="s">
        <v>4839</v>
      </c>
      <c r="C103">
        <v>2022</v>
      </c>
      <c r="D103" t="s">
        <v>4840</v>
      </c>
      <c r="E103" t="s">
        <v>51</v>
      </c>
      <c r="F103" t="s">
        <v>4841</v>
      </c>
      <c r="G103" t="s">
        <v>4842</v>
      </c>
      <c r="H103">
        <v>1</v>
      </c>
      <c r="I103" t="s">
        <v>51</v>
      </c>
      <c r="J103" t="str">
        <f t="shared" si="2"/>
        <v>Toward a Practical Digital Twin Platform Tailored to the Requirements of Industrial Energy Systems</v>
      </c>
    </row>
    <row r="104" spans="1:10">
      <c r="A104" t="s">
        <v>4845</v>
      </c>
      <c r="B104" t="s">
        <v>4846</v>
      </c>
      <c r="C104">
        <v>2022</v>
      </c>
      <c r="D104" t="s">
        <v>4847</v>
      </c>
      <c r="E104" t="s">
        <v>51</v>
      </c>
      <c r="F104" t="s">
        <v>4848</v>
      </c>
      <c r="G104" t="s">
        <v>4849</v>
      </c>
      <c r="H104">
        <v>17</v>
      </c>
      <c r="I104" t="s">
        <v>51</v>
      </c>
      <c r="J104" t="str">
        <f t="shared" si="2"/>
        <v>Predictive Maintenance Model for IIoT-Based Manufacturing: A Transferable Deep Reinforcement Learning Approach</v>
      </c>
    </row>
    <row r="105" spans="1:10">
      <c r="A105" t="s">
        <v>4850</v>
      </c>
      <c r="B105" t="s">
        <v>4851</v>
      </c>
      <c r="C105">
        <v>2023</v>
      </c>
      <c r="D105" t="s">
        <v>4852</v>
      </c>
      <c r="E105" t="s">
        <v>51</v>
      </c>
      <c r="F105" t="s">
        <v>4853</v>
      </c>
      <c r="G105" t="s">
        <v>4854</v>
      </c>
      <c r="H105">
        <v>1</v>
      </c>
      <c r="I105" t="s">
        <v>51</v>
      </c>
      <c r="J105" t="str">
        <f t="shared" si="2"/>
        <v>Research on Teleoperated Virtual Reality Human-Robot Five-Dimensional Collaboration System.</v>
      </c>
    </row>
    <row r="106" spans="1:10">
      <c r="A106" t="s">
        <v>4855</v>
      </c>
      <c r="B106" t="s">
        <v>4856</v>
      </c>
      <c r="C106">
        <v>2021</v>
      </c>
      <c r="D106" t="s">
        <v>4857</v>
      </c>
      <c r="E106" t="s">
        <v>51</v>
      </c>
      <c r="F106" t="s">
        <v>4858</v>
      </c>
      <c r="G106" t="s">
        <v>2402</v>
      </c>
      <c r="H106">
        <v>4</v>
      </c>
      <c r="I106" t="s">
        <v>51</v>
      </c>
      <c r="J106" t="str">
        <f t="shared" si="2"/>
        <v>Requirements for an energy data information model for a communication-independent device description</v>
      </c>
    </row>
    <row r="107" spans="1:10">
      <c r="A107" t="s">
        <v>4859</v>
      </c>
      <c r="B107" t="s">
        <v>4860</v>
      </c>
      <c r="C107">
        <v>2020</v>
      </c>
      <c r="D107" t="s">
        <v>4861</v>
      </c>
      <c r="E107" t="s">
        <v>51</v>
      </c>
      <c r="F107" t="s">
        <v>4862</v>
      </c>
      <c r="G107" t="s">
        <v>4863</v>
      </c>
      <c r="H107">
        <v>5</v>
      </c>
      <c r="I107" t="s">
        <v>51</v>
      </c>
      <c r="J107" t="str">
        <f t="shared" si="2"/>
        <v>Cyber-physical twins - definition, conception and benefit</v>
      </c>
    </row>
    <row r="108" spans="1:10">
      <c r="A108" t="s">
        <v>4864</v>
      </c>
      <c r="B108" t="s">
        <v>4865</v>
      </c>
      <c r="C108">
        <v>2019</v>
      </c>
      <c r="D108" t="s">
        <v>4866</v>
      </c>
      <c r="E108" t="s">
        <v>51</v>
      </c>
      <c r="F108" t="s">
        <v>4867</v>
      </c>
      <c r="G108" t="s">
        <v>4868</v>
      </c>
      <c r="H108">
        <v>8</v>
      </c>
      <c r="I108" t="s">
        <v>51</v>
      </c>
      <c r="J108" t="str">
        <f t="shared" si="2"/>
        <v>ETFA - A Hardware-Agnostic OPC UA Skill Model for Robot Manipulators and Tools</v>
      </c>
    </row>
    <row r="109" spans="1:10">
      <c r="A109" t="s">
        <v>4869</v>
      </c>
      <c r="B109" t="s">
        <v>4870</v>
      </c>
      <c r="C109">
        <v>2022</v>
      </c>
      <c r="D109" t="s">
        <v>4871</v>
      </c>
      <c r="E109" t="s">
        <v>51</v>
      </c>
      <c r="F109" t="s">
        <v>4872</v>
      </c>
      <c r="G109" t="s">
        <v>4873</v>
      </c>
      <c r="H109">
        <v>6</v>
      </c>
      <c r="I109" t="s">
        <v>51</v>
      </c>
      <c r="J109" t="str">
        <f t="shared" si="2"/>
        <v>End-to-End Encryption for Securing Communications in Industry 4.0</v>
      </c>
    </row>
    <row r="110" spans="1:10">
      <c r="A110" t="s">
        <v>4874</v>
      </c>
      <c r="B110" t="s">
        <v>4875</v>
      </c>
      <c r="C110">
        <v>2019</v>
      </c>
      <c r="D110" t="s">
        <v>4876</v>
      </c>
      <c r="E110" t="s">
        <v>51</v>
      </c>
      <c r="F110" t="s">
        <v>4877</v>
      </c>
      <c r="G110" t="s">
        <v>4878</v>
      </c>
      <c r="H110">
        <v>10</v>
      </c>
      <c r="I110" t="s">
        <v>51</v>
      </c>
      <c r="J110" t="str">
        <f t="shared" si="2"/>
        <v>ICCCI (2) - Quality of Service in Real-Time OPC UA Applications</v>
      </c>
    </row>
    <row r="111" spans="1:10">
      <c r="A111" t="s">
        <v>4879</v>
      </c>
      <c r="B111" t="s">
        <v>4880</v>
      </c>
      <c r="C111">
        <v>2023</v>
      </c>
      <c r="D111" t="s">
        <v>4881</v>
      </c>
      <c r="E111" t="s">
        <v>51</v>
      </c>
      <c r="F111" t="s">
        <v>4882</v>
      </c>
      <c r="G111" t="s">
        <v>4883</v>
      </c>
      <c r="H111">
        <v>5</v>
      </c>
      <c r="I111" t="s">
        <v>51</v>
      </c>
      <c r="J111" t="str">
        <f t="shared" si="2"/>
        <v>Performance Evaluation of OPC UA and MQTT for ETAT Smart Lab (ESL)</v>
      </c>
    </row>
    <row r="112" spans="1:10">
      <c r="A112" t="s">
        <v>4885</v>
      </c>
      <c r="B112" t="s">
        <v>4886</v>
      </c>
      <c r="C112">
        <v>2021</v>
      </c>
      <c r="D112" t="s">
        <v>4887</v>
      </c>
      <c r="E112" t="s">
        <v>51</v>
      </c>
      <c r="F112" t="s">
        <v>4888</v>
      </c>
      <c r="G112" t="s">
        <v>4889</v>
      </c>
      <c r="H112">
        <v>11</v>
      </c>
      <c r="I112" t="s">
        <v>51</v>
      </c>
      <c r="J112" t="str">
        <f t="shared" si="2"/>
        <v>A Human-Centered Assembly Workplace For Industry: Challenges and Lessons Learned</v>
      </c>
    </row>
    <row r="113" spans="1:10">
      <c r="A113" t="s">
        <v>4890</v>
      </c>
      <c r="B113" t="s">
        <v>4891</v>
      </c>
      <c r="C113">
        <v>2019</v>
      </c>
      <c r="D113" t="s">
        <v>4892</v>
      </c>
      <c r="E113" t="s">
        <v>51</v>
      </c>
      <c r="F113" t="s">
        <v>4893</v>
      </c>
      <c r="G113" t="s">
        <v>4894</v>
      </c>
      <c r="H113">
        <v>7</v>
      </c>
      <c r="I113" t="s">
        <v>51</v>
      </c>
      <c r="J113" t="str">
        <f t="shared" si="2"/>
        <v>ETFA - Control components for Collaborative and Intelligent Automation Systems</v>
      </c>
    </row>
    <row r="114" spans="1:10">
      <c r="A114" t="s">
        <v>4898</v>
      </c>
      <c r="B114" t="s">
        <v>4899</v>
      </c>
      <c r="C114">
        <v>2021</v>
      </c>
      <c r="D114" t="s">
        <v>4900</v>
      </c>
      <c r="E114" t="s">
        <v>51</v>
      </c>
      <c r="F114" t="s">
        <v>4901</v>
      </c>
      <c r="G114" t="s">
        <v>4902</v>
      </c>
      <c r="H114">
        <v>4</v>
      </c>
      <c r="I114" t="s">
        <v>51</v>
      </c>
      <c r="J114" t="str">
        <f t="shared" si="2"/>
        <v>A semi-decentralized control architecture for high-mix-low-volume factories in Industry 4.0</v>
      </c>
    </row>
    <row r="115" spans="1:10">
      <c r="A115" t="s">
        <v>4903</v>
      </c>
      <c r="B115" t="s">
        <v>4904</v>
      </c>
      <c r="C115">
        <v>2022</v>
      </c>
      <c r="D115" t="s">
        <v>4905</v>
      </c>
      <c r="E115" t="s">
        <v>51</v>
      </c>
      <c r="F115" t="s">
        <v>4906</v>
      </c>
      <c r="G115" t="s">
        <v>4907</v>
      </c>
      <c r="H115">
        <v>5</v>
      </c>
      <c r="I115" t="s">
        <v>51</v>
      </c>
      <c r="J115" t="str">
        <f t="shared" si="2"/>
        <v>Frame analysis based real time related indicators measurement of industrial ethernet Powerlink</v>
      </c>
    </row>
    <row r="116" spans="1:10">
      <c r="A116" t="s">
        <v>4908</v>
      </c>
      <c r="B116" t="s">
        <v>4909</v>
      </c>
      <c r="C116">
        <v>2024</v>
      </c>
      <c r="D116" t="s">
        <v>4910</v>
      </c>
      <c r="E116" t="s">
        <v>51</v>
      </c>
      <c r="F116" t="s">
        <v>4911</v>
      </c>
      <c r="G116" t="s">
        <v>2402</v>
      </c>
      <c r="H116">
        <v>11</v>
      </c>
      <c r="I116" t="s">
        <v>51</v>
      </c>
      <c r="J116" t="str">
        <f t="shared" si="2"/>
        <v>OPC-UA in Digital Twins—A Performance Comparative Analysis</v>
      </c>
    </row>
    <row r="117" spans="1:10">
      <c r="A117" t="s">
        <v>4912</v>
      </c>
      <c r="B117" t="s">
        <v>4913</v>
      </c>
      <c r="C117">
        <v>2024</v>
      </c>
      <c r="D117" t="s">
        <v>4914</v>
      </c>
      <c r="E117" t="s">
        <v>51</v>
      </c>
      <c r="F117" t="s">
        <v>4915</v>
      </c>
      <c r="G117" t="s">
        <v>2402</v>
      </c>
      <c r="H117">
        <v>6</v>
      </c>
      <c r="I117" t="s">
        <v>51</v>
      </c>
      <c r="J117" t="str">
        <f t="shared" si="2"/>
        <v>Systems of Digital Twins and Physical Systems: Interoperability, Decentralization, and Mobility in Robotic Applications</v>
      </c>
    </row>
    <row r="118" spans="1:10">
      <c r="A118" t="s">
        <v>4916</v>
      </c>
      <c r="B118" t="s">
        <v>4917</v>
      </c>
      <c r="C118">
        <v>2024</v>
      </c>
      <c r="D118" t="s">
        <v>4918</v>
      </c>
      <c r="E118" t="s">
        <v>51</v>
      </c>
      <c r="F118" t="s">
        <v>4919</v>
      </c>
      <c r="G118" t="s">
        <v>2402</v>
      </c>
      <c r="H118">
        <v>8</v>
      </c>
      <c r="I118" t="s">
        <v>51</v>
      </c>
      <c r="J118" t="str">
        <f t="shared" si="2"/>
        <v>Image and Command Transmission Over the 5G Network for Teleoperation of Mobile Robots</v>
      </c>
    </row>
    <row r="119" spans="1:10">
      <c r="A119" t="s">
        <v>4920</v>
      </c>
      <c r="B119" t="s">
        <v>4921</v>
      </c>
      <c r="C119">
        <v>2023</v>
      </c>
      <c r="D119" t="s">
        <v>4922</v>
      </c>
      <c r="E119" t="s">
        <v>51</v>
      </c>
      <c r="F119" t="s">
        <v>4923</v>
      </c>
      <c r="G119" t="s">
        <v>4924</v>
      </c>
      <c r="H119">
        <v>5</v>
      </c>
      <c r="I119" t="s">
        <v>51</v>
      </c>
      <c r="J119" t="str">
        <f t="shared" si="2"/>
        <v>A Study of Java Microbenchmark Tail Latencies</v>
      </c>
    </row>
    <row r="120" spans="1:10">
      <c r="A120" t="s">
        <v>4925</v>
      </c>
      <c r="B120" t="s">
        <v>4926</v>
      </c>
      <c r="C120">
        <v>2024</v>
      </c>
      <c r="D120" t="s">
        <v>4927</v>
      </c>
      <c r="E120" t="s">
        <v>51</v>
      </c>
      <c r="F120" t="s">
        <v>4928</v>
      </c>
      <c r="G120" t="s">
        <v>4929</v>
      </c>
      <c r="H120">
        <v>11</v>
      </c>
      <c r="I120" t="s">
        <v>51</v>
      </c>
      <c r="J120" t="str">
        <f t="shared" si="2"/>
        <v>Adopting User-Space Networking for DDS Message-Oriented Middleware</v>
      </c>
    </row>
    <row r="121" spans="1:10">
      <c r="A121" t="s">
        <v>4931</v>
      </c>
      <c r="B121" t="s">
        <v>4932</v>
      </c>
      <c r="C121">
        <v>2021</v>
      </c>
      <c r="D121" t="s">
        <v>4933</v>
      </c>
      <c r="E121" t="s">
        <v>51</v>
      </c>
      <c r="F121" t="s">
        <v>4934</v>
      </c>
      <c r="G121" t="s">
        <v>4935</v>
      </c>
      <c r="H121">
        <v>13</v>
      </c>
      <c r="I121" t="s">
        <v>51</v>
      </c>
      <c r="J121" t="str">
        <f t="shared" si="2"/>
        <v>WEA - Maintenance Management of an Additive Manufacturing System Based on the I4.0 Model.</v>
      </c>
    </row>
    <row r="122" spans="1:10">
      <c r="A122" t="s">
        <v>4937</v>
      </c>
      <c r="B122" t="s">
        <v>4938</v>
      </c>
      <c r="C122">
        <v>2024</v>
      </c>
      <c r="D122" t="s">
        <v>4939</v>
      </c>
      <c r="E122" t="s">
        <v>51</v>
      </c>
      <c r="F122" t="s">
        <v>4940</v>
      </c>
      <c r="G122" t="s">
        <v>2402</v>
      </c>
      <c r="H122">
        <v>21</v>
      </c>
      <c r="I122" t="s">
        <v>51</v>
      </c>
      <c r="J122" t="str">
        <f t="shared" si="2"/>
        <v>Evaluation of an OPC UA-Based Access Control Enforcement Architecture</v>
      </c>
    </row>
    <row r="123" spans="1:10">
      <c r="A123" t="s">
        <v>4941</v>
      </c>
      <c r="B123" t="s">
        <v>4942</v>
      </c>
      <c r="C123">
        <v>2024</v>
      </c>
      <c r="D123" t="s">
        <v>4943</v>
      </c>
      <c r="E123" t="s">
        <v>51</v>
      </c>
      <c r="F123" t="s">
        <v>4944</v>
      </c>
      <c r="G123" t="s">
        <v>2402</v>
      </c>
      <c r="H123">
        <v>6</v>
      </c>
      <c r="I123" t="s">
        <v>51</v>
      </c>
      <c r="J123" t="str">
        <f t="shared" si="2"/>
        <v>A novel testbed for evaluating ROS 2 robot swarm wireless communications</v>
      </c>
    </row>
    <row r="124" spans="1:10">
      <c r="A124" t="s">
        <v>4945</v>
      </c>
      <c r="B124" t="s">
        <v>4946</v>
      </c>
      <c r="C124">
        <v>2025</v>
      </c>
      <c r="D124" t="s">
        <v>4947</v>
      </c>
      <c r="E124" t="s">
        <v>51</v>
      </c>
      <c r="F124" t="s">
        <v>4948</v>
      </c>
      <c r="G124" t="s">
        <v>2402</v>
      </c>
      <c r="H124">
        <v>19</v>
      </c>
      <c r="I124" t="s">
        <v>51</v>
      </c>
      <c r="J124" t="str">
        <f t="shared" si="2"/>
        <v>Generation of Critical Information and Sharing Mechanism for Multi-Robot Mission Success</v>
      </c>
    </row>
    <row r="125" spans="1:10">
      <c r="A125" t="s">
        <v>4950</v>
      </c>
      <c r="B125" t="s">
        <v>4951</v>
      </c>
      <c r="C125">
        <v>2021</v>
      </c>
      <c r="D125" t="s">
        <v>4952</v>
      </c>
      <c r="E125" t="s">
        <v>51</v>
      </c>
      <c r="F125" t="s">
        <v>4953</v>
      </c>
      <c r="G125" t="s">
        <v>4954</v>
      </c>
      <c r="H125">
        <v>13</v>
      </c>
      <c r="I125" t="s">
        <v>51</v>
      </c>
      <c r="J125" t="str">
        <f t="shared" si="2"/>
        <v>Performance Testing for Cloud Computing with Dependent Data Bootstrapping</v>
      </c>
    </row>
    <row r="126" spans="1:10">
      <c r="A126" t="s">
        <v>4955</v>
      </c>
      <c r="B126" t="s">
        <v>4956</v>
      </c>
      <c r="C126">
        <v>2021</v>
      </c>
      <c r="D126" t="s">
        <v>4957</v>
      </c>
      <c r="E126" t="s">
        <v>51</v>
      </c>
      <c r="F126" t="s">
        <v>4958</v>
      </c>
      <c r="G126" t="s">
        <v>4959</v>
      </c>
      <c r="H126">
        <v>14</v>
      </c>
      <c r="I126" t="s">
        <v>51</v>
      </c>
      <c r="J126" t="str">
        <f t="shared" si="2"/>
        <v>HPCA - Eudoxus: Characterizing and Accelerating Localization in Autonomous Machines Industry Track Paper</v>
      </c>
    </row>
    <row r="127" spans="1:10">
      <c r="A127" t="s">
        <v>4960</v>
      </c>
      <c r="B127" t="s">
        <v>4961</v>
      </c>
      <c r="C127">
        <v>2020</v>
      </c>
      <c r="D127" t="s">
        <v>4962</v>
      </c>
      <c r="E127" t="s">
        <v>51</v>
      </c>
      <c r="F127" t="s">
        <v>4963</v>
      </c>
      <c r="G127" t="s">
        <v>4964</v>
      </c>
      <c r="H127">
        <v>13</v>
      </c>
      <c r="I127" t="s">
        <v>51</v>
      </c>
      <c r="J127" t="str">
        <f t="shared" si="2"/>
        <v>Industrial Communication Based on MQTT and Modbus Communication Applied in a Meteorological Network</v>
      </c>
    </row>
    <row r="128" spans="1:10">
      <c r="A128" t="s">
        <v>4965</v>
      </c>
      <c r="B128" t="s">
        <v>4966</v>
      </c>
      <c r="C128">
        <v>2021</v>
      </c>
      <c r="D128" t="s">
        <v>4967</v>
      </c>
      <c r="E128" t="s">
        <v>51</v>
      </c>
      <c r="F128" t="s">
        <v>4968</v>
      </c>
      <c r="G128" t="s">
        <v>4969</v>
      </c>
      <c r="I128" t="s">
        <v>51</v>
      </c>
      <c r="J128" t="str">
        <f t="shared" si="2"/>
        <v>A Reliability Assessment of an Industrial Communication Protocol on a Windows OS Embedded PC for an Oil Rig Control Application</v>
      </c>
    </row>
    <row r="129" spans="1:10">
      <c r="A129" t="s">
        <v>4970</v>
      </c>
      <c r="B129" t="s">
        <v>4971</v>
      </c>
      <c r="C129">
        <v>2022</v>
      </c>
      <c r="D129" t="s">
        <v>4972</v>
      </c>
      <c r="E129" t="s">
        <v>51</v>
      </c>
      <c r="F129" t="s">
        <v>4973</v>
      </c>
      <c r="G129" t="s">
        <v>4974</v>
      </c>
      <c r="H129">
        <v>6</v>
      </c>
      <c r="I129" t="s">
        <v>51</v>
      </c>
      <c r="J129" t="str">
        <f t="shared" si="2"/>
        <v>ROS2-based Small-Scale Development Platform for CCAM Research Demonstrators</v>
      </c>
    </row>
    <row r="130" spans="1:10">
      <c r="A130" t="s">
        <v>4975</v>
      </c>
      <c r="B130" t="s">
        <v>4976</v>
      </c>
      <c r="C130">
        <v>2022</v>
      </c>
      <c r="D130" t="s">
        <v>4977</v>
      </c>
      <c r="E130" t="s">
        <v>51</v>
      </c>
      <c r="F130" t="s">
        <v>4978</v>
      </c>
      <c r="G130" t="s">
        <v>4979</v>
      </c>
      <c r="H130">
        <v>6</v>
      </c>
      <c r="I130" t="s">
        <v>51</v>
      </c>
      <c r="J130" t="str">
        <f t="shared" si="2"/>
        <v>Advanced Analytics as a Service in Smart Factories</v>
      </c>
    </row>
    <row r="131" spans="1:10">
      <c r="A131" t="s">
        <v>4980</v>
      </c>
      <c r="B131" t="s">
        <v>4981</v>
      </c>
      <c r="C131">
        <v>2021</v>
      </c>
      <c r="D131" t="s">
        <v>4982</v>
      </c>
      <c r="E131" t="s">
        <v>51</v>
      </c>
      <c r="F131" t="s">
        <v>4983</v>
      </c>
      <c r="G131" t="s">
        <v>2402</v>
      </c>
      <c r="H131">
        <v>4</v>
      </c>
      <c r="I131" t="s">
        <v>51</v>
      </c>
      <c r="J131" t="str">
        <f t="shared" si="2"/>
        <v>Developing a Real-time OPC UA based Aggregated Monitoring System for Small-scale Distributed Energy Resources among Microgrids</v>
      </c>
    </row>
    <row r="132" spans="1:10">
      <c r="A132" t="s">
        <v>4420</v>
      </c>
      <c r="B132" t="s">
        <v>4984</v>
      </c>
      <c r="C132">
        <v>2021</v>
      </c>
      <c r="D132" t="s">
        <v>2840</v>
      </c>
      <c r="E132" t="s">
        <v>51</v>
      </c>
      <c r="F132" t="s">
        <v>2402</v>
      </c>
      <c r="G132" t="s">
        <v>2402</v>
      </c>
      <c r="H132">
        <v>31</v>
      </c>
      <c r="I132" t="s">
        <v>51</v>
      </c>
      <c r="J132" t="str">
        <f t="shared" si="2"/>
        <v>Towards post-quantum security for cyber-physical systems: Integrating PQC into industrial M2M communication1</v>
      </c>
    </row>
    <row r="133" spans="1:10">
      <c r="A133" t="s">
        <v>4986</v>
      </c>
      <c r="B133" t="s">
        <v>4987</v>
      </c>
      <c r="C133">
        <v>2020</v>
      </c>
      <c r="D133" t="s">
        <v>4988</v>
      </c>
      <c r="E133" t="s">
        <v>51</v>
      </c>
      <c r="F133" t="s">
        <v>4989</v>
      </c>
      <c r="G133" t="s">
        <v>4990</v>
      </c>
      <c r="H133">
        <v>6</v>
      </c>
      <c r="I133" t="s">
        <v>51</v>
      </c>
      <c r="J133" t="str">
        <f t="shared" si="2"/>
        <v>A Study of Publish/Subscribe Middleware Under Different IoT Traffic Conditions</v>
      </c>
    </row>
    <row r="134" spans="1:10">
      <c r="A134" t="s">
        <v>4991</v>
      </c>
      <c r="B134" t="s">
        <v>4992</v>
      </c>
      <c r="C134">
        <v>2022</v>
      </c>
      <c r="D134" t="s">
        <v>4993</v>
      </c>
      <c r="E134" t="s">
        <v>51</v>
      </c>
      <c r="F134" t="s">
        <v>4994</v>
      </c>
      <c r="G134" t="s">
        <v>4995</v>
      </c>
      <c r="H134">
        <v>1</v>
      </c>
      <c r="I134" t="s">
        <v>51</v>
      </c>
      <c r="J134" t="str">
        <f t="shared" si="2"/>
        <v>Automotive IoT Ethernet-Based Communication Technologies Applied in a V2X Context via a Multi-Protocol Gateway.</v>
      </c>
    </row>
    <row r="135" spans="1:10">
      <c r="A135" t="s">
        <v>4997</v>
      </c>
      <c r="B135" t="s">
        <v>4998</v>
      </c>
      <c r="C135">
        <v>2023</v>
      </c>
      <c r="D135" t="s">
        <v>4999</v>
      </c>
      <c r="E135" t="s">
        <v>51</v>
      </c>
      <c r="F135" t="s">
        <v>5000</v>
      </c>
      <c r="G135" t="s">
        <v>5001</v>
      </c>
      <c r="H135">
        <v>8</v>
      </c>
      <c r="I135" t="s">
        <v>51</v>
      </c>
      <c r="J135" t="str">
        <f t="shared" si="2"/>
        <v>An Operational 5G Edge Cloud-Controlled Robotic Cell Environment Based on MQTT and OPC UA</v>
      </c>
    </row>
    <row r="136" spans="1:10">
      <c r="A136" t="s">
        <v>5002</v>
      </c>
      <c r="B136" t="s">
        <v>5003</v>
      </c>
      <c r="C136">
        <v>2024</v>
      </c>
      <c r="D136" t="s">
        <v>5004</v>
      </c>
      <c r="E136" t="s">
        <v>51</v>
      </c>
      <c r="F136" t="s">
        <v>5005</v>
      </c>
      <c r="G136" t="s">
        <v>2402</v>
      </c>
      <c r="H136">
        <v>7</v>
      </c>
      <c r="I136" t="s">
        <v>51</v>
      </c>
      <c r="J136" t="str">
        <f t="shared" si="2"/>
        <v>Unified Namespace and Asset Administration Shell: A Winning Combination for Digital Production</v>
      </c>
    </row>
    <row r="137" spans="1:10">
      <c r="A137" t="s">
        <v>5006</v>
      </c>
      <c r="B137" t="s">
        <v>5007</v>
      </c>
      <c r="C137">
        <v>2023</v>
      </c>
      <c r="D137" t="s">
        <v>5008</v>
      </c>
      <c r="E137" t="s">
        <v>51</v>
      </c>
      <c r="F137" t="s">
        <v>5009</v>
      </c>
      <c r="G137" t="s">
        <v>5010</v>
      </c>
      <c r="I137" t="s">
        <v>51</v>
      </c>
      <c r="J137" t="str">
        <f t="shared" si="2"/>
        <v>Computation offloading for ground robotic systems communicating over WiFi – an empirical exploration on performance and energy trade-offs</v>
      </c>
    </row>
    <row r="138" spans="1:10">
      <c r="A138" t="s">
        <v>5011</v>
      </c>
      <c r="B138" t="s">
        <v>5012</v>
      </c>
      <c r="C138">
        <v>2025</v>
      </c>
      <c r="D138" t="s">
        <v>5013</v>
      </c>
      <c r="E138" t="s">
        <v>51</v>
      </c>
      <c r="F138" t="s">
        <v>5014</v>
      </c>
      <c r="G138" t="s">
        <v>2402</v>
      </c>
      <c r="H138">
        <v>9</v>
      </c>
      <c r="I138" t="s">
        <v>51</v>
      </c>
      <c r="J138" t="str">
        <f t="shared" si="2"/>
        <v>A Grassroots Network and Community Roadmap for Interconnected Autonomous Science Laboratories for Accelerated Discovery</v>
      </c>
    </row>
    <row r="139" spans="1:10">
      <c r="A139" t="s">
        <v>5016</v>
      </c>
      <c r="B139" t="s">
        <v>5017</v>
      </c>
      <c r="C139">
        <v>2023</v>
      </c>
      <c r="D139" t="s">
        <v>5018</v>
      </c>
      <c r="E139" t="s">
        <v>51</v>
      </c>
      <c r="F139" t="s">
        <v>5019</v>
      </c>
      <c r="G139" t="s">
        <v>5020</v>
      </c>
      <c r="H139">
        <v>17</v>
      </c>
      <c r="I139" t="s">
        <v>51</v>
      </c>
      <c r="J139" t="str">
        <f t="shared" si="2"/>
        <v>Guidelines to develop demonstration models on industry 4.0 for engineering training</v>
      </c>
    </row>
    <row r="140" spans="1:10">
      <c r="A140" t="s">
        <v>5022</v>
      </c>
      <c r="B140" t="s">
        <v>5023</v>
      </c>
      <c r="C140">
        <v>2020</v>
      </c>
      <c r="D140" t="s">
        <v>5024</v>
      </c>
      <c r="E140" t="s">
        <v>51</v>
      </c>
      <c r="F140" t="s">
        <v>5025</v>
      </c>
      <c r="G140" t="s">
        <v>5026</v>
      </c>
      <c r="I140" t="s">
        <v>51</v>
      </c>
      <c r="J140" t="str">
        <f t="shared" si="2"/>
        <v>A next generation upgraded observing platform for the automated Birmingham Solar Oscillations Network (BiSON)</v>
      </c>
    </row>
    <row r="141" spans="1:10">
      <c r="A141" t="s">
        <v>5027</v>
      </c>
      <c r="B141" t="s">
        <v>5028</v>
      </c>
      <c r="C141">
        <v>2024</v>
      </c>
      <c r="D141" t="s">
        <v>5029</v>
      </c>
      <c r="E141" t="s">
        <v>51</v>
      </c>
      <c r="F141" t="s">
        <v>5030</v>
      </c>
      <c r="G141" t="s">
        <v>5031</v>
      </c>
      <c r="H141">
        <v>18</v>
      </c>
      <c r="I141" t="s">
        <v>51</v>
      </c>
      <c r="J141" t="str">
        <f t="shared" si="2"/>
        <v>MQTT-I: Achieving End-to-End Data Flow Integrity in MQTT</v>
      </c>
    </row>
    <row r="142" spans="1:10">
      <c r="A142" t="s">
        <v>5032</v>
      </c>
      <c r="B142" t="s">
        <v>5033</v>
      </c>
      <c r="C142">
        <v>2020</v>
      </c>
      <c r="D142" t="s">
        <v>5034</v>
      </c>
      <c r="E142" t="s">
        <v>51</v>
      </c>
      <c r="F142" t="s">
        <v>5035</v>
      </c>
      <c r="G142" t="s">
        <v>5036</v>
      </c>
      <c r="H142">
        <v>4</v>
      </c>
      <c r="I142" t="s">
        <v>51</v>
      </c>
      <c r="J142" t="str">
        <f t="shared" si="2"/>
        <v>ICPS - A REST and HTTP-based Service Architecture for Industrial Facilities</v>
      </c>
    </row>
    <row r="143" spans="1:10">
      <c r="A143" t="s">
        <v>5038</v>
      </c>
      <c r="B143" t="s">
        <v>5039</v>
      </c>
      <c r="C143">
        <v>2025</v>
      </c>
      <c r="D143" t="s">
        <v>5040</v>
      </c>
      <c r="E143" t="s">
        <v>51</v>
      </c>
      <c r="F143" t="s">
        <v>5041</v>
      </c>
      <c r="G143" t="s">
        <v>2402</v>
      </c>
      <c r="H143">
        <v>27</v>
      </c>
      <c r="I143" t="s">
        <v>51</v>
      </c>
      <c r="J143" t="str">
        <f t="shared" si="2"/>
        <v>Introduction to Sustainable Enterprise Resource Planning (S-ERP) in Industry 4.0</v>
      </c>
    </row>
    <row r="144" spans="1:10">
      <c r="A144" t="s">
        <v>5042</v>
      </c>
      <c r="B144" t="s">
        <v>5043</v>
      </c>
      <c r="C144">
        <v>2020</v>
      </c>
      <c r="D144" t="s">
        <v>5044</v>
      </c>
      <c r="E144" t="s">
        <v>51</v>
      </c>
      <c r="F144" t="s">
        <v>5045</v>
      </c>
      <c r="G144" t="s">
        <v>5046</v>
      </c>
      <c r="H144">
        <v>6</v>
      </c>
      <c r="I144" t="s">
        <v>51</v>
      </c>
      <c r="J144" t="str">
        <f t="shared" si="2"/>
        <v>ICPS - An OPC UA-based Crane Model Using Time-Sensitive Networking Technology</v>
      </c>
    </row>
    <row r="145" spans="1:10">
      <c r="A145" t="s">
        <v>5048</v>
      </c>
      <c r="B145" t="s">
        <v>5049</v>
      </c>
      <c r="C145">
        <v>2023</v>
      </c>
      <c r="D145" t="s">
        <v>5050</v>
      </c>
      <c r="E145" t="s">
        <v>51</v>
      </c>
      <c r="F145" t="s">
        <v>5051</v>
      </c>
      <c r="G145" t="s">
        <v>5052</v>
      </c>
      <c r="H145">
        <v>21</v>
      </c>
      <c r="I145" t="s">
        <v>51</v>
      </c>
      <c r="J145" t="str">
        <f t="shared" si="2"/>
        <v>MQTT-A: A Broker-Bridging P2P Architecture to Achieve Anonymity in MQTT</v>
      </c>
    </row>
    <row r="146" spans="1:10">
      <c r="A146" t="s">
        <v>5053</v>
      </c>
      <c r="B146" t="s">
        <v>5054</v>
      </c>
      <c r="C146">
        <v>2022</v>
      </c>
      <c r="D146" t="s">
        <v>5055</v>
      </c>
      <c r="E146" t="s">
        <v>51</v>
      </c>
      <c r="F146" t="s">
        <v>5056</v>
      </c>
      <c r="G146" t="s">
        <v>5057</v>
      </c>
      <c r="H146">
        <v>29</v>
      </c>
      <c r="I146" t="s">
        <v>51</v>
      </c>
      <c r="J146" t="str">
        <f t="shared" si="2"/>
        <v>Digital Twin: A Comprehensive Survey of Security Threats</v>
      </c>
    </row>
    <row r="147" spans="1:10">
      <c r="A147" t="s">
        <v>5058</v>
      </c>
      <c r="B147" t="s">
        <v>5059</v>
      </c>
      <c r="C147">
        <v>2022</v>
      </c>
      <c r="D147" t="s">
        <v>5060</v>
      </c>
      <c r="E147" t="s">
        <v>51</v>
      </c>
      <c r="F147" t="s">
        <v>5061</v>
      </c>
      <c r="G147" t="s">
        <v>5062</v>
      </c>
      <c r="H147">
        <v>24</v>
      </c>
      <c r="I147" t="s">
        <v>51</v>
      </c>
      <c r="J147" t="str">
        <f t="shared" si="2"/>
        <v>MQTT Implementations, Open Issues, and Challenges: A Detailed Comparison and Survey</v>
      </c>
    </row>
    <row r="148" spans="1:10">
      <c r="A148" t="s">
        <v>5066</v>
      </c>
      <c r="B148" t="s">
        <v>5067</v>
      </c>
      <c r="C148">
        <v>2023</v>
      </c>
      <c r="D148" t="s">
        <v>5068</v>
      </c>
      <c r="E148" t="s">
        <v>51</v>
      </c>
      <c r="F148" t="s">
        <v>5069</v>
      </c>
      <c r="G148" t="s">
        <v>2402</v>
      </c>
      <c r="H148">
        <v>10</v>
      </c>
      <c r="I148" t="s">
        <v>51</v>
      </c>
      <c r="J148" t="str">
        <f t="shared" ref="J148:J176" si="3">HYPERLINK($D148,$B148)</f>
        <v>Distributed Approach for Integration in Industrial Systems</v>
      </c>
    </row>
    <row r="149" spans="1:10">
      <c r="A149" t="s">
        <v>4925</v>
      </c>
      <c r="B149" t="s">
        <v>5070</v>
      </c>
      <c r="C149">
        <v>2023</v>
      </c>
      <c r="D149" t="s">
        <v>5071</v>
      </c>
      <c r="E149" t="s">
        <v>51</v>
      </c>
      <c r="F149" t="s">
        <v>5072</v>
      </c>
      <c r="G149" t="s">
        <v>5073</v>
      </c>
      <c r="H149">
        <v>10</v>
      </c>
      <c r="I149" t="s">
        <v>51</v>
      </c>
      <c r="J149" t="str">
        <f t="shared" si="3"/>
        <v>DDS Implementations as Real-Time Middleware – A Systematic Evaluation</v>
      </c>
    </row>
    <row r="150" spans="1:10">
      <c r="A150" t="s">
        <v>5074</v>
      </c>
      <c r="B150" t="s">
        <v>5075</v>
      </c>
      <c r="C150">
        <v>2025</v>
      </c>
      <c r="D150" t="s">
        <v>5076</v>
      </c>
      <c r="E150" t="s">
        <v>51</v>
      </c>
      <c r="F150" t="s">
        <v>5077</v>
      </c>
      <c r="G150" t="s">
        <v>5078</v>
      </c>
      <c r="H150">
        <v>1</v>
      </c>
      <c r="I150" t="s">
        <v>51</v>
      </c>
      <c r="J150" t="str">
        <f t="shared" si="3"/>
        <v>Analyzing Impact and Systemwide Effects of the SlowROS Attack in an Industrial Automation Scenario</v>
      </c>
    </row>
    <row r="151" spans="1:10">
      <c r="A151" t="s">
        <v>5079</v>
      </c>
      <c r="B151" t="s">
        <v>5080</v>
      </c>
      <c r="C151">
        <v>2021</v>
      </c>
      <c r="D151" t="s">
        <v>5081</v>
      </c>
      <c r="E151" t="s">
        <v>51</v>
      </c>
      <c r="F151" t="s">
        <v>5082</v>
      </c>
      <c r="G151" t="s">
        <v>5083</v>
      </c>
      <c r="H151">
        <v>16</v>
      </c>
      <c r="I151" t="s">
        <v>51</v>
      </c>
      <c r="J151" t="str">
        <f t="shared" si="3"/>
        <v>An adaptive human sensor framework for human–robot collaboration</v>
      </c>
    </row>
    <row r="152" spans="1:10">
      <c r="A152" t="s">
        <v>5084</v>
      </c>
      <c r="B152" t="s">
        <v>5085</v>
      </c>
      <c r="C152">
        <v>2026</v>
      </c>
      <c r="D152" t="s">
        <v>5086</v>
      </c>
      <c r="E152" t="s">
        <v>51</v>
      </c>
      <c r="F152" t="s">
        <v>5087</v>
      </c>
      <c r="G152" t="s">
        <v>2402</v>
      </c>
      <c r="I152" t="s">
        <v>51</v>
      </c>
      <c r="J152" t="str">
        <f t="shared" si="3"/>
        <v>Artificial Intelligence on the Shop Floor: A Comprehensive Review of Literature</v>
      </c>
    </row>
    <row r="153" spans="1:10">
      <c r="A153" t="s">
        <v>5088</v>
      </c>
      <c r="B153" t="s">
        <v>5089</v>
      </c>
      <c r="C153">
        <v>2025</v>
      </c>
      <c r="D153" t="s">
        <v>5090</v>
      </c>
      <c r="E153" t="s">
        <v>51</v>
      </c>
      <c r="F153" t="s">
        <v>5091</v>
      </c>
      <c r="G153" t="s">
        <v>5092</v>
      </c>
      <c r="H153">
        <v>1</v>
      </c>
      <c r="I153" t="s">
        <v>51</v>
      </c>
      <c r="J153" t="str">
        <f t="shared" si="3"/>
        <v>A Systematic Literature Review of DDS Middleware in Robotic Systems</v>
      </c>
    </row>
    <row r="154" spans="1:10">
      <c r="A154" t="s">
        <v>5093</v>
      </c>
      <c r="B154" t="s">
        <v>5094</v>
      </c>
      <c r="C154">
        <v>2022</v>
      </c>
      <c r="D154" t="s">
        <v>5095</v>
      </c>
      <c r="E154" t="s">
        <v>51</v>
      </c>
      <c r="F154" t="s">
        <v>5096</v>
      </c>
      <c r="G154" t="s">
        <v>5097</v>
      </c>
      <c r="H154">
        <v>1</v>
      </c>
      <c r="I154" t="s">
        <v>51</v>
      </c>
      <c r="J154" t="str">
        <f t="shared" si="3"/>
        <v>Replay-Attack Detection and Prevention Mechanism in Industry 4.0 Landscape for Secure SECS/GEM Communications</v>
      </c>
    </row>
    <row r="155" spans="1:10">
      <c r="A155" t="s">
        <v>5098</v>
      </c>
      <c r="B155" t="s">
        <v>5099</v>
      </c>
      <c r="C155">
        <v>2021</v>
      </c>
      <c r="D155" t="s">
        <v>5100</v>
      </c>
      <c r="E155" t="s">
        <v>51</v>
      </c>
      <c r="F155" t="s">
        <v>5101</v>
      </c>
      <c r="G155" t="s">
        <v>5102</v>
      </c>
      <c r="H155">
        <v>12</v>
      </c>
      <c r="I155" t="s">
        <v>51</v>
      </c>
      <c r="J155" t="str">
        <f t="shared" si="3"/>
        <v>Toward Industrial IoT: Integrated Architecture of an OPC UA Synergy Platform</v>
      </c>
    </row>
    <row r="156" spans="1:10">
      <c r="A156" t="s">
        <v>5103</v>
      </c>
      <c r="B156" t="s">
        <v>5104</v>
      </c>
      <c r="C156">
        <v>2022</v>
      </c>
      <c r="D156" t="s">
        <v>5105</v>
      </c>
      <c r="E156" t="s">
        <v>51</v>
      </c>
      <c r="F156" t="s">
        <v>5106</v>
      </c>
      <c r="G156" t="s">
        <v>5107</v>
      </c>
      <c r="H156">
        <v>4</v>
      </c>
      <c r="I156" t="s">
        <v>51</v>
      </c>
      <c r="J156" t="str">
        <f t="shared" si="3"/>
        <v>Evaluation of Middleware Technologies for the PLC-Service Bus in IEC 61499</v>
      </c>
    </row>
    <row r="157" spans="1:10">
      <c r="A157" t="s">
        <v>4955</v>
      </c>
      <c r="B157" t="s">
        <v>5111</v>
      </c>
      <c r="C157">
        <v>2020</v>
      </c>
      <c r="D157" t="s">
        <v>2840</v>
      </c>
      <c r="E157" t="s">
        <v>51</v>
      </c>
      <c r="F157" t="s">
        <v>2402</v>
      </c>
      <c r="G157" t="s">
        <v>5112</v>
      </c>
      <c r="I157" t="s">
        <v>51</v>
      </c>
      <c r="J157" t="str">
        <f t="shared" si="3"/>
        <v>Eudoxus: Characterizing and Accelerating Localization in Autonomous Machines.</v>
      </c>
    </row>
    <row r="158" spans="1:10">
      <c r="A158" t="s">
        <v>5114</v>
      </c>
      <c r="B158" t="s">
        <v>5115</v>
      </c>
      <c r="C158">
        <v>2022</v>
      </c>
      <c r="D158" t="s">
        <v>5116</v>
      </c>
      <c r="E158" t="s">
        <v>51</v>
      </c>
      <c r="F158" t="s">
        <v>5117</v>
      </c>
      <c r="G158" t="s">
        <v>5118</v>
      </c>
      <c r="H158">
        <v>27</v>
      </c>
      <c r="I158" t="s">
        <v>51</v>
      </c>
      <c r="J158" t="str">
        <f t="shared" si="3"/>
        <v>Quantifying DDS-cerberus network control overhead</v>
      </c>
    </row>
    <row r="159" spans="1:10">
      <c r="A159" t="s">
        <v>5120</v>
      </c>
      <c r="B159" t="s">
        <v>5121</v>
      </c>
      <c r="C159">
        <v>2023</v>
      </c>
      <c r="D159" t="s">
        <v>5122</v>
      </c>
      <c r="E159" t="s">
        <v>51</v>
      </c>
      <c r="F159" t="s">
        <v>5123</v>
      </c>
      <c r="G159" t="s">
        <v>5124</v>
      </c>
      <c r="H159">
        <v>8</v>
      </c>
      <c r="I159" t="s">
        <v>51</v>
      </c>
      <c r="J159" t="str">
        <f t="shared" si="3"/>
        <v>Bare-Metal vs. Hypervisors and Containers: Performance Evaluation of Virtualization Technologies for Software-Defined Vehicles</v>
      </c>
    </row>
    <row r="160" spans="1:10">
      <c r="A160" t="s">
        <v>5125</v>
      </c>
      <c r="B160" t="s">
        <v>5126</v>
      </c>
      <c r="C160">
        <v>2024</v>
      </c>
      <c r="D160" t="s">
        <v>5127</v>
      </c>
      <c r="E160" t="s">
        <v>51</v>
      </c>
      <c r="F160" t="s">
        <v>5128</v>
      </c>
      <c r="G160" t="s">
        <v>5129</v>
      </c>
      <c r="I160" t="s">
        <v>51</v>
      </c>
      <c r="J160" t="str">
        <f t="shared" si="3"/>
        <v>Evaluating robot operating system's capabilities across distributed containerized systems</v>
      </c>
    </row>
    <row r="161" spans="1:10">
      <c r="A161" t="s">
        <v>5130</v>
      </c>
      <c r="B161" t="s">
        <v>5131</v>
      </c>
      <c r="C161">
        <v>2022</v>
      </c>
      <c r="D161" t="s">
        <v>5132</v>
      </c>
      <c r="E161" t="s">
        <v>51</v>
      </c>
      <c r="F161" t="s">
        <v>5133</v>
      </c>
      <c r="G161" t="s">
        <v>5134</v>
      </c>
      <c r="H161">
        <v>6</v>
      </c>
      <c r="I161" t="s">
        <v>51</v>
      </c>
      <c r="J161" t="str">
        <f t="shared" si="3"/>
        <v>Applicability of OPC UA and REST in Edge Computing</v>
      </c>
    </row>
    <row r="162" spans="1:10">
      <c r="A162" t="s">
        <v>5136</v>
      </c>
      <c r="B162" t="s">
        <v>5137</v>
      </c>
      <c r="C162">
        <v>2021</v>
      </c>
      <c r="D162" t="s">
        <v>5138</v>
      </c>
      <c r="E162" t="s">
        <v>51</v>
      </c>
      <c r="F162" t="s">
        <v>5139</v>
      </c>
      <c r="G162" t="s">
        <v>5140</v>
      </c>
      <c r="H162">
        <v>2</v>
      </c>
      <c r="I162" t="s">
        <v>51</v>
      </c>
      <c r="J162" t="str">
        <f t="shared" si="3"/>
        <v>Implementation of DDS Cloud Platform for Real-time Data Acquisition of Sensors</v>
      </c>
    </row>
    <row r="163" spans="1:10">
      <c r="A163" t="s">
        <v>5063</v>
      </c>
      <c r="B163" t="s">
        <v>5141</v>
      </c>
      <c r="C163">
        <v>2022</v>
      </c>
      <c r="D163" t="s">
        <v>5142</v>
      </c>
      <c r="E163" t="s">
        <v>51</v>
      </c>
      <c r="F163" t="s">
        <v>5143</v>
      </c>
      <c r="G163" t="s">
        <v>5144</v>
      </c>
      <c r="H163">
        <v>5</v>
      </c>
      <c r="I163" t="s">
        <v>51</v>
      </c>
      <c r="J163" t="str">
        <f t="shared" si="3"/>
        <v>Digital Twin for Monitoring an Industrial Process Using Augmented Reality</v>
      </c>
    </row>
    <row r="164" spans="1:10">
      <c r="A164" t="s">
        <v>5146</v>
      </c>
      <c r="B164" t="s">
        <v>5147</v>
      </c>
      <c r="C164">
        <v>2022</v>
      </c>
      <c r="D164" t="s">
        <v>5148</v>
      </c>
      <c r="E164" t="s">
        <v>51</v>
      </c>
      <c r="F164" t="s">
        <v>5149</v>
      </c>
      <c r="G164" t="s">
        <v>5150</v>
      </c>
      <c r="H164">
        <v>8</v>
      </c>
      <c r="I164" t="s">
        <v>51</v>
      </c>
      <c r="J164" t="str">
        <f t="shared" si="3"/>
        <v>Distributed Robotic Systems in the Edge-Cloud Continuum with ROS 2: a Review on Novel Architectures and Technology Readiness</v>
      </c>
    </row>
    <row r="165" spans="1:10">
      <c r="A165" t="s">
        <v>5152</v>
      </c>
      <c r="B165" t="s">
        <v>5153</v>
      </c>
      <c r="C165">
        <v>2025</v>
      </c>
      <c r="D165" t="s">
        <v>5154</v>
      </c>
      <c r="E165" t="s">
        <v>51</v>
      </c>
      <c r="F165" t="s">
        <v>5155</v>
      </c>
      <c r="G165" t="s">
        <v>2402</v>
      </c>
      <c r="H165">
        <v>8</v>
      </c>
      <c r="I165" t="s">
        <v>51</v>
      </c>
      <c r="J165" t="str">
        <f t="shared" si="3"/>
        <v>Cloud-Native Fog Robotics: Model-Based Deployment and Evaluation of Real-Time Applications</v>
      </c>
    </row>
    <row r="166" spans="1:10">
      <c r="A166" t="s">
        <v>5156</v>
      </c>
      <c r="B166" t="s">
        <v>5157</v>
      </c>
      <c r="C166">
        <v>2023</v>
      </c>
      <c r="D166" t="s">
        <v>5158</v>
      </c>
      <c r="E166" t="s">
        <v>51</v>
      </c>
      <c r="F166" t="s">
        <v>5159</v>
      </c>
      <c r="G166" t="s">
        <v>5160</v>
      </c>
      <c r="H166">
        <v>4</v>
      </c>
      <c r="I166" t="s">
        <v>51</v>
      </c>
      <c r="J166" t="str">
        <f t="shared" si="3"/>
        <v>Semantic Information Extraction from Multi-modal Technical Document</v>
      </c>
    </row>
    <row r="167" spans="1:10">
      <c r="A167" t="s">
        <v>5161</v>
      </c>
      <c r="B167" t="s">
        <v>5162</v>
      </c>
      <c r="C167">
        <v>2022</v>
      </c>
      <c r="D167" t="s">
        <v>5163</v>
      </c>
      <c r="E167" t="s">
        <v>51</v>
      </c>
      <c r="F167" t="s">
        <v>5164</v>
      </c>
      <c r="G167" t="s">
        <v>5165</v>
      </c>
      <c r="H167">
        <v>8</v>
      </c>
      <c r="I167" t="s">
        <v>51</v>
      </c>
      <c r="J167" t="str">
        <f t="shared" si="3"/>
        <v>A Survey and Comparison of Publish/Subscribe Protocols for the Industrial Internet of Things (IIoT)</v>
      </c>
    </row>
    <row r="168" spans="1:10">
      <c r="A168" s="48" t="s">
        <v>5576</v>
      </c>
      <c r="B168" s="9" t="s">
        <v>5577</v>
      </c>
      <c r="C168" s="9">
        <v>2025</v>
      </c>
      <c r="D168" s="9" t="s">
        <v>5578</v>
      </c>
      <c r="E168" s="9" t="s">
        <v>51</v>
      </c>
      <c r="F168" s="9" t="s">
        <v>5579</v>
      </c>
      <c r="G168" s="9" t="s">
        <v>5580</v>
      </c>
      <c r="H168" s="9">
        <v>14</v>
      </c>
      <c r="I168" s="41" t="s">
        <v>51</v>
      </c>
      <c r="J168" s="32" t="str">
        <f t="shared" si="3"/>
        <v>Approaching Interoperability and Data-Related Processing Issues in a Human-Centric Industrial Scenario</v>
      </c>
    </row>
    <row r="169" spans="1:10">
      <c r="A169" s="33" t="s">
        <v>5581</v>
      </c>
      <c r="B169" s="10" t="s">
        <v>5582</v>
      </c>
      <c r="C169" s="10">
        <v>2022</v>
      </c>
      <c r="D169" s="10" t="s">
        <v>5583</v>
      </c>
      <c r="E169" s="10" t="s">
        <v>51</v>
      </c>
      <c r="F169" s="10" t="s">
        <v>5584</v>
      </c>
      <c r="G169" s="10" t="s">
        <v>5585</v>
      </c>
      <c r="H169" s="10">
        <v>1</v>
      </c>
      <c r="I169" s="40" t="s">
        <v>51</v>
      </c>
      <c r="J169" s="32" t="str">
        <f t="shared" si="3"/>
        <v>Semantic Interconnection Scheme for Industrial Wireless Sensor Networks and Industrial Internet with OPC UA Pub/Sub.</v>
      </c>
    </row>
    <row r="170" spans="1:10">
      <c r="A170" s="43" t="s">
        <v>5586</v>
      </c>
      <c r="B170" s="9" t="s">
        <v>5587</v>
      </c>
      <c r="C170" s="9">
        <v>2023</v>
      </c>
      <c r="D170" s="9" t="s">
        <v>5588</v>
      </c>
      <c r="E170" s="9" t="s">
        <v>51</v>
      </c>
      <c r="F170" s="9" t="s">
        <v>5589</v>
      </c>
      <c r="G170" s="9" t="s">
        <v>5590</v>
      </c>
      <c r="H170" s="9">
        <v>9</v>
      </c>
      <c r="I170" s="41" t="s">
        <v>51</v>
      </c>
      <c r="J170" s="32" t="str">
        <f t="shared" si="3"/>
        <v>New Can Bus Communication Modules for Digitizing Forest Machines Functionalities in the Context of Forestry 4.0</v>
      </c>
    </row>
    <row r="171" spans="1:10">
      <c r="A171" s="33" t="s">
        <v>5591</v>
      </c>
      <c r="B171" s="10" t="s">
        <v>5592</v>
      </c>
      <c r="C171" s="10">
        <v>2023</v>
      </c>
      <c r="D171" s="10" t="s">
        <v>5593</v>
      </c>
      <c r="E171" s="10" t="s">
        <v>51</v>
      </c>
      <c r="F171" s="10" t="s">
        <v>5594</v>
      </c>
      <c r="G171" s="10" t="s">
        <v>2402</v>
      </c>
      <c r="H171" s="10">
        <v>10</v>
      </c>
      <c r="I171" s="40" t="s">
        <v>51</v>
      </c>
      <c r="J171" s="32" t="str">
        <f t="shared" si="3"/>
        <v>Design of an Operator Interface for Controlling the Installation of Ion-Plasma Deposition</v>
      </c>
    </row>
    <row r="172" spans="1:10">
      <c r="A172" s="43" t="s">
        <v>5595</v>
      </c>
      <c r="B172" s="9" t="s">
        <v>5596</v>
      </c>
      <c r="C172" s="9">
        <v>2025</v>
      </c>
      <c r="D172" s="9" t="s">
        <v>5597</v>
      </c>
      <c r="E172" s="9" t="s">
        <v>51</v>
      </c>
      <c r="F172" s="9" t="s">
        <v>5598</v>
      </c>
      <c r="G172" s="9" t="s">
        <v>2402</v>
      </c>
      <c r="H172" s="9">
        <v>5</v>
      </c>
      <c r="I172" s="41" t="s">
        <v>51</v>
      </c>
      <c r="J172" s="32" t="str">
        <f t="shared" si="3"/>
        <v>Displaying Dispatching Systems on Android Devices with Assessment of Data Transfer Protocols</v>
      </c>
    </row>
    <row r="173" spans="1:10">
      <c r="A173" s="33" t="s">
        <v>5599</v>
      </c>
      <c r="B173" s="10" t="s">
        <v>5600</v>
      </c>
      <c r="C173" s="10">
        <v>2022</v>
      </c>
      <c r="D173" s="10" t="s">
        <v>5601</v>
      </c>
      <c r="E173" s="10" t="s">
        <v>51</v>
      </c>
      <c r="F173" s="10" t="s">
        <v>5602</v>
      </c>
      <c r="G173" s="10" t="s">
        <v>5603</v>
      </c>
      <c r="H173" s="10">
        <v>6</v>
      </c>
      <c r="I173" s="40" t="s">
        <v>51</v>
      </c>
      <c r="J173" s="32" t="str">
        <f t="shared" si="3"/>
        <v>Event-based Framework for Digitalization of Value Stream Mapping</v>
      </c>
    </row>
    <row r="174" spans="1:10">
      <c r="A174" s="43" t="s">
        <v>5604</v>
      </c>
      <c r="B174" s="9" t="s">
        <v>5605</v>
      </c>
      <c r="C174" s="9">
        <v>2024</v>
      </c>
      <c r="D174" s="9" t="s">
        <v>5606</v>
      </c>
      <c r="E174" s="9" t="s">
        <v>51</v>
      </c>
      <c r="F174" s="9" t="s">
        <v>5607</v>
      </c>
      <c r="G174" s="9" t="s">
        <v>5608</v>
      </c>
      <c r="H174" s="9">
        <v>24</v>
      </c>
      <c r="I174" s="41" t="s">
        <v>51</v>
      </c>
      <c r="J174" s="32" t="str">
        <f t="shared" si="3"/>
        <v>Open source container orchestration for Industry 4.0 – requirements and systematic feature analysis</v>
      </c>
    </row>
    <row r="175" spans="1:10">
      <c r="A175" s="33" t="s">
        <v>5609</v>
      </c>
      <c r="B175" s="10" t="s">
        <v>5610</v>
      </c>
      <c r="C175" s="10">
        <v>2024</v>
      </c>
      <c r="D175" s="10" t="s">
        <v>5611</v>
      </c>
      <c r="E175" s="10" t="s">
        <v>51</v>
      </c>
      <c r="F175" s="10" t="s">
        <v>5612</v>
      </c>
      <c r="G175" s="10" t="s">
        <v>2402</v>
      </c>
      <c r="H175" s="10">
        <v>6</v>
      </c>
      <c r="I175" s="40" t="s">
        <v>51</v>
      </c>
      <c r="J175" s="32" t="str">
        <f t="shared" si="3"/>
        <v>Optimizing Renewable Energy Using Scalable Solutions: IoT Integration in Renewable Energy Laboratories</v>
      </c>
    </row>
    <row r="176" spans="1:10">
      <c r="A176" s="44" t="s">
        <v>5613</v>
      </c>
      <c r="B176" s="45" t="s">
        <v>5614</v>
      </c>
      <c r="C176" s="45">
        <v>2025</v>
      </c>
      <c r="D176" s="45" t="s">
        <v>5615</v>
      </c>
      <c r="E176" s="45" t="s">
        <v>51</v>
      </c>
      <c r="F176" s="45" t="s">
        <v>5616</v>
      </c>
      <c r="G176" s="45" t="s">
        <v>2402</v>
      </c>
      <c r="H176" s="45"/>
      <c r="I176" s="46" t="s">
        <v>51</v>
      </c>
      <c r="J176" s="47" t="str">
        <f t="shared" si="3"/>
        <v>A new era for digital twins: progress and industry adoption</v>
      </c>
    </row>
    <row r="177" spans="1:10">
      <c r="A177" s="48"/>
      <c r="B177" s="9"/>
      <c r="C177" s="9"/>
      <c r="D177" s="9"/>
      <c r="E177" s="9"/>
      <c r="F177" s="9"/>
      <c r="G177" s="9"/>
      <c r="H177" s="9"/>
      <c r="I177" s="41"/>
      <c r="J177" s="32"/>
    </row>
    <row r="178" spans="1:10">
      <c r="A178" s="51"/>
      <c r="B178" s="52"/>
      <c r="C178" s="52"/>
      <c r="D178" s="52"/>
      <c r="E178" s="52"/>
      <c r="F178" s="52"/>
      <c r="G178" s="52"/>
      <c r="H178" s="52"/>
      <c r="I178" s="53"/>
      <c r="J178" s="47"/>
    </row>
    <row r="206" spans="6:6">
      <c r="F206" s="9"/>
    </row>
    <row r="207" spans="6:6">
      <c r="F207" s="10"/>
    </row>
    <row r="208" spans="6:6">
      <c r="F208" s="9"/>
    </row>
    <row r="209" spans="6:6">
      <c r="F209" s="10"/>
    </row>
    <row r="210" spans="6:6">
      <c r="F210" s="9"/>
    </row>
    <row r="211" spans="6:6">
      <c r="F211" s="10"/>
    </row>
    <row r="212" spans="6:6">
      <c r="F212" s="9"/>
    </row>
    <row r="213" spans="6:6">
      <c r="F213" s="10"/>
    </row>
    <row r="214" spans="6:6">
      <c r="F214" s="9"/>
    </row>
    <row r="215" spans="6:6">
      <c r="F215" s="10"/>
    </row>
    <row r="216" spans="6:6">
      <c r="F216" s="9"/>
    </row>
    <row r="217" spans="6:6">
      <c r="F217" s="10"/>
    </row>
    <row r="218" spans="6:6">
      <c r="F218" s="9"/>
    </row>
    <row r="219" spans="6:6">
      <c r="F219" s="10"/>
    </row>
    <row r="220" spans="6:6">
      <c r="F220" s="9"/>
    </row>
    <row r="221" spans="6:6">
      <c r="F221" s="10"/>
    </row>
    <row r="222" spans="6:6">
      <c r="F222" s="9"/>
    </row>
    <row r="223" spans="6:6">
      <c r="F223" s="10"/>
    </row>
    <row r="224" spans="6:6">
      <c r="F224" s="9"/>
    </row>
    <row r="225" spans="6:6">
      <c r="F225" s="10"/>
    </row>
    <row r="226" spans="6:6">
      <c r="F226" s="9"/>
    </row>
    <row r="227" spans="6:6">
      <c r="F227" s="10"/>
    </row>
    <row r="228" spans="6:6">
      <c r="F228" s="9"/>
    </row>
    <row r="229" spans="6:6">
      <c r="F229" s="10"/>
    </row>
    <row r="230" spans="6:6">
      <c r="F230" s="9"/>
    </row>
    <row r="231" spans="6:6">
      <c r="F231" s="10"/>
    </row>
    <row r="232" spans="6:6">
      <c r="F232" s="9"/>
    </row>
    <row r="233" spans="6:6">
      <c r="F233" s="10"/>
    </row>
    <row r="234" spans="6:6">
      <c r="F234" s="9"/>
    </row>
    <row r="235" spans="6:6">
      <c r="F235" s="10"/>
    </row>
    <row r="236" spans="6:6">
      <c r="F236" s="9"/>
    </row>
    <row r="237" spans="6:6">
      <c r="F237" s="10"/>
    </row>
    <row r="238" spans="6:6">
      <c r="F238" s="9"/>
    </row>
    <row r="239" spans="6:6">
      <c r="F239" s="10"/>
    </row>
    <row r="240" spans="6:6">
      <c r="F240" s="9"/>
    </row>
    <row r="241" spans="6:6">
      <c r="F241" s="10"/>
    </row>
    <row r="242" spans="6:6">
      <c r="F242" s="9"/>
    </row>
    <row r="243" spans="6:6">
      <c r="F243" s="10"/>
    </row>
    <row r="244" spans="6:6">
      <c r="F244" s="9"/>
    </row>
    <row r="245" spans="6:6">
      <c r="F245" s="10"/>
    </row>
    <row r="246" spans="6:6">
      <c r="F246" s="9"/>
    </row>
    <row r="247" spans="6:6">
      <c r="F247" s="10"/>
    </row>
    <row r="248" spans="6:6">
      <c r="F248" s="9"/>
    </row>
    <row r="249" spans="6:6">
      <c r="F249" s="10"/>
    </row>
    <row r="250" spans="6:6">
      <c r="F250" s="9"/>
    </row>
    <row r="251" spans="6:6">
      <c r="F251" s="10"/>
    </row>
    <row r="252" spans="6:6">
      <c r="F252" s="9"/>
    </row>
    <row r="253" spans="6:6">
      <c r="F253" s="10"/>
    </row>
    <row r="254" spans="6:6">
      <c r="F254" s="9"/>
    </row>
    <row r="255" spans="6:6">
      <c r="F255" s="10"/>
    </row>
    <row r="256" spans="6:6">
      <c r="F256" s="9"/>
    </row>
    <row r="257" spans="6:6">
      <c r="F257" s="10"/>
    </row>
    <row r="258" spans="6:6">
      <c r="F258" s="9"/>
    </row>
    <row r="259" spans="6:6">
      <c r="F259" s="10"/>
    </row>
    <row r="260" spans="6:6">
      <c r="F260" s="9"/>
    </row>
    <row r="261" spans="6:6">
      <c r="F261" s="10"/>
    </row>
    <row r="262" spans="6:6">
      <c r="F262" s="9"/>
    </row>
    <row r="263" spans="6:6">
      <c r="F263" s="10"/>
    </row>
    <row r="264" spans="6:6">
      <c r="F264" s="9"/>
    </row>
    <row r="265" spans="6:6">
      <c r="F265" s="10"/>
    </row>
    <row r="266" spans="6:6">
      <c r="F266" s="9"/>
    </row>
    <row r="267" spans="6:6">
      <c r="F267" s="10"/>
    </row>
    <row r="268" spans="6:6">
      <c r="F268" s="9"/>
    </row>
    <row r="269" spans="6:6">
      <c r="F269" s="10"/>
    </row>
    <row r="270" spans="6:6">
      <c r="F270" s="9"/>
    </row>
    <row r="271" spans="6:6">
      <c r="F271" s="10"/>
    </row>
    <row r="272" spans="6:6">
      <c r="F272" s="9"/>
    </row>
    <row r="273" spans="6:6">
      <c r="F273" s="10"/>
    </row>
    <row r="274" spans="6:6">
      <c r="F274" s="9"/>
    </row>
    <row r="275" spans="6:6">
      <c r="F275" s="10"/>
    </row>
    <row r="276" spans="6:6">
      <c r="F276" s="9"/>
    </row>
    <row r="277" spans="6:6">
      <c r="F277" s="10"/>
    </row>
    <row r="278" spans="6:6">
      <c r="F278" s="9"/>
    </row>
    <row r="279" spans="6:6">
      <c r="F279" s="10"/>
    </row>
    <row r="280" spans="6:6">
      <c r="F280" s="9"/>
    </row>
    <row r="281" spans="6:6">
      <c r="F281" s="10"/>
    </row>
    <row r="282" spans="6:6">
      <c r="F282" s="9"/>
    </row>
    <row r="283" spans="6:6">
      <c r="F283" s="10"/>
    </row>
    <row r="284" spans="6:6">
      <c r="F284" s="9"/>
    </row>
    <row r="285" spans="6:6">
      <c r="F285" s="10"/>
    </row>
    <row r="286" spans="6:6">
      <c r="F286" s="9"/>
    </row>
    <row r="287" spans="6:6">
      <c r="F287" s="10"/>
    </row>
    <row r="288" spans="6:6">
      <c r="F288" s="9"/>
    </row>
    <row r="289" spans="6:6">
      <c r="F289" s="10"/>
    </row>
    <row r="290" spans="6:6">
      <c r="F290" s="9"/>
    </row>
    <row r="291" spans="6:6">
      <c r="F291" s="10"/>
    </row>
    <row r="292" spans="6:6">
      <c r="F292" s="9"/>
    </row>
    <row r="293" spans="6:6">
      <c r="F293" s="10"/>
    </row>
    <row r="294" spans="6:6">
      <c r="F294" s="9"/>
    </row>
    <row r="295" spans="6:6">
      <c r="F295" s="10"/>
    </row>
    <row r="296" spans="6:6">
      <c r="F296" s="9"/>
    </row>
    <row r="297" spans="6:6">
      <c r="F297" s="10"/>
    </row>
    <row r="298" spans="6:6">
      <c r="F298" s="9"/>
    </row>
    <row r="299" spans="6:6">
      <c r="F299" s="10"/>
    </row>
    <row r="300" spans="6:6">
      <c r="F300" s="9"/>
    </row>
    <row r="301" spans="6:6">
      <c r="F301" s="10"/>
    </row>
    <row r="302" spans="6:6">
      <c r="F302" s="9"/>
    </row>
    <row r="303" spans="6:6">
      <c r="F303" s="10"/>
    </row>
    <row r="304" spans="6:6">
      <c r="F304" s="9"/>
    </row>
    <row r="305" spans="6:6">
      <c r="F305" s="10"/>
    </row>
    <row r="306" spans="6:6">
      <c r="F306" s="9"/>
    </row>
    <row r="307" spans="6:6">
      <c r="F307" s="10"/>
    </row>
    <row r="308" spans="6:6">
      <c r="F308" s="9"/>
    </row>
    <row r="309" spans="6:6">
      <c r="F309" s="10"/>
    </row>
    <row r="310" spans="6:6">
      <c r="F310" s="9"/>
    </row>
    <row r="311" spans="6:6">
      <c r="F311" s="10"/>
    </row>
    <row r="312" spans="6:6">
      <c r="F312" s="9"/>
    </row>
    <row r="313" spans="6:6">
      <c r="F313" s="10"/>
    </row>
    <row r="314" spans="6:6">
      <c r="F314" s="9"/>
    </row>
    <row r="315" spans="6:6">
      <c r="F315" s="10"/>
    </row>
    <row r="316" spans="6:6">
      <c r="F316" s="9"/>
    </row>
    <row r="317" spans="6:6">
      <c r="F317" s="10"/>
    </row>
    <row r="318" spans="6:6">
      <c r="F318" s="9"/>
    </row>
    <row r="319" spans="6:6">
      <c r="F319" s="10"/>
    </row>
    <row r="320" spans="6:6">
      <c r="F320" s="9"/>
    </row>
    <row r="321" spans="6:6">
      <c r="F321" s="10"/>
    </row>
    <row r="322" spans="6:6">
      <c r="F322" s="9"/>
    </row>
    <row r="323" spans="6:6">
      <c r="F323" s="10"/>
    </row>
    <row r="324" spans="6:6">
      <c r="F324" s="9"/>
    </row>
    <row r="325" spans="6:6">
      <c r="F325" s="10"/>
    </row>
    <row r="326" spans="6:6">
      <c r="F326" s="9"/>
    </row>
    <row r="327" spans="6:6">
      <c r="F327" s="10"/>
    </row>
    <row r="328" spans="6:6">
      <c r="F328" s="9"/>
    </row>
    <row r="329" spans="6:6">
      <c r="F329" s="10"/>
    </row>
    <row r="330" spans="6:6">
      <c r="F330" s="9"/>
    </row>
    <row r="331" spans="6:6">
      <c r="F331" s="10"/>
    </row>
    <row r="332" spans="6:6">
      <c r="F332" s="9"/>
    </row>
    <row r="333" spans="6:6">
      <c r="F333" s="10"/>
    </row>
    <row r="334" spans="6:6">
      <c r="F334" s="9"/>
    </row>
    <row r="335" spans="6:6">
      <c r="F335" s="10"/>
    </row>
    <row r="336" spans="6:6">
      <c r="F336" s="9"/>
    </row>
    <row r="337" spans="6:6">
      <c r="F337" s="10"/>
    </row>
    <row r="338" spans="6:6">
      <c r="F338" s="9"/>
    </row>
    <row r="339" spans="6:6">
      <c r="F339" s="10"/>
    </row>
    <row r="340" spans="6:6">
      <c r="F340" s="9"/>
    </row>
    <row r="341" spans="6:6">
      <c r="F341" s="10"/>
    </row>
    <row r="342" spans="6:6">
      <c r="F342" s="9"/>
    </row>
    <row r="343" spans="6:6">
      <c r="F343" s="10"/>
    </row>
    <row r="344" spans="6:6">
      <c r="F344" s="9"/>
    </row>
    <row r="345" spans="6:6">
      <c r="F345" s="10"/>
    </row>
    <row r="346" spans="6:6">
      <c r="F346" s="9"/>
    </row>
    <row r="347" spans="6:6">
      <c r="F347" s="10"/>
    </row>
    <row r="348" spans="6:6">
      <c r="F348" s="9"/>
    </row>
    <row r="349" spans="6:6">
      <c r="F349" s="10"/>
    </row>
    <row r="350" spans="6:6">
      <c r="F350" s="9"/>
    </row>
    <row r="351" spans="6:6">
      <c r="F351" s="10"/>
    </row>
    <row r="352" spans="6:6">
      <c r="F352" s="9"/>
    </row>
    <row r="353" spans="6:6">
      <c r="F353" s="10"/>
    </row>
    <row r="354" spans="6:6">
      <c r="F354" s="9"/>
    </row>
    <row r="355" spans="6:6">
      <c r="F355" s="10"/>
    </row>
    <row r="356" spans="6:6">
      <c r="F356" s="9"/>
    </row>
    <row r="357" spans="6:6">
      <c r="F357" s="10"/>
    </row>
    <row r="358" spans="6:6">
      <c r="F358" s="9"/>
    </row>
    <row r="359" spans="6:6">
      <c r="F359" s="10"/>
    </row>
    <row r="360" spans="6:6">
      <c r="F360" s="9"/>
    </row>
    <row r="361" spans="6:6">
      <c r="F361" s="10"/>
    </row>
    <row r="362" spans="6:6">
      <c r="F362" s="9"/>
    </row>
    <row r="363" spans="6:6">
      <c r="F363" s="10"/>
    </row>
    <row r="364" spans="6:6">
      <c r="F364" s="9"/>
    </row>
    <row r="365" spans="6:6">
      <c r="F365" s="10"/>
    </row>
    <row r="366" spans="6:6">
      <c r="F366" s="9"/>
    </row>
    <row r="367" spans="6:6">
      <c r="F367" s="10"/>
    </row>
    <row r="368" spans="6:6">
      <c r="F368" s="9"/>
    </row>
    <row r="369" spans="6:6">
      <c r="F369" s="10"/>
    </row>
    <row r="370" spans="6:6">
      <c r="F370" s="9"/>
    </row>
    <row r="371" spans="6:6">
      <c r="F371" s="10"/>
    </row>
    <row r="372" spans="6:6">
      <c r="F372" s="9"/>
    </row>
    <row r="373" spans="6:6">
      <c r="F373" s="10"/>
    </row>
    <row r="374" spans="6:6">
      <c r="F374" s="9"/>
    </row>
    <row r="375" spans="6:6">
      <c r="F375" s="10"/>
    </row>
    <row r="376" spans="6:6">
      <c r="F376" s="9"/>
    </row>
    <row r="377" spans="6:6">
      <c r="F377" s="10"/>
    </row>
    <row r="378" spans="6:6">
      <c r="F378" s="9"/>
    </row>
    <row r="379" spans="6:6">
      <c r="F379" s="10"/>
    </row>
    <row r="380" spans="6:6">
      <c r="F380" s="9"/>
    </row>
    <row r="381" spans="6:6">
      <c r="F381" s="10"/>
    </row>
    <row r="382" spans="6:6">
      <c r="F382" s="9"/>
    </row>
    <row r="383" spans="6:6">
      <c r="F383" s="10"/>
    </row>
    <row r="384" spans="6:6">
      <c r="F384" s="9"/>
    </row>
    <row r="385" spans="6:6">
      <c r="F385" s="10"/>
    </row>
    <row r="386" spans="6:6">
      <c r="F386" s="9"/>
    </row>
    <row r="387" spans="6:6">
      <c r="F387" s="10"/>
    </row>
    <row r="388" spans="6:6">
      <c r="F388" s="9"/>
    </row>
    <row r="389" spans="6:6">
      <c r="F389" s="10"/>
    </row>
    <row r="390" spans="6:6">
      <c r="F390" s="9"/>
    </row>
    <row r="391" spans="6:6">
      <c r="F391" s="10"/>
    </row>
    <row r="392" spans="6:6">
      <c r="F392" s="9"/>
    </row>
    <row r="393" spans="6:6">
      <c r="F393" s="10"/>
    </row>
    <row r="394" spans="6:6">
      <c r="F394" s="9"/>
    </row>
    <row r="395" spans="6:6">
      <c r="F395" s="10"/>
    </row>
    <row r="396" spans="6:6">
      <c r="F396" s="9"/>
    </row>
    <row r="397" spans="6:6">
      <c r="F397" s="10"/>
    </row>
    <row r="398" spans="6:6">
      <c r="F398" s="9"/>
    </row>
    <row r="399" spans="6:6">
      <c r="F399" s="10"/>
    </row>
    <row r="400" spans="6:6">
      <c r="F400" s="9"/>
    </row>
    <row r="401" spans="6:6">
      <c r="F401" s="10"/>
    </row>
    <row r="402" spans="6:6">
      <c r="F402" s="9"/>
    </row>
    <row r="403" spans="6:6">
      <c r="F403" s="10"/>
    </row>
    <row r="404" spans="6:6">
      <c r="F404" s="9"/>
    </row>
    <row r="405" spans="6:6">
      <c r="F405" s="10"/>
    </row>
    <row r="406" spans="6:6">
      <c r="F406" s="10"/>
    </row>
    <row r="407" spans="6:6">
      <c r="F407" s="9"/>
    </row>
    <row r="408" spans="6:6">
      <c r="F408" s="10"/>
    </row>
    <row r="409" spans="6:6">
      <c r="F409" s="9"/>
    </row>
    <row r="410" spans="6:6">
      <c r="F410" s="10"/>
    </row>
    <row r="411" spans="6:6">
      <c r="F411" s="9"/>
    </row>
    <row r="412" spans="6:6">
      <c r="F412" s="10"/>
    </row>
    <row r="413" spans="6:6">
      <c r="F413" s="9"/>
    </row>
    <row r="414" spans="6:6">
      <c r="F414" s="10"/>
    </row>
    <row r="415" spans="6:6">
      <c r="F415" s="9"/>
    </row>
    <row r="416" spans="6:6">
      <c r="F416" s="10"/>
    </row>
    <row r="417" spans="6:6">
      <c r="F417" s="9"/>
    </row>
    <row r="418" spans="6:6">
      <c r="F418" s="10"/>
    </row>
    <row r="419" spans="6:6">
      <c r="F419" s="9"/>
    </row>
    <row r="420" spans="6:6">
      <c r="F420" s="10"/>
    </row>
    <row r="421" spans="6:6">
      <c r="F421" s="9"/>
    </row>
    <row r="422" spans="6:6">
      <c r="F422" s="10"/>
    </row>
    <row r="423" spans="6:6">
      <c r="F423" s="9"/>
    </row>
    <row r="424" spans="6:6">
      <c r="F424" s="9"/>
    </row>
    <row r="425" spans="6:6">
      <c r="F425" s="10"/>
    </row>
    <row r="426" spans="6:6">
      <c r="F426" s="9"/>
    </row>
    <row r="427" spans="6:6">
      <c r="F427" s="10"/>
    </row>
    <row r="428" spans="6:6">
      <c r="F428" s="9"/>
    </row>
    <row r="429" spans="6:6">
      <c r="F429" s="10"/>
    </row>
    <row r="430" spans="6:6">
      <c r="F430" s="9"/>
    </row>
    <row r="431" spans="6:6">
      <c r="F431" s="10"/>
    </row>
    <row r="432" spans="6:6">
      <c r="F432" s="9"/>
    </row>
    <row r="433" spans="6:6">
      <c r="F433" s="10"/>
    </row>
    <row r="434" spans="6:6">
      <c r="F434" s="9"/>
    </row>
    <row r="435" spans="6:6">
      <c r="F435" s="10"/>
    </row>
    <row r="436" spans="6:6">
      <c r="F436" s="9"/>
    </row>
    <row r="437" spans="6:6">
      <c r="F437" s="10"/>
    </row>
    <row r="438" spans="6:6">
      <c r="F438" s="9"/>
    </row>
    <row r="439" spans="6:6">
      <c r="F439" s="10"/>
    </row>
    <row r="440" spans="6:6">
      <c r="F440" s="9"/>
    </row>
    <row r="441" spans="6:6">
      <c r="F441" s="10"/>
    </row>
    <row r="442" spans="6:6">
      <c r="F442" s="9"/>
    </row>
    <row r="443" spans="6:6">
      <c r="F443" s="10"/>
    </row>
    <row r="444" spans="6:6">
      <c r="F444" s="9"/>
    </row>
    <row r="445" spans="6:6">
      <c r="F445" s="10"/>
    </row>
    <row r="446" spans="6:6">
      <c r="F446" s="9"/>
    </row>
    <row r="447" spans="6:6">
      <c r="F447" s="10"/>
    </row>
    <row r="448" spans="6:6">
      <c r="F448" s="9"/>
    </row>
    <row r="449" spans="6:6">
      <c r="F449" s="10"/>
    </row>
    <row r="450" spans="6:6">
      <c r="F450" s="9"/>
    </row>
    <row r="451" spans="6:6">
      <c r="F451" s="10"/>
    </row>
    <row r="452" spans="6:6">
      <c r="F452" s="9"/>
    </row>
    <row r="453" spans="6:6">
      <c r="F453" s="10"/>
    </row>
    <row r="454" spans="6:6">
      <c r="F454" s="9"/>
    </row>
    <row r="455" spans="6:6">
      <c r="F455" s="10"/>
    </row>
    <row r="456" spans="6:6">
      <c r="F456" s="9"/>
    </row>
    <row r="457" spans="6:6">
      <c r="F457" s="10"/>
    </row>
    <row r="458" spans="6:6">
      <c r="F458" s="9"/>
    </row>
    <row r="459" spans="6:6">
      <c r="F459" s="10"/>
    </row>
    <row r="460" spans="6:6">
      <c r="F460" s="9"/>
    </row>
    <row r="461" spans="6:6">
      <c r="F461" s="10"/>
    </row>
    <row r="462" spans="6:6">
      <c r="F462" s="9"/>
    </row>
    <row r="463" spans="6:6">
      <c r="F463" s="10"/>
    </row>
    <row r="464" spans="6:6">
      <c r="F464" s="9"/>
    </row>
    <row r="465" spans="6:6">
      <c r="F465" s="10"/>
    </row>
    <row r="466" spans="6:6">
      <c r="F466" s="9"/>
    </row>
    <row r="467" spans="6:6">
      <c r="F467" s="10"/>
    </row>
    <row r="468" spans="6:6">
      <c r="F468" s="9"/>
    </row>
    <row r="469" spans="6:6">
      <c r="F469" s="10"/>
    </row>
    <row r="470" spans="6:6">
      <c r="F470" s="9"/>
    </row>
    <row r="471" spans="6:6">
      <c r="F471" s="10"/>
    </row>
    <row r="472" spans="6:6">
      <c r="F472" s="9"/>
    </row>
    <row r="473" spans="6:6">
      <c r="F473" s="10"/>
    </row>
    <row r="474" spans="6:6">
      <c r="F474" s="9"/>
    </row>
    <row r="475" spans="6:6">
      <c r="F475" s="10"/>
    </row>
    <row r="476" spans="6:6">
      <c r="F476" s="9"/>
    </row>
    <row r="477" spans="6:6">
      <c r="F477" s="10"/>
    </row>
    <row r="478" spans="6:6">
      <c r="F478" s="9"/>
    </row>
    <row r="479" spans="6:6">
      <c r="F479" s="10"/>
    </row>
    <row r="480" spans="6:6">
      <c r="F480" s="9"/>
    </row>
    <row r="481" spans="6:6">
      <c r="F481" s="10"/>
    </row>
    <row r="482" spans="6:6">
      <c r="F482" s="9"/>
    </row>
    <row r="483" spans="6:6">
      <c r="F483" s="10"/>
    </row>
    <row r="484" spans="6:6">
      <c r="F484" s="9"/>
    </row>
    <row r="485" spans="6:6">
      <c r="F485" s="10"/>
    </row>
    <row r="486" spans="6:6">
      <c r="F486" s="9"/>
    </row>
    <row r="487" spans="6:6">
      <c r="F487" s="10"/>
    </row>
    <row r="488" spans="6:6">
      <c r="F488" s="9"/>
    </row>
    <row r="489" spans="6:6">
      <c r="F489" s="10"/>
    </row>
    <row r="490" spans="6:6">
      <c r="F490" s="9"/>
    </row>
    <row r="491" spans="6:6">
      <c r="F491" s="10"/>
    </row>
    <row r="492" spans="6:6">
      <c r="F492" s="9"/>
    </row>
    <row r="493" spans="6:6">
      <c r="F493" s="10"/>
    </row>
    <row r="494" spans="6:6">
      <c r="F494" s="9"/>
    </row>
    <row r="495" spans="6:6">
      <c r="F495" s="10"/>
    </row>
    <row r="496" spans="6:6">
      <c r="F496" s="9"/>
    </row>
    <row r="497" spans="6:6">
      <c r="F497" s="10"/>
    </row>
    <row r="498" spans="6:6">
      <c r="F498" s="9"/>
    </row>
    <row r="499" spans="6:6">
      <c r="F499" s="10"/>
    </row>
    <row r="500" spans="6:6">
      <c r="F500" s="9"/>
    </row>
    <row r="501" spans="6:6">
      <c r="F501" s="10"/>
    </row>
    <row r="502" spans="6:6">
      <c r="F502" s="9"/>
    </row>
    <row r="503" spans="6:6">
      <c r="F503" s="10"/>
    </row>
    <row r="504" spans="6:6">
      <c r="F504" s="9"/>
    </row>
    <row r="505" spans="6:6">
      <c r="F505" s="10"/>
    </row>
    <row r="506" spans="6:6">
      <c r="F506" s="9"/>
    </row>
    <row r="507" spans="6:6">
      <c r="F507" s="10"/>
    </row>
    <row r="508" spans="6:6">
      <c r="F508" s="9"/>
    </row>
    <row r="509" spans="6:6">
      <c r="F509" s="10"/>
    </row>
    <row r="510" spans="6:6">
      <c r="F510" s="9"/>
    </row>
    <row r="511" spans="6:6">
      <c r="F511" s="10"/>
    </row>
    <row r="512" spans="6:6">
      <c r="F512" s="9"/>
    </row>
    <row r="513" spans="6:6">
      <c r="F513" s="10"/>
    </row>
    <row r="514" spans="6:6">
      <c r="F514" s="9"/>
    </row>
    <row r="515" spans="6:6">
      <c r="F515" s="10"/>
    </row>
    <row r="516" spans="6:6">
      <c r="F516" s="9"/>
    </row>
    <row r="517" spans="6:6">
      <c r="F517" s="10"/>
    </row>
    <row r="518" spans="6:6">
      <c r="F518" s="9"/>
    </row>
    <row r="519" spans="6:6">
      <c r="F519" s="10"/>
    </row>
    <row r="520" spans="6:6">
      <c r="F520" s="9"/>
    </row>
    <row r="521" spans="6:6">
      <c r="F521" s="10"/>
    </row>
    <row r="522" spans="6:6">
      <c r="F522" s="9"/>
    </row>
    <row r="523" spans="6:6">
      <c r="F523" s="10"/>
    </row>
    <row r="524" spans="6:6">
      <c r="F524" s="9"/>
    </row>
    <row r="525" spans="6:6">
      <c r="F525" s="10"/>
    </row>
    <row r="526" spans="6:6">
      <c r="F526" s="9"/>
    </row>
    <row r="527" spans="6:6">
      <c r="F527" s="10"/>
    </row>
    <row r="528" spans="6:6">
      <c r="F528" s="9"/>
    </row>
    <row r="529" spans="6:6">
      <c r="F529" s="10"/>
    </row>
    <row r="530" spans="6:6">
      <c r="F530" s="9"/>
    </row>
    <row r="531" spans="6:6">
      <c r="F531" s="10"/>
    </row>
    <row r="532" spans="6:6">
      <c r="F532" s="9"/>
    </row>
    <row r="533" spans="6:6">
      <c r="F533" s="10"/>
    </row>
    <row r="534" spans="6:6">
      <c r="F534" s="9"/>
    </row>
    <row r="535" spans="6:6">
      <c r="F535" s="10"/>
    </row>
    <row r="536" spans="6:6">
      <c r="F536" s="9"/>
    </row>
    <row r="537" spans="6:6">
      <c r="F537" s="10"/>
    </row>
    <row r="538" spans="6:6">
      <c r="F538" s="9"/>
    </row>
    <row r="539" spans="6:6">
      <c r="F539" s="10"/>
    </row>
    <row r="540" spans="6:6">
      <c r="F540" s="9"/>
    </row>
    <row r="541" spans="6:6">
      <c r="F541" s="10"/>
    </row>
    <row r="542" spans="6:6">
      <c r="F542" s="9"/>
    </row>
    <row r="543" spans="6:6">
      <c r="F543" s="10"/>
    </row>
    <row r="544" spans="6:6">
      <c r="F544" s="9"/>
    </row>
    <row r="545" spans="6:6">
      <c r="F545" s="10"/>
    </row>
    <row r="546" spans="6:6">
      <c r="F546" s="9"/>
    </row>
    <row r="547" spans="6:6">
      <c r="F547" s="10"/>
    </row>
    <row r="548" spans="6:6">
      <c r="F548" s="9"/>
    </row>
    <row r="549" spans="6:6">
      <c r="F549" s="10"/>
    </row>
    <row r="550" spans="6:6">
      <c r="F550" s="9"/>
    </row>
    <row r="551" spans="6:6">
      <c r="F551" s="10"/>
    </row>
    <row r="552" spans="6:6">
      <c r="F552" s="9"/>
    </row>
    <row r="553" spans="6:6">
      <c r="F553" s="10"/>
    </row>
    <row r="554" spans="6:6">
      <c r="F554" s="10"/>
    </row>
    <row r="555" spans="6:6">
      <c r="F555" s="9"/>
    </row>
    <row r="556" spans="6:6">
      <c r="F556" s="10"/>
    </row>
    <row r="557" spans="6:6">
      <c r="F557" s="9"/>
    </row>
    <row r="558" spans="6:6">
      <c r="F558" s="10"/>
    </row>
    <row r="559" spans="6:6">
      <c r="F559" s="9"/>
    </row>
    <row r="560" spans="6:6">
      <c r="F560" s="9"/>
    </row>
    <row r="561" spans="6:6">
      <c r="F561" s="10"/>
    </row>
    <row r="562" spans="6:6">
      <c r="F562" s="10"/>
    </row>
    <row r="563" spans="6:6">
      <c r="F563" s="9"/>
    </row>
    <row r="564" spans="6:6">
      <c r="F564" s="10"/>
    </row>
    <row r="565" spans="6:6">
      <c r="F565" s="10"/>
    </row>
    <row r="566" spans="6:6">
      <c r="F566" s="9"/>
    </row>
    <row r="567" spans="6:6">
      <c r="F567" s="10"/>
    </row>
    <row r="568" spans="6:6">
      <c r="F568" s="9"/>
    </row>
    <row r="569" spans="6:6">
      <c r="F569" s="10"/>
    </row>
    <row r="570" spans="6:6">
      <c r="F570" s="9"/>
    </row>
    <row r="571" spans="6:6">
      <c r="F571" s="10"/>
    </row>
    <row r="572" spans="6:6">
      <c r="F572" s="9"/>
    </row>
    <row r="573" spans="6:6">
      <c r="F573" s="10"/>
    </row>
    <row r="574" spans="6:6">
      <c r="F574" s="9"/>
    </row>
    <row r="575" spans="6:6">
      <c r="F575" s="10"/>
    </row>
    <row r="576" spans="6:6">
      <c r="F576" s="9"/>
    </row>
    <row r="577" spans="6:6">
      <c r="F577" s="10"/>
    </row>
    <row r="578" spans="6:6">
      <c r="F578" s="9"/>
    </row>
    <row r="579" spans="6:6">
      <c r="F579" s="10"/>
    </row>
    <row r="580" spans="6:6">
      <c r="F580" s="9"/>
    </row>
    <row r="581" spans="6:6">
      <c r="F581" s="10"/>
    </row>
    <row r="582" spans="6:6">
      <c r="F582" s="9"/>
    </row>
    <row r="583" spans="6:6">
      <c r="F583" s="10"/>
    </row>
    <row r="584" spans="6:6">
      <c r="F584" s="9"/>
    </row>
    <row r="585" spans="6:6">
      <c r="F585" s="10"/>
    </row>
    <row r="586" spans="6:6">
      <c r="F586" s="9"/>
    </row>
    <row r="587" spans="6:6">
      <c r="F587" s="10"/>
    </row>
    <row r="588" spans="6:6">
      <c r="F588" s="9"/>
    </row>
    <row r="589" spans="6:6">
      <c r="F589" s="10"/>
    </row>
    <row r="590" spans="6:6">
      <c r="F590" s="9"/>
    </row>
    <row r="591" spans="6:6">
      <c r="F591" s="10"/>
    </row>
    <row r="592" spans="6:6">
      <c r="F592" s="9"/>
    </row>
    <row r="593" spans="6:6">
      <c r="F593" s="9"/>
    </row>
    <row r="594" spans="6:6">
      <c r="F594" s="10"/>
    </row>
    <row r="595" spans="6:6">
      <c r="F595" s="9"/>
    </row>
    <row r="596" spans="6:6">
      <c r="F596" s="10"/>
    </row>
    <row r="597" spans="6:6">
      <c r="F597" s="9"/>
    </row>
    <row r="598" spans="6:6">
      <c r="F598" s="10"/>
    </row>
    <row r="599" spans="6:6">
      <c r="F599" s="9"/>
    </row>
    <row r="600" spans="6:6">
      <c r="F600" s="10"/>
    </row>
    <row r="601" spans="6:6">
      <c r="F601" s="9"/>
    </row>
    <row r="602" spans="6:6">
      <c r="F602" s="10"/>
    </row>
    <row r="603" spans="6:6">
      <c r="F603" s="9"/>
    </row>
    <row r="604" spans="6:6">
      <c r="F604" s="10"/>
    </row>
    <row r="605" spans="6:6">
      <c r="F605" s="9"/>
    </row>
    <row r="606" spans="6:6">
      <c r="F606" s="10"/>
    </row>
    <row r="607" spans="6:6">
      <c r="F607" s="9"/>
    </row>
    <row r="608" spans="6:6">
      <c r="F608" s="10"/>
    </row>
    <row r="609" spans="6:6">
      <c r="F609" s="9"/>
    </row>
    <row r="610" spans="6:6">
      <c r="F610" s="10"/>
    </row>
    <row r="611" spans="6:6">
      <c r="F611" s="9"/>
    </row>
    <row r="612" spans="6:6">
      <c r="F612" s="9"/>
    </row>
    <row r="613" spans="6:6">
      <c r="F613" s="10"/>
    </row>
    <row r="614" spans="6:6">
      <c r="F614" s="9"/>
    </row>
    <row r="615" spans="6:6">
      <c r="F615" s="10"/>
    </row>
    <row r="616" spans="6:6">
      <c r="F616" s="9"/>
    </row>
    <row r="617" spans="6:6">
      <c r="F617" s="10"/>
    </row>
    <row r="618" spans="6:6">
      <c r="F618" s="9"/>
    </row>
    <row r="619" spans="6:6">
      <c r="F619" s="10"/>
    </row>
    <row r="620" spans="6:6">
      <c r="F620" s="9"/>
    </row>
    <row r="621" spans="6:6">
      <c r="F621" s="10"/>
    </row>
    <row r="622" spans="6:6">
      <c r="F622" s="9"/>
    </row>
    <row r="623" spans="6:6">
      <c r="F623" s="10"/>
    </row>
    <row r="624" spans="6:6">
      <c r="F624" s="9"/>
    </row>
    <row r="625" spans="6:6">
      <c r="F625" s="10"/>
    </row>
    <row r="626" spans="6:6">
      <c r="F626" s="9"/>
    </row>
    <row r="627" spans="6:6">
      <c r="F627" s="10"/>
    </row>
    <row r="628" spans="6:6">
      <c r="F628" s="9"/>
    </row>
    <row r="629" spans="6:6">
      <c r="F629" s="10"/>
    </row>
    <row r="630" spans="6:6">
      <c r="F630" s="9"/>
    </row>
    <row r="631" spans="6:6">
      <c r="F631" s="9"/>
    </row>
    <row r="632" spans="6:6">
      <c r="F632" s="10"/>
    </row>
    <row r="633" spans="6:6">
      <c r="F633" s="9"/>
    </row>
    <row r="634" spans="6:6">
      <c r="F634" s="10"/>
    </row>
    <row r="635" spans="6:6">
      <c r="F635" s="9"/>
    </row>
    <row r="636" spans="6:6">
      <c r="F636" s="10"/>
    </row>
    <row r="637" spans="6:6">
      <c r="F637" s="9"/>
    </row>
    <row r="638" spans="6:6">
      <c r="F638" s="10"/>
    </row>
    <row r="639" spans="6:6">
      <c r="F639" s="9"/>
    </row>
    <row r="640" spans="6:6">
      <c r="F640" s="10"/>
    </row>
    <row r="641" spans="6:6">
      <c r="F641" s="9"/>
    </row>
    <row r="642" spans="6:6">
      <c r="F642" s="10"/>
    </row>
    <row r="643" spans="6:6">
      <c r="F643" s="9"/>
    </row>
    <row r="644" spans="6:6">
      <c r="F644" s="10"/>
    </row>
    <row r="645" spans="6:6">
      <c r="F645" s="9"/>
    </row>
    <row r="646" spans="6:6">
      <c r="F646" s="10"/>
    </row>
    <row r="647" spans="6:6">
      <c r="F647" s="9"/>
    </row>
    <row r="648" spans="6:6">
      <c r="F648" s="10"/>
    </row>
    <row r="649" spans="6:6">
      <c r="F649" s="9"/>
    </row>
    <row r="650" spans="6:6">
      <c r="F650" s="10"/>
    </row>
    <row r="651" spans="6:6">
      <c r="F651" s="9"/>
    </row>
    <row r="652" spans="6:6">
      <c r="F652" s="10"/>
    </row>
    <row r="653" spans="6:6">
      <c r="F653" s="9"/>
    </row>
    <row r="654" spans="6:6">
      <c r="F654" s="10"/>
    </row>
    <row r="655" spans="6:6">
      <c r="F655" s="9"/>
    </row>
    <row r="656" spans="6:6">
      <c r="F656" s="10"/>
    </row>
    <row r="657" spans="6:6">
      <c r="F657" s="9"/>
    </row>
    <row r="658" spans="6:6">
      <c r="F658" s="10"/>
    </row>
    <row r="659" spans="6:6">
      <c r="F659" s="9"/>
    </row>
    <row r="660" spans="6:6">
      <c r="F660" s="10"/>
    </row>
    <row r="661" spans="6:6">
      <c r="F661" s="9"/>
    </row>
    <row r="662" spans="6:6">
      <c r="F662" s="10"/>
    </row>
    <row r="663" spans="6:6">
      <c r="F663" s="9"/>
    </row>
    <row r="664" spans="6:6">
      <c r="F664" s="9"/>
    </row>
    <row r="665" spans="6:6">
      <c r="F665" s="10"/>
    </row>
    <row r="666" spans="6:6">
      <c r="F666" s="9"/>
    </row>
    <row r="667" spans="6:6">
      <c r="F667" s="10"/>
    </row>
    <row r="668" spans="6:6">
      <c r="F668" s="9"/>
    </row>
    <row r="669" spans="6:6">
      <c r="F669" s="10"/>
    </row>
    <row r="670" spans="6:6">
      <c r="F670" s="9"/>
    </row>
    <row r="671" spans="6:6">
      <c r="F671" s="10"/>
    </row>
    <row r="672" spans="6:6">
      <c r="F672" s="10"/>
    </row>
    <row r="673" spans="6:6">
      <c r="F673" s="9"/>
    </row>
    <row r="674" spans="6:6">
      <c r="F674" s="10"/>
    </row>
    <row r="675" spans="6:6">
      <c r="F675" s="9"/>
    </row>
    <row r="676" spans="6:6">
      <c r="F676" s="10"/>
    </row>
    <row r="677" spans="6:6">
      <c r="F677" s="9"/>
    </row>
    <row r="678" spans="6:6">
      <c r="F678" s="10"/>
    </row>
    <row r="679" spans="6:6">
      <c r="F679" s="9"/>
    </row>
    <row r="680" spans="6:6">
      <c r="F680" s="10"/>
    </row>
    <row r="681" spans="6:6">
      <c r="F681" s="9"/>
    </row>
    <row r="682" spans="6:6">
      <c r="F682" s="10"/>
    </row>
    <row r="683" spans="6:6">
      <c r="F683" s="9"/>
    </row>
    <row r="684" spans="6:6">
      <c r="F684" s="10"/>
    </row>
    <row r="685" spans="6:6">
      <c r="F685" s="9"/>
    </row>
    <row r="686" spans="6:6">
      <c r="F686" s="10"/>
    </row>
    <row r="687" spans="6:6">
      <c r="F687" s="9"/>
    </row>
    <row r="688" spans="6:6">
      <c r="F688" s="10"/>
    </row>
    <row r="689" spans="6:6">
      <c r="F689" s="9"/>
    </row>
    <row r="690" spans="6:6">
      <c r="F690" s="10"/>
    </row>
    <row r="691" spans="6:6">
      <c r="F691" s="9"/>
    </row>
    <row r="692" spans="6:6">
      <c r="F692" s="10"/>
    </row>
    <row r="693" spans="6:6">
      <c r="F693" s="9"/>
    </row>
    <row r="694" spans="6:6">
      <c r="F694" s="10"/>
    </row>
    <row r="695" spans="6:6">
      <c r="F695" s="9"/>
    </row>
    <row r="696" spans="6:6">
      <c r="F696" s="9"/>
    </row>
    <row r="697" spans="6:6">
      <c r="F697" s="10"/>
    </row>
    <row r="698" spans="6:6">
      <c r="F698" s="10"/>
    </row>
    <row r="699" spans="6:6">
      <c r="F699" s="9"/>
    </row>
    <row r="700" spans="6:6">
      <c r="F700" s="10"/>
    </row>
    <row r="701" spans="6:6">
      <c r="F701" s="9"/>
    </row>
    <row r="702" spans="6:6">
      <c r="F702" s="10"/>
    </row>
    <row r="703" spans="6:6">
      <c r="F703" s="9"/>
    </row>
    <row r="704" spans="6:6">
      <c r="F704" s="9"/>
    </row>
    <row r="705" spans="6:6">
      <c r="F705" s="10"/>
    </row>
    <row r="706" spans="6:6">
      <c r="F706" s="9"/>
    </row>
    <row r="707" spans="6:6">
      <c r="F707" s="10"/>
    </row>
    <row r="708" spans="6:6">
      <c r="F708" s="9"/>
    </row>
    <row r="709" spans="6:6">
      <c r="F709" s="10"/>
    </row>
    <row r="710" spans="6:6">
      <c r="F710" s="9"/>
    </row>
    <row r="711" spans="6:6">
      <c r="F711" s="10"/>
    </row>
    <row r="712" spans="6:6">
      <c r="F712" s="9"/>
    </row>
    <row r="713" spans="6:6">
      <c r="F713" s="10"/>
    </row>
    <row r="714" spans="6:6">
      <c r="F714" s="9"/>
    </row>
    <row r="715" spans="6:6">
      <c r="F715" s="10"/>
    </row>
    <row r="716" spans="6:6">
      <c r="F716" s="9"/>
    </row>
    <row r="717" spans="6:6">
      <c r="F717" s="10"/>
    </row>
    <row r="718" spans="6:6">
      <c r="F718" s="9"/>
    </row>
    <row r="719" spans="6:6">
      <c r="F719" s="10"/>
    </row>
    <row r="720" spans="6:6">
      <c r="F720" s="9"/>
    </row>
    <row r="721" spans="6:6">
      <c r="F721" s="10"/>
    </row>
    <row r="722" spans="6:6">
      <c r="F722" s="9"/>
    </row>
    <row r="723" spans="6:6">
      <c r="F723" s="10"/>
    </row>
    <row r="724" spans="6:6">
      <c r="F724" s="9"/>
    </row>
    <row r="725" spans="6:6">
      <c r="F725" s="10"/>
    </row>
    <row r="726" spans="6:6">
      <c r="F726" s="9"/>
    </row>
    <row r="727" spans="6:6">
      <c r="F727" s="10"/>
    </row>
    <row r="728" spans="6:6">
      <c r="F728" s="9"/>
    </row>
    <row r="729" spans="6:6">
      <c r="F729" s="10"/>
    </row>
    <row r="730" spans="6:6">
      <c r="F730" s="9"/>
    </row>
    <row r="731" spans="6:6">
      <c r="F731" s="10"/>
    </row>
    <row r="732" spans="6:6">
      <c r="F732" s="9"/>
    </row>
    <row r="733" spans="6:6">
      <c r="F733" s="10"/>
    </row>
    <row r="734" spans="6:6">
      <c r="F734" s="9"/>
    </row>
    <row r="735" spans="6:6">
      <c r="F735" s="10"/>
    </row>
    <row r="736" spans="6:6">
      <c r="F736" s="9"/>
    </row>
    <row r="737" spans="6:6">
      <c r="F737" s="10"/>
    </row>
    <row r="738" spans="6:6">
      <c r="F738" s="9"/>
    </row>
    <row r="739" spans="6:6">
      <c r="F739" s="10"/>
    </row>
    <row r="740" spans="6:6">
      <c r="F740" s="9"/>
    </row>
    <row r="741" spans="6:6">
      <c r="F741" s="10"/>
    </row>
    <row r="742" spans="6:6">
      <c r="F742" s="9"/>
    </row>
    <row r="743" spans="6:6">
      <c r="F743" s="10"/>
    </row>
    <row r="744" spans="6:6">
      <c r="F744" s="9"/>
    </row>
    <row r="745" spans="6:6">
      <c r="F745" s="10"/>
    </row>
    <row r="746" spans="6:6">
      <c r="F746" s="9"/>
    </row>
    <row r="747" spans="6:6">
      <c r="F747" s="10"/>
    </row>
    <row r="748" spans="6:6">
      <c r="F748" s="9"/>
    </row>
    <row r="749" spans="6:6">
      <c r="F749" s="10"/>
    </row>
    <row r="750" spans="6:6">
      <c r="F750" s="9"/>
    </row>
    <row r="751" spans="6:6">
      <c r="F751" s="10"/>
    </row>
    <row r="752" spans="6:6">
      <c r="F752" s="9"/>
    </row>
    <row r="753" spans="6:6">
      <c r="F753" s="10"/>
    </row>
    <row r="754" spans="6:6">
      <c r="F754" s="9"/>
    </row>
    <row r="755" spans="6:6">
      <c r="F755" s="10"/>
    </row>
    <row r="756" spans="6:6">
      <c r="F756" s="9"/>
    </row>
    <row r="757" spans="6:6">
      <c r="F757" s="10"/>
    </row>
    <row r="758" spans="6:6">
      <c r="F758" s="9"/>
    </row>
    <row r="759" spans="6:6">
      <c r="F759" s="10"/>
    </row>
    <row r="760" spans="6:6">
      <c r="F760" s="9"/>
    </row>
    <row r="761" spans="6:6">
      <c r="F761" s="10"/>
    </row>
    <row r="762" spans="6:6">
      <c r="F762" s="9"/>
    </row>
    <row r="763" spans="6:6">
      <c r="F763" s="10"/>
    </row>
    <row r="764" spans="6:6">
      <c r="F764" s="9"/>
    </row>
    <row r="765" spans="6:6">
      <c r="F765" s="10"/>
    </row>
    <row r="766" spans="6:6">
      <c r="F766" s="9"/>
    </row>
    <row r="767" spans="6:6">
      <c r="F767" s="10"/>
    </row>
    <row r="768" spans="6:6">
      <c r="F768" s="9"/>
    </row>
    <row r="769" spans="6:6">
      <c r="F769" s="10"/>
    </row>
    <row r="770" spans="6:6">
      <c r="F770" s="9"/>
    </row>
    <row r="771" spans="6:6">
      <c r="F771" s="10"/>
    </row>
    <row r="772" spans="6:6">
      <c r="F772" s="9"/>
    </row>
    <row r="773" spans="6:6">
      <c r="F773" s="10"/>
    </row>
    <row r="774" spans="6:6">
      <c r="F774" s="10"/>
    </row>
    <row r="775" spans="6:6">
      <c r="F775" s="9"/>
    </row>
    <row r="776" spans="6:6">
      <c r="F776" s="10"/>
    </row>
    <row r="777" spans="6:6">
      <c r="F777" s="9"/>
    </row>
    <row r="778" spans="6:6">
      <c r="F778" s="9"/>
    </row>
    <row r="779" spans="6:6">
      <c r="F779" s="10"/>
    </row>
    <row r="780" spans="6:6">
      <c r="F780" s="9"/>
    </row>
    <row r="781" spans="6:6">
      <c r="F781" s="10"/>
    </row>
    <row r="782" spans="6:6">
      <c r="F782" s="9"/>
    </row>
    <row r="783" spans="6:6">
      <c r="F783" s="9"/>
    </row>
    <row r="784" spans="6:6">
      <c r="F784" s="10"/>
    </row>
    <row r="785" spans="6:6">
      <c r="F785" s="9"/>
    </row>
    <row r="786" spans="6:6">
      <c r="F786" s="9"/>
    </row>
    <row r="787" spans="6:6">
      <c r="F787" s="10"/>
    </row>
    <row r="788" spans="6:6">
      <c r="F788" s="9"/>
    </row>
    <row r="789" spans="6:6">
      <c r="F789" s="10"/>
    </row>
    <row r="790" spans="6:6">
      <c r="F790" s="10"/>
    </row>
    <row r="791" spans="6:6">
      <c r="F791" s="10"/>
    </row>
    <row r="792" spans="6:6">
      <c r="F792" s="9"/>
    </row>
    <row r="793" spans="6:6">
      <c r="F793" s="10"/>
    </row>
    <row r="794" spans="6:6">
      <c r="F794" s="9"/>
    </row>
    <row r="795" spans="6:6">
      <c r="F795" s="9"/>
    </row>
    <row r="796" spans="6:6">
      <c r="F796" s="10"/>
    </row>
    <row r="797" spans="6:6">
      <c r="F797" s="9"/>
    </row>
    <row r="798" spans="6:6">
      <c r="F798" s="10"/>
    </row>
    <row r="799" spans="6:6">
      <c r="F799" s="9"/>
    </row>
    <row r="800" spans="6:6">
      <c r="F800" s="10"/>
    </row>
    <row r="801" spans="6:6">
      <c r="F801" s="10"/>
    </row>
    <row r="802" spans="6:6">
      <c r="F802" s="9"/>
    </row>
    <row r="803" spans="6:6">
      <c r="F803" s="10"/>
    </row>
    <row r="804" spans="6:6">
      <c r="F804" s="9"/>
    </row>
    <row r="805" spans="6:6">
      <c r="F805" s="10"/>
    </row>
    <row r="806" spans="6:6">
      <c r="F806" s="9"/>
    </row>
    <row r="807" spans="6:6">
      <c r="F807" s="10"/>
    </row>
    <row r="808" spans="6:6">
      <c r="F808" s="9"/>
    </row>
    <row r="809" spans="6:6">
      <c r="F809" s="10"/>
    </row>
    <row r="810" spans="6:6">
      <c r="F810" s="9"/>
    </row>
    <row r="811" spans="6:6">
      <c r="F811" s="10"/>
    </row>
    <row r="812" spans="6:6">
      <c r="F812" s="9"/>
    </row>
    <row r="813" spans="6:6">
      <c r="F813" s="10"/>
    </row>
    <row r="814" spans="6:6">
      <c r="F814" s="9"/>
    </row>
    <row r="815" spans="6:6">
      <c r="F815" s="10"/>
    </row>
    <row r="816" spans="6:6">
      <c r="F816" s="10"/>
    </row>
    <row r="817" spans="6:6">
      <c r="F817" s="9"/>
    </row>
    <row r="818" spans="6:6">
      <c r="F818" s="10"/>
    </row>
    <row r="819" spans="6:6">
      <c r="F819" s="9"/>
    </row>
    <row r="820" spans="6:6">
      <c r="F820" s="10"/>
    </row>
    <row r="821" spans="6:6">
      <c r="F821" s="9"/>
    </row>
    <row r="822" spans="6:6">
      <c r="F822" s="10"/>
    </row>
    <row r="823" spans="6:6">
      <c r="F823" s="9"/>
    </row>
    <row r="824" spans="6:6">
      <c r="F824" s="10"/>
    </row>
    <row r="825" spans="6:6">
      <c r="F825" s="9"/>
    </row>
    <row r="826" spans="6:6">
      <c r="F826" s="10"/>
    </row>
  </sheetData>
  <conditionalFormatting sqref="B1:B1048576">
    <cfRule type="duplicateValues" dxfId="27" priority="1"/>
  </conditionalFormatting>
  <conditionalFormatting sqref="B246:B1048576 B1:B182">
    <cfRule type="duplicateValues" dxfId="26" priority="4"/>
  </conditionalFormatting>
  <conditionalFormatting sqref="B246:B1048576">
    <cfRule type="duplicateValues" dxfId="25" priority="2"/>
    <cfRule type="duplicateValues" dxfId="24" priority="3"/>
  </conditionalFormatting>
  <conditionalFormatting sqref="F168:F176">
    <cfRule type="duplicateValues" dxfId="23" priority="6"/>
  </conditionalFormatting>
  <conditionalFormatting sqref="F180:F1048576 F1:F178">
    <cfRule type="duplicateValues" dxfId="22" priority="1999"/>
  </conditionalFormatting>
  <conditionalFormatting sqref="F180:F1048576">
    <cfRule type="duplicateValues" dxfId="21" priority="5"/>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DB8D-0435-4E22-A52A-B2EACF1B8F66}">
  <dimension ref="A1:J703"/>
  <sheetViews>
    <sheetView topLeftCell="B1" workbookViewId="0">
      <selection activeCell="C87" sqref="C87"/>
    </sheetView>
  </sheetViews>
  <sheetFormatPr defaultRowHeight="12.75"/>
  <cols>
    <col min="1" max="2" width="81.140625" bestFit="1" customWidth="1"/>
    <col min="3" max="3" width="7.28515625" bestFit="1" customWidth="1"/>
    <col min="4" max="4" width="54.85546875" bestFit="1" customWidth="1"/>
    <col min="5" max="5" width="6.7109375" bestFit="1" customWidth="1"/>
    <col min="6" max="6" width="42.4257812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5166</v>
      </c>
      <c r="B2" t="s">
        <v>5167</v>
      </c>
      <c r="C2">
        <v>2017</v>
      </c>
      <c r="D2" t="s">
        <v>5168</v>
      </c>
      <c r="E2" t="s">
        <v>51</v>
      </c>
      <c r="F2" t="s">
        <v>5169</v>
      </c>
      <c r="G2" t="s">
        <v>5170</v>
      </c>
      <c r="H2">
        <v>5</v>
      </c>
      <c r="I2" t="s">
        <v>51</v>
      </c>
      <c r="J2" s="32" t="str">
        <f t="shared" ref="J2:J19" si="0">HYPERLINK($D2,$B2)</f>
        <v>URAI - On the in-controller performance of an open source EtherCAT master using open platforms</v>
      </c>
    </row>
    <row r="3" spans="1:10">
      <c r="A3" t="s">
        <v>5177</v>
      </c>
      <c r="B3" t="s">
        <v>5178</v>
      </c>
      <c r="C3">
        <v>2018</v>
      </c>
      <c r="D3" t="s">
        <v>5179</v>
      </c>
      <c r="E3" t="s">
        <v>51</v>
      </c>
      <c r="F3" t="s">
        <v>5180</v>
      </c>
      <c r="G3" t="s">
        <v>5181</v>
      </c>
      <c r="H3">
        <v>19414</v>
      </c>
      <c r="I3" t="s">
        <v>51</v>
      </c>
      <c r="J3" t="str">
        <f t="shared" si="0"/>
        <v>ICSA - Self-Commissioning Industrial IoT-Systems in Process Automation: A Reference Architecture</v>
      </c>
    </row>
    <row r="4" spans="1:10">
      <c r="A4" t="s">
        <v>5183</v>
      </c>
      <c r="B4" t="s">
        <v>5184</v>
      </c>
      <c r="C4">
        <v>2016</v>
      </c>
      <c r="D4" t="s">
        <v>5185</v>
      </c>
      <c r="E4" t="s">
        <v>51</v>
      </c>
      <c r="F4" t="s">
        <v>5186</v>
      </c>
      <c r="G4" t="s">
        <v>5187</v>
      </c>
      <c r="H4">
        <v>6</v>
      </c>
      <c r="I4" t="s">
        <v>51</v>
      </c>
      <c r="J4" t="str">
        <f t="shared" si="0"/>
        <v>Case of study of a Profinet network using ring topology</v>
      </c>
    </row>
    <row r="5" spans="1:10">
      <c r="A5" t="s">
        <v>5188</v>
      </c>
      <c r="B5" t="s">
        <v>5189</v>
      </c>
      <c r="C5">
        <v>2014</v>
      </c>
      <c r="D5" t="s">
        <v>2840</v>
      </c>
      <c r="E5" t="s">
        <v>51</v>
      </c>
      <c r="F5" t="s">
        <v>2402</v>
      </c>
      <c r="G5" t="s">
        <v>5190</v>
      </c>
      <c r="H5">
        <v>12</v>
      </c>
      <c r="I5" t="s">
        <v>51</v>
      </c>
      <c r="J5" t="str">
        <f t="shared" si="0"/>
        <v>A Survey on Middleware Approaches for Distributed Real-Time Systems</v>
      </c>
    </row>
    <row r="6" spans="1:10">
      <c r="A6" t="s">
        <v>5192</v>
      </c>
      <c r="B6" t="s">
        <v>5193</v>
      </c>
      <c r="C6">
        <v>2002</v>
      </c>
      <c r="D6" t="s">
        <v>5194</v>
      </c>
      <c r="E6" t="s">
        <v>51</v>
      </c>
      <c r="F6" t="s">
        <v>5195</v>
      </c>
      <c r="G6" t="s">
        <v>5196</v>
      </c>
      <c r="I6" t="s">
        <v>51</v>
      </c>
      <c r="J6" t="str">
        <f t="shared" si="0"/>
        <v>Internet Group Management Protocol, Version 3</v>
      </c>
    </row>
    <row r="7" spans="1:10">
      <c r="A7" t="s">
        <v>5197</v>
      </c>
      <c r="B7" t="s">
        <v>5198</v>
      </c>
      <c r="C7">
        <v>2021</v>
      </c>
      <c r="D7" t="s">
        <v>5199</v>
      </c>
      <c r="E7" t="s">
        <v>51</v>
      </c>
      <c r="F7" t="s">
        <v>5200</v>
      </c>
      <c r="G7" t="s">
        <v>5201</v>
      </c>
      <c r="I7" t="s">
        <v>51</v>
      </c>
      <c r="J7" t="str">
        <f t="shared" si="0"/>
        <v>Performance Evaluation of QoS metrics in Software Defined Networking using Ryu Controller</v>
      </c>
    </row>
    <row r="8" spans="1:10">
      <c r="A8" t="s">
        <v>5203</v>
      </c>
      <c r="B8" t="s">
        <v>5204</v>
      </c>
      <c r="C8">
        <v>2016</v>
      </c>
      <c r="D8" t="s">
        <v>5205</v>
      </c>
      <c r="E8" t="s">
        <v>51</v>
      </c>
      <c r="F8" t="s">
        <v>5206</v>
      </c>
      <c r="G8" t="s">
        <v>5207</v>
      </c>
      <c r="H8">
        <v>6</v>
      </c>
      <c r="I8" t="s">
        <v>51</v>
      </c>
      <c r="J8" t="str">
        <f t="shared" si="0"/>
        <v>EMSOFT - Exploring the performance of ROS2</v>
      </c>
    </row>
    <row r="9" spans="1:10">
      <c r="A9" t="s">
        <v>5208</v>
      </c>
      <c r="B9" t="s">
        <v>5209</v>
      </c>
      <c r="C9">
        <v>2016</v>
      </c>
      <c r="D9" t="s">
        <v>2840</v>
      </c>
      <c r="E9" t="s">
        <v>51</v>
      </c>
      <c r="F9" t="s">
        <v>2402</v>
      </c>
      <c r="G9" t="s">
        <v>5210</v>
      </c>
      <c r="H9">
        <v>18</v>
      </c>
      <c r="I9" t="s">
        <v>51</v>
      </c>
      <c r="J9" t="str">
        <f t="shared" si="0"/>
        <v>A Middleware Based Architecture for the Industrial Internet of Things</v>
      </c>
    </row>
    <row r="10" spans="1:10">
      <c r="A10" t="s">
        <v>5211</v>
      </c>
      <c r="B10" t="s">
        <v>5212</v>
      </c>
      <c r="C10">
        <v>2020</v>
      </c>
      <c r="D10" t="s">
        <v>5213</v>
      </c>
      <c r="E10" t="s">
        <v>51</v>
      </c>
      <c r="F10" t="s">
        <v>5214</v>
      </c>
      <c r="G10" t="s">
        <v>5215</v>
      </c>
      <c r="H10">
        <v>27</v>
      </c>
      <c r="I10" t="s">
        <v>51</v>
      </c>
      <c r="J10" t="str">
        <f t="shared" si="0"/>
        <v>Edge Computing in Industrial Internet of Things: Architecture, Advances and Challenges</v>
      </c>
    </row>
    <row r="11" spans="1:10">
      <c r="A11" t="s">
        <v>5216</v>
      </c>
      <c r="B11" t="s">
        <v>5217</v>
      </c>
      <c r="C11">
        <v>2018</v>
      </c>
      <c r="D11" t="s">
        <v>5218</v>
      </c>
      <c r="E11" t="s">
        <v>51</v>
      </c>
      <c r="F11" t="s">
        <v>5219</v>
      </c>
      <c r="G11" t="s">
        <v>5220</v>
      </c>
      <c r="I11" t="s">
        <v>51</v>
      </c>
      <c r="J11" t="str">
        <f t="shared" si="0"/>
        <v>Message Encryption in Robot Operating System: Collateral Effects of Hardening Mobile Robots</v>
      </c>
    </row>
    <row r="12" spans="1:10">
      <c r="A12" t="s">
        <v>5221</v>
      </c>
      <c r="B12" t="s">
        <v>5222</v>
      </c>
      <c r="C12">
        <v>2019</v>
      </c>
      <c r="D12" t="s">
        <v>5223</v>
      </c>
      <c r="E12" t="s">
        <v>51</v>
      </c>
      <c r="F12" t="s">
        <v>5224</v>
      </c>
      <c r="G12" t="s">
        <v>5225</v>
      </c>
      <c r="H12">
        <v>10</v>
      </c>
      <c r="I12" t="s">
        <v>51</v>
      </c>
      <c r="J12" t="str">
        <f t="shared" si="0"/>
        <v>ICSE (SEIP) - OpenPnP: a plug-and-produce architecture for the industrial internet of things</v>
      </c>
    </row>
    <row r="13" spans="1:10">
      <c r="A13" t="s">
        <v>5231</v>
      </c>
      <c r="B13" t="s">
        <v>5232</v>
      </c>
      <c r="C13">
        <v>2020</v>
      </c>
      <c r="D13" t="s">
        <v>5233</v>
      </c>
      <c r="E13" t="s">
        <v>51</v>
      </c>
      <c r="F13" t="s">
        <v>5234</v>
      </c>
      <c r="G13" t="s">
        <v>5235</v>
      </c>
      <c r="H13">
        <v>7</v>
      </c>
      <c r="I13" t="s">
        <v>51</v>
      </c>
      <c r="J13" t="str">
        <f t="shared" si="0"/>
        <v>Network Intrusion Detection using Machine Learning Techniques</v>
      </c>
    </row>
    <row r="14" spans="1:10">
      <c r="A14" t="s">
        <v>5237</v>
      </c>
      <c r="B14" t="s">
        <v>5238</v>
      </c>
      <c r="C14">
        <v>2008</v>
      </c>
      <c r="D14" t="s">
        <v>5239</v>
      </c>
      <c r="E14" t="s">
        <v>51</v>
      </c>
      <c r="F14" t="s">
        <v>5240</v>
      </c>
      <c r="G14" t="s">
        <v>5241</v>
      </c>
      <c r="H14">
        <v>10</v>
      </c>
      <c r="I14" t="s">
        <v>51</v>
      </c>
      <c r="J14" t="str">
        <f t="shared" si="0"/>
        <v>A Distributed Instrument for Performance Analysis of Real-Time Ethernet Networks</v>
      </c>
    </row>
    <row r="15" spans="1:10">
      <c r="A15" t="s">
        <v>5242</v>
      </c>
      <c r="B15" t="s">
        <v>5243</v>
      </c>
      <c r="C15">
        <v>2014</v>
      </c>
      <c r="D15" t="s">
        <v>5244</v>
      </c>
      <c r="E15" t="s">
        <v>51</v>
      </c>
      <c r="F15" t="s">
        <v>5245</v>
      </c>
      <c r="G15" t="s">
        <v>5246</v>
      </c>
      <c r="H15">
        <v>4</v>
      </c>
      <c r="I15" t="s">
        <v>51</v>
      </c>
      <c r="J15" t="str">
        <f t="shared" si="0"/>
        <v>ETFA - New approach for improvements and comparison of high performance real-time ethernet networks</v>
      </c>
    </row>
    <row r="16" spans="1:10">
      <c r="A16" t="s">
        <v>5249</v>
      </c>
      <c r="B16" t="s">
        <v>5250</v>
      </c>
      <c r="C16">
        <v>2016</v>
      </c>
      <c r="D16" t="s">
        <v>5251</v>
      </c>
      <c r="E16" t="s">
        <v>51</v>
      </c>
      <c r="F16" t="s">
        <v>5252</v>
      </c>
      <c r="G16" t="s">
        <v>5253</v>
      </c>
      <c r="H16">
        <v>8</v>
      </c>
      <c r="I16" t="s">
        <v>51</v>
      </c>
      <c r="J16" t="str">
        <f t="shared" si="0"/>
        <v>Performance Analysis of Profibus DP and Profinet in a Motion Control Application</v>
      </c>
    </row>
    <row r="17" spans="1:10">
      <c r="A17" t="s">
        <v>5254</v>
      </c>
      <c r="B17" t="s">
        <v>5255</v>
      </c>
      <c r="C17">
        <v>2005</v>
      </c>
      <c r="D17" t="s">
        <v>5256</v>
      </c>
      <c r="E17" t="s">
        <v>51</v>
      </c>
      <c r="F17" t="s">
        <v>5257</v>
      </c>
      <c r="G17" t="s">
        <v>2402</v>
      </c>
      <c r="I17" t="s">
        <v>51</v>
      </c>
      <c r="J17" t="str">
        <f t="shared" si="0"/>
        <v>The Industrial Communication Technology Handbook - The Industrial Communication Technology Handbook</v>
      </c>
    </row>
    <row r="18" spans="1:10">
      <c r="A18" t="s">
        <v>5258</v>
      </c>
      <c r="B18" t="s">
        <v>5259</v>
      </c>
      <c r="C18">
        <v>2005</v>
      </c>
      <c r="D18" t="s">
        <v>5260</v>
      </c>
      <c r="E18" t="s">
        <v>51</v>
      </c>
      <c r="F18" t="s">
        <v>5261</v>
      </c>
      <c r="G18" t="s">
        <v>5262</v>
      </c>
      <c r="H18">
        <v>16</v>
      </c>
      <c r="I18" t="s">
        <v>51</v>
      </c>
      <c r="J18" t="str">
        <f t="shared" si="0"/>
        <v>Ethernet-Based Real-Time and Industrial Communications</v>
      </c>
    </row>
    <row r="19" spans="1:10">
      <c r="A19" t="s">
        <v>5263</v>
      </c>
      <c r="B19" t="s">
        <v>5264</v>
      </c>
      <c r="C19">
        <v>2009</v>
      </c>
      <c r="D19" t="s">
        <v>5265</v>
      </c>
      <c r="E19" t="s">
        <v>51</v>
      </c>
      <c r="F19" t="s">
        <v>5266</v>
      </c>
      <c r="G19" t="s">
        <v>2402</v>
      </c>
      <c r="I19" t="s">
        <v>51</v>
      </c>
      <c r="J19" t="str">
        <f t="shared" si="0"/>
        <v>OPC Unified Architecture</v>
      </c>
    </row>
    <row r="20" spans="1:10">
      <c r="A20" t="s">
        <v>2937</v>
      </c>
      <c r="B20" t="s">
        <v>5267</v>
      </c>
      <c r="C20">
        <v>2018</v>
      </c>
      <c r="D20" t="s">
        <v>5268</v>
      </c>
      <c r="E20" t="s">
        <v>51</v>
      </c>
      <c r="F20" t="s">
        <v>5269</v>
      </c>
      <c r="G20" t="s">
        <v>5270</v>
      </c>
      <c r="I20" t="s">
        <v>51</v>
      </c>
      <c r="J20" t="str">
        <f t="shared" ref="J20:J38" si="1">HYPERLINK($D20,$B20)</f>
        <v>Industrial Communication Systems</v>
      </c>
    </row>
    <row r="21" spans="1:10">
      <c r="A21" t="s">
        <v>5271</v>
      </c>
      <c r="B21" t="s">
        <v>5272</v>
      </c>
      <c r="C21">
        <v>2020</v>
      </c>
      <c r="D21" t="s">
        <v>5273</v>
      </c>
      <c r="E21" t="s">
        <v>51</v>
      </c>
      <c r="F21" t="s">
        <v>5274</v>
      </c>
      <c r="G21" t="s">
        <v>2402</v>
      </c>
      <c r="I21" t="s">
        <v>51</v>
      </c>
      <c r="J21" t="str">
        <f t="shared" si="1"/>
        <v>Factory Communications at the Dawn of the Fourth Industrial Revolution</v>
      </c>
    </row>
    <row r="22" spans="1:10">
      <c r="A22" t="s">
        <v>5275</v>
      </c>
      <c r="B22" t="s">
        <v>5276</v>
      </c>
      <c r="C22">
        <v>2020</v>
      </c>
      <c r="D22" t="s">
        <v>5277</v>
      </c>
      <c r="E22" t="s">
        <v>51</v>
      </c>
      <c r="F22" t="s">
        <v>5278</v>
      </c>
      <c r="G22" t="s">
        <v>5279</v>
      </c>
      <c r="H22">
        <v>19</v>
      </c>
      <c r="I22" t="s">
        <v>51</v>
      </c>
      <c r="J22" t="str">
        <f t="shared" si="1"/>
        <v>IEEE 1588 for Clock Synchronization in Industrial IoT and Related Applications: A Review on Contributing Technologies, Protocols and Enhancement Methodologies</v>
      </c>
    </row>
    <row r="23" spans="1:10">
      <c r="A23" t="s">
        <v>5280</v>
      </c>
      <c r="B23" t="s">
        <v>5281</v>
      </c>
      <c r="C23">
        <v>2007</v>
      </c>
      <c r="D23" t="s">
        <v>5282</v>
      </c>
      <c r="E23" t="s">
        <v>51</v>
      </c>
      <c r="F23" t="s">
        <v>5283</v>
      </c>
      <c r="G23" t="s">
        <v>2402</v>
      </c>
      <c r="H23">
        <v>8</v>
      </c>
      <c r="I23" t="s">
        <v>51</v>
      </c>
      <c r="J23" t="str">
        <f t="shared" si="1"/>
        <v>PERFORMANCE ANALYSIS OF ETHERNET/IP NETWORKS</v>
      </c>
    </row>
    <row r="24" spans="1:10">
      <c r="A24" t="s">
        <v>5284</v>
      </c>
      <c r="B24" t="s">
        <v>5285</v>
      </c>
      <c r="C24">
        <v>2014</v>
      </c>
      <c r="D24" t="s">
        <v>5286</v>
      </c>
      <c r="E24" t="s">
        <v>51</v>
      </c>
      <c r="F24" t="s">
        <v>5287</v>
      </c>
      <c r="G24" t="s">
        <v>5288</v>
      </c>
      <c r="H24">
        <v>8</v>
      </c>
      <c r="I24" t="s">
        <v>51</v>
      </c>
      <c r="J24" t="str">
        <f t="shared" si="1"/>
        <v>ETFA - Survey on real-time communication via ethernet in industrial automation environments</v>
      </c>
    </row>
    <row r="25" spans="1:10">
      <c r="A25" t="s">
        <v>5291</v>
      </c>
      <c r="B25" t="s">
        <v>5292</v>
      </c>
      <c r="C25">
        <v>2011</v>
      </c>
      <c r="D25" t="s">
        <v>5293</v>
      </c>
      <c r="E25" t="s">
        <v>51</v>
      </c>
      <c r="F25" t="s">
        <v>5294</v>
      </c>
      <c r="G25" t="s">
        <v>5295</v>
      </c>
      <c r="H25">
        <v>12</v>
      </c>
      <c r="I25" t="s">
        <v>51</v>
      </c>
      <c r="J25" t="str">
        <f t="shared" si="1"/>
        <v>Real-time Ethernet networks for motion control</v>
      </c>
    </row>
    <row r="26" spans="1:10">
      <c r="A26" t="s">
        <v>5296</v>
      </c>
      <c r="B26" t="s">
        <v>5297</v>
      </c>
      <c r="C26">
        <v>2020</v>
      </c>
      <c r="D26" t="s">
        <v>5298</v>
      </c>
      <c r="E26" t="s">
        <v>51</v>
      </c>
      <c r="F26" t="s">
        <v>5299</v>
      </c>
      <c r="G26" t="s">
        <v>5300</v>
      </c>
      <c r="H26">
        <v>6</v>
      </c>
      <c r="I26" t="s">
        <v>51</v>
      </c>
      <c r="J26" t="str">
        <f t="shared" si="1"/>
        <v>MetroInd4.0&amp;amp;IoT - Introducing a cloud based architecture for the distributed analysis of Real-Time Ethernet traffic</v>
      </c>
    </row>
    <row r="27" spans="1:10">
      <c r="A27" t="s">
        <v>5303</v>
      </c>
      <c r="B27" t="s">
        <v>5304</v>
      </c>
      <c r="C27">
        <v>2007</v>
      </c>
      <c r="D27" t="s">
        <v>5305</v>
      </c>
      <c r="E27" t="s">
        <v>51</v>
      </c>
      <c r="F27" t="s">
        <v>5306</v>
      </c>
      <c r="G27" t="s">
        <v>5307</v>
      </c>
      <c r="H27">
        <v>6</v>
      </c>
      <c r="I27" t="s">
        <v>51</v>
      </c>
      <c r="J27" t="str">
        <f t="shared" si="1"/>
        <v>ETFA - Precision of ethernet measurements based on software tools</v>
      </c>
    </row>
    <row r="28" spans="1:10">
      <c r="A28" t="s">
        <v>5309</v>
      </c>
      <c r="B28" t="s">
        <v>5310</v>
      </c>
      <c r="C28">
        <v>2023</v>
      </c>
      <c r="D28" t="s">
        <v>5311</v>
      </c>
      <c r="E28" t="s">
        <v>51</v>
      </c>
      <c r="F28" t="s">
        <v>5312</v>
      </c>
      <c r="G28" t="s">
        <v>5313</v>
      </c>
      <c r="H28">
        <v>6</v>
      </c>
      <c r="I28" t="s">
        <v>51</v>
      </c>
      <c r="J28" t="str">
        <f t="shared" si="1"/>
        <v>Siemens and EdgeX IIoT Platforms: A Functional and Performance Evaluation</v>
      </c>
    </row>
    <row r="29" spans="1:10">
      <c r="A29" t="s">
        <v>5316</v>
      </c>
      <c r="B29" t="s">
        <v>5317</v>
      </c>
      <c r="C29">
        <v>2008</v>
      </c>
      <c r="D29" t="s">
        <v>5318</v>
      </c>
      <c r="E29" t="s">
        <v>51</v>
      </c>
      <c r="F29" t="s">
        <v>5319</v>
      </c>
      <c r="G29" t="s">
        <v>5320</v>
      </c>
      <c r="H29">
        <v>34</v>
      </c>
      <c r="I29" t="s">
        <v>51</v>
      </c>
      <c r="J29" t="str">
        <f t="shared" si="1"/>
        <v>Guidelines for conducting and reporting case study research in software engineering</v>
      </c>
    </row>
    <row r="30" spans="1:10">
      <c r="A30" t="s">
        <v>5322</v>
      </c>
      <c r="B30" t="s">
        <v>5323</v>
      </c>
      <c r="C30">
        <v>2016</v>
      </c>
      <c r="D30" t="s">
        <v>5324</v>
      </c>
      <c r="E30" t="s">
        <v>51</v>
      </c>
      <c r="F30" t="s">
        <v>5325</v>
      </c>
      <c r="G30" t="s">
        <v>5326</v>
      </c>
      <c r="H30">
        <v>6</v>
      </c>
      <c r="I30" t="s">
        <v>51</v>
      </c>
      <c r="J30" t="str">
        <f t="shared" si="1"/>
        <v>COMPSAC - An Assessment of Internet of Things Protocols for Resource-Constrained Applications</v>
      </c>
    </row>
    <row r="31" spans="1:10">
      <c r="A31" t="s">
        <v>5327</v>
      </c>
      <c r="B31" t="s">
        <v>5328</v>
      </c>
      <c r="C31">
        <v>2014</v>
      </c>
      <c r="D31" t="s">
        <v>5329</v>
      </c>
      <c r="E31" t="s">
        <v>51</v>
      </c>
      <c r="F31" t="s">
        <v>5330</v>
      </c>
      <c r="G31" t="s">
        <v>5331</v>
      </c>
      <c r="H31">
        <v>11</v>
      </c>
      <c r="I31" t="s">
        <v>51</v>
      </c>
      <c r="J31" t="str">
        <f t="shared" si="1"/>
        <v>A Servo-Clock Model for Chains of Transparent Clocks Affected by Synchronization Period Jitter</v>
      </c>
    </row>
    <row r="32" spans="1:10">
      <c r="A32" t="s">
        <v>5332</v>
      </c>
      <c r="B32" t="s">
        <v>5333</v>
      </c>
      <c r="C32">
        <v>2017</v>
      </c>
      <c r="D32" t="s">
        <v>5334</v>
      </c>
      <c r="E32" t="s">
        <v>51</v>
      </c>
      <c r="F32" t="s">
        <v>5335</v>
      </c>
      <c r="G32" t="s">
        <v>5336</v>
      </c>
      <c r="I32" t="s">
        <v>51</v>
      </c>
      <c r="J32" t="str">
        <f t="shared" si="1"/>
        <v>Formal and simulation-based timing analysis of Industrial-Ethernet sercos III over TSN</v>
      </c>
    </row>
    <row r="33" spans="1:10">
      <c r="A33" t="s">
        <v>5337</v>
      </c>
      <c r="B33" t="s">
        <v>5338</v>
      </c>
      <c r="C33">
        <v>2014</v>
      </c>
      <c r="D33" t="s">
        <v>5339</v>
      </c>
      <c r="E33" t="s">
        <v>51</v>
      </c>
      <c r="F33" t="s">
        <v>5340</v>
      </c>
      <c r="G33" t="s">
        <v>5341</v>
      </c>
      <c r="H33">
        <v>6</v>
      </c>
      <c r="I33" t="s">
        <v>51</v>
      </c>
      <c r="J33" t="str">
        <f t="shared" si="1"/>
        <v>Comparative study of various traffic generator tools</v>
      </c>
    </row>
    <row r="34" spans="1:10">
      <c r="A34" t="s">
        <v>5343</v>
      </c>
      <c r="B34" t="s">
        <v>5344</v>
      </c>
      <c r="C34">
        <v>2017</v>
      </c>
      <c r="D34" t="s">
        <v>5345</v>
      </c>
      <c r="E34" t="s">
        <v>51</v>
      </c>
      <c r="F34" t="s">
        <v>5346</v>
      </c>
      <c r="G34" t="s">
        <v>5347</v>
      </c>
      <c r="H34">
        <v>6</v>
      </c>
      <c r="I34" t="s">
        <v>51</v>
      </c>
      <c r="J34" t="str">
        <f t="shared" si="1"/>
        <v>POWERLINK and Ethernet/IP Comparison as Robust Industrial Ethernet Protocols</v>
      </c>
    </row>
    <row r="35" spans="1:10">
      <c r="A35" t="s">
        <v>5348</v>
      </c>
      <c r="B35" t="s">
        <v>5349</v>
      </c>
      <c r="C35">
        <v>2006</v>
      </c>
      <c r="D35" t="s">
        <v>5350</v>
      </c>
      <c r="E35" t="s">
        <v>51</v>
      </c>
      <c r="F35" t="s">
        <v>5351</v>
      </c>
      <c r="G35" t="s">
        <v>2402</v>
      </c>
      <c r="H35">
        <v>17</v>
      </c>
      <c r="I35" t="s">
        <v>51</v>
      </c>
      <c r="J35" t="str">
        <f t="shared" si="1"/>
        <v>Performance analysis of PROFINET networks</v>
      </c>
    </row>
    <row r="36" spans="1:10">
      <c r="A36" t="s">
        <v>5353</v>
      </c>
      <c r="B36" t="s">
        <v>5354</v>
      </c>
      <c r="C36">
        <v>2015</v>
      </c>
      <c r="D36" t="s">
        <v>5355</v>
      </c>
      <c r="E36" t="s">
        <v>51</v>
      </c>
      <c r="F36" t="s">
        <v>5356</v>
      </c>
      <c r="G36" t="s">
        <v>5357</v>
      </c>
      <c r="H36">
        <v>6</v>
      </c>
      <c r="I36" t="s">
        <v>51</v>
      </c>
      <c r="J36" t="str">
        <f t="shared" si="1"/>
        <v>Overhead and ACK-induced jitter in Modbus TCP communication</v>
      </c>
    </row>
    <row r="37" spans="1:10">
      <c r="A37" t="s">
        <v>5358</v>
      </c>
      <c r="B37" t="s">
        <v>5359</v>
      </c>
      <c r="C37">
        <v>2016</v>
      </c>
      <c r="D37" t="s">
        <v>5360</v>
      </c>
      <c r="E37" t="s">
        <v>51</v>
      </c>
      <c r="F37" t="s">
        <v>5361</v>
      </c>
      <c r="G37" t="s">
        <v>5362</v>
      </c>
      <c r="H37">
        <v>7</v>
      </c>
      <c r="I37" t="s">
        <v>51</v>
      </c>
      <c r="J37" t="str">
        <f t="shared" si="1"/>
        <v>MoWNet - Performance evaluation of IoT protocols under a constrained wireless access network</v>
      </c>
    </row>
    <row r="38" spans="1:10">
      <c r="A38" t="s">
        <v>5365</v>
      </c>
      <c r="B38" t="s">
        <v>5366</v>
      </c>
      <c r="C38">
        <v>2012</v>
      </c>
      <c r="D38" t="s">
        <v>5367</v>
      </c>
      <c r="E38" t="s">
        <v>51</v>
      </c>
      <c r="F38" t="s">
        <v>5368</v>
      </c>
      <c r="G38" t="s">
        <v>5369</v>
      </c>
      <c r="H38">
        <v>10</v>
      </c>
      <c r="I38" t="s">
        <v>51</v>
      </c>
      <c r="J38" t="str">
        <f t="shared" si="1"/>
        <v>CN - Introduction to OPC UA Performance</v>
      </c>
    </row>
    <row r="39" spans="1:10">
      <c r="A39" t="s">
        <v>5371</v>
      </c>
      <c r="B39" t="s">
        <v>5372</v>
      </c>
      <c r="C39">
        <v>2016</v>
      </c>
      <c r="D39" t="s">
        <v>5373</v>
      </c>
      <c r="E39" t="s">
        <v>51</v>
      </c>
      <c r="F39" t="s">
        <v>5374</v>
      </c>
      <c r="G39" t="s">
        <v>5375</v>
      </c>
      <c r="H39">
        <v>7</v>
      </c>
      <c r="I39" t="s">
        <v>51</v>
      </c>
      <c r="J39" t="str">
        <f t="shared" ref="J39:J42" si="2">HYPERLINK($D39,$B39)</f>
        <v>WFCS - Hybrid OPC UA and DDS: Combining architectural styles for the industrial internet</v>
      </c>
    </row>
    <row r="40" spans="1:10">
      <c r="A40" t="s">
        <v>3308</v>
      </c>
      <c r="B40" t="s">
        <v>3309</v>
      </c>
      <c r="C40">
        <v>2009</v>
      </c>
      <c r="D40" t="s">
        <v>2840</v>
      </c>
      <c r="E40" t="s">
        <v>51</v>
      </c>
      <c r="F40" t="s">
        <v>2402</v>
      </c>
      <c r="G40" t="s">
        <v>3310</v>
      </c>
      <c r="H40">
        <v>8</v>
      </c>
      <c r="I40" t="s">
        <v>51</v>
      </c>
      <c r="J40" t="str">
        <f t="shared" si="2"/>
        <v>ETFA - Real Time Ethernet networks evaluation using performance indicators</v>
      </c>
    </row>
    <row r="41" spans="1:10">
      <c r="A41" t="s">
        <v>5332</v>
      </c>
      <c r="B41" t="s">
        <v>5377</v>
      </c>
      <c r="C41">
        <v>2017</v>
      </c>
      <c r="D41" t="s">
        <v>2840</v>
      </c>
      <c r="E41" t="s">
        <v>51</v>
      </c>
      <c r="F41" t="s">
        <v>2402</v>
      </c>
      <c r="G41" t="s">
        <v>5336</v>
      </c>
      <c r="H41">
        <v>8</v>
      </c>
      <c r="I41" t="s">
        <v>51</v>
      </c>
      <c r="J41" t="str">
        <f t="shared" si="2"/>
        <v>DS-RT - Formal and simulation-based timing analysis of industrial-ethernet sercos III over TSN</v>
      </c>
    </row>
    <row r="42" spans="1:10">
      <c r="A42" s="17" t="s">
        <v>2460</v>
      </c>
      <c r="B42" t="s">
        <v>2461</v>
      </c>
      <c r="C42">
        <v>2017</v>
      </c>
      <c r="D42" t="s">
        <v>2462</v>
      </c>
      <c r="E42" t="s">
        <v>51</v>
      </c>
      <c r="F42" t="s">
        <v>2463</v>
      </c>
      <c r="G42" t="s">
        <v>2464</v>
      </c>
      <c r="H42">
        <v>4</v>
      </c>
      <c r="I42" t="s">
        <v>51</v>
      </c>
      <c r="J42" s="32" t="str">
        <f t="shared" si="2"/>
        <v>A case study of data acquisition from field devices using OPC UA and MQTT</v>
      </c>
    </row>
    <row r="43" spans="1:10">
      <c r="A43" s="48"/>
      <c r="B43" s="9"/>
      <c r="C43" s="9"/>
      <c r="D43" s="9"/>
      <c r="E43" s="9"/>
    </row>
    <row r="44" spans="1:10">
      <c r="A44" s="33"/>
      <c r="B44" s="10"/>
      <c r="C44" s="10"/>
      <c r="D44" s="10"/>
      <c r="E44" s="10"/>
      <c r="F44" s="9"/>
      <c r="G44" s="9"/>
      <c r="H44" s="9"/>
      <c r="I44" s="41"/>
    </row>
    <row r="45" spans="1:10">
      <c r="A45" s="43"/>
      <c r="B45" s="9"/>
      <c r="C45" s="9"/>
      <c r="D45" s="9"/>
      <c r="E45" s="9"/>
      <c r="F45" s="10"/>
      <c r="G45" s="10"/>
      <c r="H45" s="10"/>
      <c r="I45" s="40"/>
    </row>
    <row r="46" spans="1:10">
      <c r="A46" s="33"/>
      <c r="B46" s="10"/>
      <c r="C46" s="10"/>
      <c r="D46" s="10"/>
      <c r="E46" s="10"/>
      <c r="F46" s="9"/>
      <c r="G46" s="9"/>
      <c r="H46" s="9"/>
      <c r="I46" s="41"/>
    </row>
    <row r="47" spans="1:10">
      <c r="A47" s="43"/>
      <c r="B47" s="9"/>
      <c r="C47" s="9"/>
      <c r="D47" s="9"/>
      <c r="E47" s="9"/>
      <c r="F47" s="10"/>
      <c r="G47" s="10"/>
      <c r="H47" s="10"/>
      <c r="I47" s="40"/>
    </row>
    <row r="48" spans="1:10">
      <c r="A48" s="33"/>
      <c r="B48" s="9"/>
      <c r="C48" s="10"/>
      <c r="D48" s="10"/>
      <c r="E48" s="10"/>
      <c r="F48" s="9"/>
      <c r="G48" s="9"/>
      <c r="H48" s="9"/>
      <c r="I48" s="41"/>
    </row>
    <row r="49" spans="1:9">
      <c r="A49" s="43"/>
      <c r="B49" s="10"/>
      <c r="C49" s="9"/>
      <c r="D49" s="9"/>
      <c r="E49" s="9"/>
      <c r="F49" s="10"/>
      <c r="G49" s="10"/>
      <c r="H49" s="10"/>
      <c r="I49" s="40"/>
    </row>
    <row r="50" spans="1:9">
      <c r="A50" s="33"/>
      <c r="B50" s="9"/>
      <c r="C50" s="10"/>
      <c r="D50" s="10"/>
      <c r="E50" s="10"/>
      <c r="F50" s="9"/>
      <c r="G50" s="9"/>
      <c r="H50" s="9"/>
      <c r="I50" s="41"/>
    </row>
    <row r="51" spans="1:9">
      <c r="A51" s="43"/>
      <c r="B51" s="10"/>
      <c r="C51" s="9"/>
      <c r="D51" s="9"/>
      <c r="E51" s="9"/>
      <c r="F51" s="10"/>
      <c r="G51" s="10"/>
      <c r="H51" s="10"/>
      <c r="I51" s="40"/>
    </row>
    <row r="52" spans="1:9">
      <c r="A52" s="33"/>
      <c r="B52" s="9"/>
      <c r="C52" s="10"/>
      <c r="D52" s="10"/>
      <c r="E52" s="10"/>
      <c r="F52" s="9"/>
      <c r="G52" s="9"/>
      <c r="H52" s="9"/>
      <c r="I52" s="41"/>
    </row>
    <row r="53" spans="1:9">
      <c r="A53" s="43"/>
      <c r="B53" s="10"/>
      <c r="C53" s="9"/>
      <c r="D53" s="9"/>
      <c r="E53" s="9"/>
      <c r="F53" s="10"/>
      <c r="G53" s="10"/>
      <c r="H53" s="10"/>
      <c r="I53" s="40"/>
    </row>
    <row r="54" spans="1:9">
      <c r="A54" s="33"/>
      <c r="B54" s="9"/>
      <c r="C54" s="10"/>
      <c r="D54" s="10"/>
      <c r="E54" s="10"/>
      <c r="F54" s="9"/>
      <c r="G54" s="9"/>
      <c r="H54" s="9"/>
      <c r="I54" s="41"/>
    </row>
    <row r="55" spans="1:9">
      <c r="A55" s="43"/>
      <c r="B55" s="10"/>
      <c r="C55" s="9"/>
      <c r="D55" s="9"/>
      <c r="E55" s="9"/>
      <c r="F55" s="10"/>
      <c r="G55" s="10"/>
      <c r="H55" s="10"/>
      <c r="I55" s="40"/>
    </row>
    <row r="56" spans="1:9">
      <c r="A56" s="33"/>
      <c r="B56" s="9"/>
      <c r="C56" s="10"/>
      <c r="D56" s="10"/>
      <c r="E56" s="10"/>
      <c r="F56" s="9"/>
      <c r="G56" s="9"/>
      <c r="H56" s="9"/>
      <c r="I56" s="41"/>
    </row>
    <row r="57" spans="1:9">
      <c r="A57" s="43"/>
      <c r="B57" s="10"/>
      <c r="C57" s="9"/>
      <c r="D57" s="9"/>
      <c r="E57" s="9"/>
      <c r="F57" s="10"/>
      <c r="G57" s="10"/>
      <c r="H57" s="10"/>
      <c r="I57" s="40"/>
    </row>
    <row r="58" spans="1:9">
      <c r="A58" s="33"/>
      <c r="B58" s="9"/>
      <c r="C58" s="10"/>
      <c r="D58" s="10"/>
      <c r="E58" s="10"/>
      <c r="F58" s="9"/>
      <c r="G58" s="9"/>
      <c r="H58" s="9"/>
      <c r="I58" s="41"/>
    </row>
    <row r="59" spans="1:9">
      <c r="A59" s="43"/>
      <c r="B59" s="10"/>
      <c r="C59" s="9"/>
      <c r="D59" s="9"/>
      <c r="E59" s="9"/>
      <c r="F59" s="10"/>
      <c r="G59" s="10"/>
      <c r="H59" s="10"/>
      <c r="I59" s="40"/>
    </row>
    <row r="60" spans="1:9">
      <c r="A60" s="33"/>
      <c r="B60" s="9"/>
      <c r="C60" s="10"/>
      <c r="D60" s="10"/>
      <c r="E60" s="10"/>
      <c r="F60" s="9"/>
      <c r="G60" s="9"/>
      <c r="H60" s="9"/>
      <c r="I60" s="41"/>
    </row>
    <row r="61" spans="1:9">
      <c r="A61" s="43"/>
      <c r="B61" s="10"/>
      <c r="C61" s="9"/>
      <c r="D61" s="9"/>
      <c r="E61" s="9"/>
      <c r="F61" s="10"/>
      <c r="G61" s="10"/>
      <c r="H61" s="10"/>
      <c r="I61" s="40"/>
    </row>
    <row r="62" spans="1:9">
      <c r="A62" s="33"/>
      <c r="B62" s="9"/>
      <c r="C62" s="10"/>
      <c r="D62" s="10"/>
      <c r="E62" s="10"/>
      <c r="F62" s="9"/>
      <c r="G62" s="9"/>
      <c r="H62" s="9"/>
      <c r="I62" s="41"/>
    </row>
    <row r="63" spans="1:9">
      <c r="A63" s="43"/>
      <c r="B63" s="10"/>
      <c r="C63" s="9"/>
      <c r="D63" s="9"/>
      <c r="E63" s="9"/>
      <c r="F63" s="10"/>
      <c r="G63" s="10"/>
      <c r="H63" s="10"/>
      <c r="I63" s="40"/>
    </row>
    <row r="64" spans="1:9">
      <c r="A64" s="33"/>
      <c r="B64" s="9"/>
      <c r="C64" s="10"/>
      <c r="D64" s="10"/>
      <c r="E64" s="10"/>
      <c r="F64" s="9"/>
      <c r="G64" s="9"/>
      <c r="H64" s="9"/>
      <c r="I64" s="41"/>
    </row>
    <row r="65" spans="2:2">
      <c r="B65" s="10"/>
    </row>
    <row r="66" spans="2:2">
      <c r="B66" s="9"/>
    </row>
    <row r="67" spans="2:2">
      <c r="B67" s="10"/>
    </row>
    <row r="68" spans="2:2">
      <c r="B68" s="9"/>
    </row>
    <row r="69" spans="2:2">
      <c r="B69" s="10"/>
    </row>
    <row r="70" spans="2:2">
      <c r="B70" s="9"/>
    </row>
    <row r="71" spans="2:2">
      <c r="B71" s="10"/>
    </row>
    <row r="72" spans="2:2">
      <c r="B72" s="9"/>
    </row>
    <row r="73" spans="2:2">
      <c r="B73" s="10"/>
    </row>
    <row r="74" spans="2:2">
      <c r="B74" s="9"/>
    </row>
    <row r="75" spans="2:2">
      <c r="B75" s="10"/>
    </row>
    <row r="76" spans="2:2">
      <c r="B76" s="9"/>
    </row>
    <row r="77" spans="2:2">
      <c r="B77" s="10"/>
    </row>
    <row r="78" spans="2:2">
      <c r="B78" s="9"/>
    </row>
    <row r="79" spans="2:2">
      <c r="B79" s="10"/>
    </row>
    <row r="80" spans="2:2">
      <c r="B80" s="9"/>
    </row>
    <row r="81" spans="2:6">
      <c r="B81" s="10"/>
    </row>
    <row r="82" spans="2:6">
      <c r="B82" s="9"/>
    </row>
    <row r="83" spans="2:6">
      <c r="B83" s="10"/>
      <c r="F83" s="9"/>
    </row>
    <row r="84" spans="2:6">
      <c r="B84" s="9"/>
      <c r="F84" s="10"/>
    </row>
    <row r="85" spans="2:6">
      <c r="B85" s="10"/>
      <c r="F85" s="9"/>
    </row>
    <row r="86" spans="2:6">
      <c r="B86" s="9"/>
      <c r="F86" s="10"/>
    </row>
    <row r="87" spans="2:6">
      <c r="B87" s="10"/>
      <c r="F87" s="9"/>
    </row>
    <row r="88" spans="2:6">
      <c r="B88" s="9"/>
      <c r="F88" s="10"/>
    </row>
    <row r="89" spans="2:6">
      <c r="B89" s="10"/>
      <c r="F89" s="9"/>
    </row>
    <row r="90" spans="2:6">
      <c r="B90" s="9"/>
      <c r="F90" s="10"/>
    </row>
    <row r="91" spans="2:6">
      <c r="B91" s="10"/>
      <c r="F91" s="9"/>
    </row>
    <row r="92" spans="2:6">
      <c r="B92" s="9"/>
      <c r="F92" s="10"/>
    </row>
    <row r="93" spans="2:6">
      <c r="B93" s="10"/>
      <c r="F93" s="9"/>
    </row>
    <row r="94" spans="2:6">
      <c r="B94" s="9"/>
      <c r="F94" s="10"/>
    </row>
    <row r="95" spans="2:6">
      <c r="B95" s="10"/>
      <c r="F95" s="9"/>
    </row>
    <row r="96" spans="2:6">
      <c r="B96" s="9"/>
      <c r="F96" s="10"/>
    </row>
    <row r="97" spans="2:6">
      <c r="B97" s="10"/>
      <c r="F97" s="9"/>
    </row>
    <row r="98" spans="2:6">
      <c r="B98" s="9"/>
      <c r="F98" s="10"/>
    </row>
    <row r="99" spans="2:6">
      <c r="B99" s="10"/>
      <c r="F99" s="9"/>
    </row>
    <row r="100" spans="2:6">
      <c r="B100" s="9"/>
      <c r="F100" s="10"/>
    </row>
    <row r="101" spans="2:6">
      <c r="B101" s="10"/>
      <c r="F101" s="9"/>
    </row>
    <row r="102" spans="2:6">
      <c r="B102" s="9"/>
      <c r="F102" s="10"/>
    </row>
    <row r="103" spans="2:6">
      <c r="B103" s="10"/>
      <c r="F103" s="9"/>
    </row>
    <row r="104" spans="2:6">
      <c r="B104" s="9"/>
      <c r="F104" s="10"/>
    </row>
    <row r="105" spans="2:6">
      <c r="B105" s="10"/>
      <c r="F105" s="9"/>
    </row>
    <row r="106" spans="2:6">
      <c r="B106" s="9"/>
      <c r="F106" s="10"/>
    </row>
    <row r="107" spans="2:6">
      <c r="B107" s="10"/>
      <c r="F107" s="9"/>
    </row>
    <row r="108" spans="2:6">
      <c r="B108" s="9"/>
      <c r="F108" s="10"/>
    </row>
    <row r="109" spans="2:6">
      <c r="B109" s="10"/>
      <c r="F109" s="9"/>
    </row>
    <row r="110" spans="2:6">
      <c r="B110" s="9"/>
      <c r="F110" s="10"/>
    </row>
    <row r="111" spans="2:6">
      <c r="B111" s="10"/>
      <c r="F111" s="9"/>
    </row>
    <row r="112" spans="2:6">
      <c r="B112" s="9"/>
      <c r="F112" s="10"/>
    </row>
    <row r="113" spans="2:6">
      <c r="B113" s="10"/>
      <c r="F113" s="9"/>
    </row>
    <row r="114" spans="2:6">
      <c r="B114" s="9"/>
      <c r="F114" s="10"/>
    </row>
    <row r="115" spans="2:6">
      <c r="F115" s="9"/>
    </row>
    <row r="116" spans="2:6">
      <c r="F116" s="10"/>
    </row>
    <row r="117" spans="2:6">
      <c r="F117" s="9"/>
    </row>
    <row r="118" spans="2:6">
      <c r="F118" s="10"/>
    </row>
    <row r="119" spans="2:6">
      <c r="F119" s="9"/>
    </row>
    <row r="120" spans="2:6">
      <c r="F120" s="10"/>
    </row>
    <row r="121" spans="2:6">
      <c r="F121" s="9"/>
    </row>
    <row r="122" spans="2:6">
      <c r="F122" s="10"/>
    </row>
    <row r="123" spans="2:6">
      <c r="F123" s="9"/>
    </row>
    <row r="124" spans="2:6">
      <c r="F124" s="10"/>
    </row>
    <row r="125" spans="2:6">
      <c r="F125" s="9"/>
    </row>
    <row r="126" spans="2:6">
      <c r="F126" s="10"/>
    </row>
    <row r="127" spans="2:6">
      <c r="F127" s="9"/>
    </row>
    <row r="128" spans="2:6">
      <c r="F128" s="10"/>
    </row>
    <row r="129" spans="6:6">
      <c r="F129" s="9"/>
    </row>
    <row r="130" spans="6:6">
      <c r="F130" s="10"/>
    </row>
    <row r="131" spans="6:6">
      <c r="F131" s="9"/>
    </row>
    <row r="132" spans="6:6">
      <c r="F132" s="10"/>
    </row>
    <row r="133" spans="6:6">
      <c r="F133" s="9"/>
    </row>
    <row r="134" spans="6:6">
      <c r="F134" s="10"/>
    </row>
    <row r="135" spans="6:6">
      <c r="F135" s="9"/>
    </row>
    <row r="136" spans="6:6">
      <c r="F136" s="10"/>
    </row>
    <row r="137" spans="6:6">
      <c r="F137" s="9"/>
    </row>
    <row r="138" spans="6:6">
      <c r="F138" s="10"/>
    </row>
    <row r="139" spans="6:6">
      <c r="F139" s="9"/>
    </row>
    <row r="140" spans="6:6">
      <c r="F140" s="10"/>
    </row>
    <row r="141" spans="6:6">
      <c r="F141" s="9"/>
    </row>
    <row r="142" spans="6:6">
      <c r="F142" s="10"/>
    </row>
    <row r="143" spans="6:6">
      <c r="F143" s="9"/>
    </row>
    <row r="144" spans="6:6">
      <c r="F144" s="10"/>
    </row>
    <row r="145" spans="6:6">
      <c r="F145" s="9"/>
    </row>
    <row r="146" spans="6:6">
      <c r="F146" s="10"/>
    </row>
    <row r="147" spans="6:6">
      <c r="F147" s="9"/>
    </row>
    <row r="148" spans="6:6">
      <c r="F148" s="10"/>
    </row>
    <row r="149" spans="6:6">
      <c r="F149" s="9"/>
    </row>
    <row r="150" spans="6:6">
      <c r="F150" s="10"/>
    </row>
    <row r="151" spans="6:6">
      <c r="F151" s="9"/>
    </row>
    <row r="152" spans="6:6">
      <c r="F152" s="10"/>
    </row>
    <row r="153" spans="6:6">
      <c r="F153" s="9"/>
    </row>
    <row r="154" spans="6:6">
      <c r="F154" s="10"/>
    </row>
    <row r="155" spans="6:6">
      <c r="F155" s="9"/>
    </row>
    <row r="156" spans="6:6">
      <c r="F156" s="10"/>
    </row>
    <row r="157" spans="6:6">
      <c r="F157" s="9"/>
    </row>
    <row r="158" spans="6:6">
      <c r="F158" s="10"/>
    </row>
    <row r="159" spans="6:6">
      <c r="F159" s="9"/>
    </row>
    <row r="160" spans="6:6">
      <c r="F160" s="10"/>
    </row>
    <row r="161" spans="6:6">
      <c r="F161" s="9"/>
    </row>
    <row r="162" spans="6:6">
      <c r="F162" s="10"/>
    </row>
    <row r="163" spans="6:6">
      <c r="F163" s="9"/>
    </row>
    <row r="164" spans="6:6">
      <c r="F164" s="10"/>
    </row>
    <row r="165" spans="6:6">
      <c r="F165" s="9"/>
    </row>
    <row r="166" spans="6:6">
      <c r="F166" s="10"/>
    </row>
    <row r="167" spans="6:6">
      <c r="F167" s="9"/>
    </row>
    <row r="168" spans="6:6">
      <c r="F168" s="10"/>
    </row>
    <row r="169" spans="6:6">
      <c r="F169" s="9"/>
    </row>
    <row r="170" spans="6:6">
      <c r="F170" s="10"/>
    </row>
    <row r="171" spans="6:6">
      <c r="F171" s="9"/>
    </row>
    <row r="172" spans="6:6">
      <c r="F172" s="10"/>
    </row>
    <row r="173" spans="6:6">
      <c r="F173" s="9"/>
    </row>
    <row r="174" spans="6:6">
      <c r="F174" s="10"/>
    </row>
    <row r="175" spans="6:6">
      <c r="F175" s="9"/>
    </row>
    <row r="176" spans="6:6">
      <c r="F176" s="10"/>
    </row>
    <row r="177" spans="6:6">
      <c r="F177" s="9"/>
    </row>
    <row r="178" spans="6:6">
      <c r="F178" s="10"/>
    </row>
    <row r="179" spans="6:6">
      <c r="F179" s="9"/>
    </row>
    <row r="180" spans="6:6">
      <c r="F180" s="10"/>
    </row>
    <row r="181" spans="6:6">
      <c r="F181" s="9"/>
    </row>
    <row r="182" spans="6:6">
      <c r="F182" s="10"/>
    </row>
    <row r="183" spans="6:6">
      <c r="F183" s="9"/>
    </row>
    <row r="184" spans="6:6">
      <c r="F184" s="10"/>
    </row>
    <row r="185" spans="6:6">
      <c r="F185" s="9"/>
    </row>
    <row r="186" spans="6:6">
      <c r="F186" s="10"/>
    </row>
    <row r="187" spans="6:6">
      <c r="F187" s="9"/>
    </row>
    <row r="188" spans="6:6">
      <c r="F188" s="10"/>
    </row>
    <row r="189" spans="6:6">
      <c r="F189" s="9"/>
    </row>
    <row r="190" spans="6:6">
      <c r="F190" s="10"/>
    </row>
    <row r="191" spans="6:6">
      <c r="F191" s="9"/>
    </row>
    <row r="192" spans="6:6">
      <c r="F192" s="10"/>
    </row>
    <row r="193" spans="6:6">
      <c r="F193" s="9"/>
    </row>
    <row r="194" spans="6:6">
      <c r="F194" s="10"/>
    </row>
    <row r="195" spans="6:6">
      <c r="F195" s="9"/>
    </row>
    <row r="196" spans="6:6">
      <c r="F196" s="10"/>
    </row>
    <row r="197" spans="6:6">
      <c r="F197" s="9"/>
    </row>
    <row r="198" spans="6:6">
      <c r="F198" s="10"/>
    </row>
    <row r="199" spans="6:6">
      <c r="F199" s="9"/>
    </row>
    <row r="200" spans="6:6">
      <c r="F200" s="10"/>
    </row>
    <row r="201" spans="6:6">
      <c r="F201" s="9"/>
    </row>
    <row r="202" spans="6:6">
      <c r="F202" s="10"/>
    </row>
    <row r="203" spans="6:6">
      <c r="F203" s="9"/>
    </row>
    <row r="204" spans="6:6">
      <c r="F204" s="10"/>
    </row>
    <row r="205" spans="6:6">
      <c r="F205" s="9"/>
    </row>
    <row r="206" spans="6:6">
      <c r="F206" s="10"/>
    </row>
    <row r="207" spans="6:6">
      <c r="F207" s="9"/>
    </row>
    <row r="208" spans="6:6">
      <c r="F208" s="10"/>
    </row>
    <row r="209" spans="6:6">
      <c r="F209" s="9"/>
    </row>
    <row r="210" spans="6:6">
      <c r="F210" s="10"/>
    </row>
    <row r="211" spans="6:6">
      <c r="F211" s="9"/>
    </row>
    <row r="212" spans="6:6">
      <c r="F212" s="10"/>
    </row>
    <row r="213" spans="6:6">
      <c r="F213" s="9"/>
    </row>
    <row r="214" spans="6:6">
      <c r="F214" s="10"/>
    </row>
    <row r="215" spans="6:6">
      <c r="F215" s="9"/>
    </row>
    <row r="216" spans="6:6">
      <c r="F216" s="10"/>
    </row>
    <row r="217" spans="6:6">
      <c r="F217" s="9"/>
    </row>
    <row r="218" spans="6:6">
      <c r="F218" s="10"/>
    </row>
    <row r="219" spans="6:6">
      <c r="F219" s="9"/>
    </row>
    <row r="220" spans="6:6">
      <c r="F220" s="10"/>
    </row>
    <row r="221" spans="6:6">
      <c r="F221" s="9"/>
    </row>
    <row r="222" spans="6:6">
      <c r="F222" s="10"/>
    </row>
    <row r="223" spans="6:6">
      <c r="F223" s="9"/>
    </row>
    <row r="224" spans="6:6">
      <c r="F224" s="10"/>
    </row>
    <row r="225" spans="6:6">
      <c r="F225" s="9"/>
    </row>
    <row r="226" spans="6:6">
      <c r="F226" s="10"/>
    </row>
    <row r="227" spans="6:6">
      <c r="F227" s="9"/>
    </row>
    <row r="228" spans="6:6">
      <c r="F228" s="10"/>
    </row>
    <row r="229" spans="6:6">
      <c r="F229" s="9"/>
    </row>
    <row r="230" spans="6:6">
      <c r="F230" s="10"/>
    </row>
    <row r="231" spans="6:6">
      <c r="F231" s="9"/>
    </row>
    <row r="232" spans="6:6">
      <c r="F232" s="10"/>
    </row>
    <row r="233" spans="6:6">
      <c r="F233" s="9"/>
    </row>
    <row r="234" spans="6:6">
      <c r="F234" s="10"/>
    </row>
    <row r="235" spans="6:6">
      <c r="F235" s="9"/>
    </row>
    <row r="236" spans="6:6">
      <c r="F236" s="10"/>
    </row>
    <row r="237" spans="6:6">
      <c r="F237" s="9"/>
    </row>
    <row r="238" spans="6:6">
      <c r="F238" s="10"/>
    </row>
    <row r="239" spans="6:6">
      <c r="F239" s="9"/>
    </row>
    <row r="240" spans="6:6">
      <c r="F240" s="10"/>
    </row>
    <row r="241" spans="6:6">
      <c r="F241" s="9"/>
    </row>
    <row r="242" spans="6:6">
      <c r="F242" s="10"/>
    </row>
    <row r="243" spans="6:6">
      <c r="F243" s="9"/>
    </row>
    <row r="244" spans="6:6">
      <c r="F244" s="10"/>
    </row>
    <row r="245" spans="6:6">
      <c r="F245" s="9"/>
    </row>
    <row r="246" spans="6:6">
      <c r="F246" s="10"/>
    </row>
    <row r="247" spans="6:6">
      <c r="F247" s="9"/>
    </row>
    <row r="248" spans="6:6">
      <c r="F248" s="10"/>
    </row>
    <row r="249" spans="6:6">
      <c r="F249" s="9"/>
    </row>
    <row r="250" spans="6:6">
      <c r="F250" s="10"/>
    </row>
    <row r="251" spans="6:6">
      <c r="F251" s="9"/>
    </row>
    <row r="252" spans="6:6">
      <c r="F252" s="10"/>
    </row>
    <row r="253" spans="6:6">
      <c r="F253" s="9"/>
    </row>
    <row r="254" spans="6:6">
      <c r="F254" s="10"/>
    </row>
    <row r="255" spans="6:6">
      <c r="F255" s="9"/>
    </row>
    <row r="256" spans="6:6">
      <c r="F256" s="10"/>
    </row>
    <row r="257" spans="6:6">
      <c r="F257" s="9"/>
    </row>
    <row r="258" spans="6:6">
      <c r="F258" s="10"/>
    </row>
    <row r="259" spans="6:6">
      <c r="F259" s="9"/>
    </row>
    <row r="260" spans="6:6">
      <c r="F260" s="10"/>
    </row>
    <row r="261" spans="6:6">
      <c r="F261" s="9"/>
    </row>
    <row r="262" spans="6:6">
      <c r="F262" s="10"/>
    </row>
    <row r="263" spans="6:6">
      <c r="F263" s="9"/>
    </row>
    <row r="264" spans="6:6">
      <c r="F264" s="10"/>
    </row>
    <row r="265" spans="6:6">
      <c r="F265" s="9"/>
    </row>
    <row r="266" spans="6:6">
      <c r="F266" s="10"/>
    </row>
    <row r="267" spans="6:6">
      <c r="F267" s="9"/>
    </row>
    <row r="268" spans="6:6">
      <c r="F268" s="10"/>
    </row>
    <row r="269" spans="6:6">
      <c r="F269" s="9"/>
    </row>
    <row r="270" spans="6:6">
      <c r="F270" s="10"/>
    </row>
    <row r="271" spans="6:6">
      <c r="F271" s="9"/>
    </row>
    <row r="272" spans="6:6">
      <c r="F272" s="10"/>
    </row>
    <row r="273" spans="6:6">
      <c r="F273" s="9"/>
    </row>
    <row r="274" spans="6:6">
      <c r="F274" s="10"/>
    </row>
    <row r="275" spans="6:6">
      <c r="F275" s="9"/>
    </row>
    <row r="276" spans="6:6">
      <c r="F276" s="10"/>
    </row>
    <row r="277" spans="6:6">
      <c r="F277" s="9"/>
    </row>
    <row r="278" spans="6:6">
      <c r="F278" s="10"/>
    </row>
    <row r="279" spans="6:6">
      <c r="F279" s="9"/>
    </row>
    <row r="280" spans="6:6">
      <c r="F280" s="10"/>
    </row>
    <row r="281" spans="6:6">
      <c r="F281" s="9"/>
    </row>
    <row r="282" spans="6:6">
      <c r="F282" s="10"/>
    </row>
    <row r="283" spans="6:6">
      <c r="F283" s="10"/>
    </row>
    <row r="284" spans="6:6">
      <c r="F284" s="9"/>
    </row>
    <row r="285" spans="6:6">
      <c r="F285" s="10"/>
    </row>
    <row r="286" spans="6:6">
      <c r="F286" s="9"/>
    </row>
    <row r="287" spans="6:6">
      <c r="F287" s="10"/>
    </row>
    <row r="288" spans="6:6">
      <c r="F288" s="9"/>
    </row>
    <row r="289" spans="6:6">
      <c r="F289" s="10"/>
    </row>
    <row r="290" spans="6:6">
      <c r="F290" s="9"/>
    </row>
    <row r="291" spans="6:6">
      <c r="F291" s="10"/>
    </row>
    <row r="292" spans="6:6">
      <c r="F292" s="9"/>
    </row>
    <row r="293" spans="6:6">
      <c r="F293" s="10"/>
    </row>
    <row r="294" spans="6:6">
      <c r="F294" s="9"/>
    </row>
    <row r="295" spans="6:6">
      <c r="F295" s="10"/>
    </row>
    <row r="296" spans="6:6">
      <c r="F296" s="9"/>
    </row>
    <row r="297" spans="6:6">
      <c r="F297" s="10"/>
    </row>
    <row r="298" spans="6:6">
      <c r="F298" s="9"/>
    </row>
    <row r="299" spans="6:6">
      <c r="F299" s="10"/>
    </row>
    <row r="300" spans="6:6">
      <c r="F300" s="9"/>
    </row>
    <row r="301" spans="6:6">
      <c r="F301" s="9"/>
    </row>
    <row r="302" spans="6:6">
      <c r="F302" s="10"/>
    </row>
    <row r="303" spans="6:6">
      <c r="F303" s="9"/>
    </row>
    <row r="304" spans="6:6">
      <c r="F304" s="10"/>
    </row>
    <row r="305" spans="6:6">
      <c r="F305" s="9"/>
    </row>
    <row r="306" spans="6:6">
      <c r="F306" s="10"/>
    </row>
    <row r="307" spans="6:6">
      <c r="F307" s="9"/>
    </row>
    <row r="308" spans="6:6">
      <c r="F308" s="10"/>
    </row>
    <row r="309" spans="6:6">
      <c r="F309" s="9"/>
    </row>
    <row r="310" spans="6:6">
      <c r="F310" s="10"/>
    </row>
    <row r="311" spans="6:6">
      <c r="F311" s="9"/>
    </row>
    <row r="312" spans="6:6">
      <c r="F312" s="10"/>
    </row>
    <row r="313" spans="6:6">
      <c r="F313" s="9"/>
    </row>
    <row r="314" spans="6:6">
      <c r="F314" s="10"/>
    </row>
    <row r="315" spans="6:6">
      <c r="F315" s="9"/>
    </row>
    <row r="316" spans="6:6">
      <c r="F316" s="10"/>
    </row>
    <row r="317" spans="6:6">
      <c r="F317" s="9"/>
    </row>
    <row r="318" spans="6:6">
      <c r="F318" s="10"/>
    </row>
    <row r="319" spans="6:6">
      <c r="F319" s="9"/>
    </row>
    <row r="320" spans="6:6">
      <c r="F320" s="10"/>
    </row>
    <row r="321" spans="6:6">
      <c r="F321" s="9"/>
    </row>
    <row r="322" spans="6:6">
      <c r="F322" s="10"/>
    </row>
    <row r="323" spans="6:6">
      <c r="F323" s="9"/>
    </row>
    <row r="324" spans="6:6">
      <c r="F324" s="10"/>
    </row>
    <row r="325" spans="6:6">
      <c r="F325" s="9"/>
    </row>
    <row r="326" spans="6:6">
      <c r="F326" s="10"/>
    </row>
    <row r="327" spans="6:6">
      <c r="F327" s="9"/>
    </row>
    <row r="328" spans="6:6">
      <c r="F328" s="10"/>
    </row>
    <row r="329" spans="6:6">
      <c r="F329" s="9"/>
    </row>
    <row r="330" spans="6:6">
      <c r="F330" s="10"/>
    </row>
    <row r="331" spans="6:6">
      <c r="F331" s="9"/>
    </row>
    <row r="332" spans="6:6">
      <c r="F332" s="10"/>
    </row>
    <row r="333" spans="6:6">
      <c r="F333" s="9"/>
    </row>
    <row r="334" spans="6:6">
      <c r="F334" s="10"/>
    </row>
    <row r="335" spans="6:6">
      <c r="F335" s="9"/>
    </row>
    <row r="336" spans="6:6">
      <c r="F336" s="10"/>
    </row>
    <row r="337" spans="6:6">
      <c r="F337" s="9"/>
    </row>
    <row r="338" spans="6:6">
      <c r="F338" s="10"/>
    </row>
    <row r="339" spans="6:6">
      <c r="F339" s="9"/>
    </row>
    <row r="340" spans="6:6">
      <c r="F340" s="10"/>
    </row>
    <row r="341" spans="6:6">
      <c r="F341" s="9"/>
    </row>
    <row r="342" spans="6:6">
      <c r="F342" s="10"/>
    </row>
    <row r="343" spans="6:6">
      <c r="F343" s="9"/>
    </row>
    <row r="344" spans="6:6">
      <c r="F344" s="10"/>
    </row>
    <row r="345" spans="6:6">
      <c r="F345" s="9"/>
    </row>
    <row r="346" spans="6:6">
      <c r="F346" s="10"/>
    </row>
    <row r="347" spans="6:6">
      <c r="F347" s="9"/>
    </row>
    <row r="348" spans="6:6">
      <c r="F348" s="10"/>
    </row>
    <row r="349" spans="6:6">
      <c r="F349" s="9"/>
    </row>
    <row r="350" spans="6:6">
      <c r="F350" s="10"/>
    </row>
    <row r="351" spans="6:6">
      <c r="F351" s="9"/>
    </row>
    <row r="352" spans="6:6">
      <c r="F352" s="10"/>
    </row>
    <row r="353" spans="6:6">
      <c r="F353" s="9"/>
    </row>
    <row r="354" spans="6:6">
      <c r="F354" s="10"/>
    </row>
    <row r="355" spans="6:6">
      <c r="F355" s="9"/>
    </row>
    <row r="356" spans="6:6">
      <c r="F356" s="10"/>
    </row>
    <row r="357" spans="6:6">
      <c r="F357" s="9"/>
    </row>
    <row r="358" spans="6:6">
      <c r="F358" s="10"/>
    </row>
    <row r="359" spans="6:6">
      <c r="F359" s="9"/>
    </row>
    <row r="360" spans="6:6">
      <c r="F360" s="10"/>
    </row>
    <row r="361" spans="6:6">
      <c r="F361" s="9"/>
    </row>
    <row r="362" spans="6:6">
      <c r="F362" s="10"/>
    </row>
    <row r="363" spans="6:6">
      <c r="F363" s="9"/>
    </row>
    <row r="364" spans="6:6">
      <c r="F364" s="10"/>
    </row>
    <row r="365" spans="6:6">
      <c r="F365" s="9"/>
    </row>
    <row r="366" spans="6:6">
      <c r="F366" s="10"/>
    </row>
    <row r="367" spans="6:6">
      <c r="F367" s="9"/>
    </row>
    <row r="368" spans="6:6">
      <c r="F368" s="10"/>
    </row>
    <row r="369" spans="6:6">
      <c r="F369" s="9"/>
    </row>
    <row r="370" spans="6:6">
      <c r="F370" s="10"/>
    </row>
    <row r="371" spans="6:6">
      <c r="F371" s="9"/>
    </row>
    <row r="372" spans="6:6">
      <c r="F372" s="10"/>
    </row>
    <row r="373" spans="6:6">
      <c r="F373" s="9"/>
    </row>
    <row r="374" spans="6:6">
      <c r="F374" s="10"/>
    </row>
    <row r="375" spans="6:6">
      <c r="F375" s="9"/>
    </row>
    <row r="376" spans="6:6">
      <c r="F376" s="10"/>
    </row>
    <row r="377" spans="6:6">
      <c r="F377" s="9"/>
    </row>
    <row r="378" spans="6:6">
      <c r="F378" s="10"/>
    </row>
    <row r="379" spans="6:6">
      <c r="F379" s="9"/>
    </row>
    <row r="380" spans="6:6">
      <c r="F380" s="10"/>
    </row>
    <row r="381" spans="6:6">
      <c r="F381" s="9"/>
    </row>
    <row r="382" spans="6:6">
      <c r="F382" s="10"/>
    </row>
    <row r="383" spans="6:6">
      <c r="F383" s="9"/>
    </row>
    <row r="384" spans="6:6">
      <c r="F384" s="10"/>
    </row>
    <row r="385" spans="6:6">
      <c r="F385" s="9"/>
    </row>
    <row r="386" spans="6:6">
      <c r="F386" s="10"/>
    </row>
    <row r="387" spans="6:6">
      <c r="F387" s="9"/>
    </row>
    <row r="388" spans="6:6">
      <c r="F388" s="10"/>
    </row>
    <row r="389" spans="6:6">
      <c r="F389" s="9"/>
    </row>
    <row r="390" spans="6:6">
      <c r="F390" s="10"/>
    </row>
    <row r="391" spans="6:6">
      <c r="F391" s="9"/>
    </row>
    <row r="392" spans="6:6">
      <c r="F392" s="10"/>
    </row>
    <row r="393" spans="6:6">
      <c r="F393" s="9"/>
    </row>
    <row r="394" spans="6:6">
      <c r="F394" s="10"/>
    </row>
    <row r="395" spans="6:6">
      <c r="F395" s="9"/>
    </row>
    <row r="396" spans="6:6">
      <c r="F396" s="10"/>
    </row>
    <row r="397" spans="6:6">
      <c r="F397" s="9"/>
    </row>
    <row r="398" spans="6:6">
      <c r="F398" s="10"/>
    </row>
    <row r="399" spans="6:6">
      <c r="F399" s="9"/>
    </row>
    <row r="400" spans="6:6">
      <c r="F400" s="10"/>
    </row>
    <row r="401" spans="6:6">
      <c r="F401" s="9"/>
    </row>
    <row r="402" spans="6:6">
      <c r="F402" s="10"/>
    </row>
    <row r="403" spans="6:6">
      <c r="F403" s="9"/>
    </row>
    <row r="404" spans="6:6">
      <c r="F404" s="10"/>
    </row>
    <row r="405" spans="6:6">
      <c r="F405" s="9"/>
    </row>
    <row r="406" spans="6:6">
      <c r="F406" s="10"/>
    </row>
    <row r="407" spans="6:6">
      <c r="F407" s="9"/>
    </row>
    <row r="408" spans="6:6">
      <c r="F408" s="10"/>
    </row>
    <row r="409" spans="6:6">
      <c r="F409" s="9"/>
    </row>
    <row r="410" spans="6:6">
      <c r="F410" s="10"/>
    </row>
    <row r="411" spans="6:6">
      <c r="F411" s="9"/>
    </row>
    <row r="412" spans="6:6">
      <c r="F412" s="10"/>
    </row>
    <row r="413" spans="6:6">
      <c r="F413" s="9"/>
    </row>
    <row r="414" spans="6:6">
      <c r="F414" s="10"/>
    </row>
    <row r="415" spans="6:6">
      <c r="F415" s="9"/>
    </row>
    <row r="416" spans="6:6">
      <c r="F416" s="10"/>
    </row>
    <row r="417" spans="6:6">
      <c r="F417" s="9"/>
    </row>
    <row r="418" spans="6:6">
      <c r="F418" s="10"/>
    </row>
    <row r="419" spans="6:6">
      <c r="F419" s="9"/>
    </row>
    <row r="420" spans="6:6">
      <c r="F420" s="10"/>
    </row>
    <row r="421" spans="6:6">
      <c r="F421" s="9"/>
    </row>
    <row r="422" spans="6:6">
      <c r="F422" s="10"/>
    </row>
    <row r="423" spans="6:6">
      <c r="F423" s="9"/>
    </row>
    <row r="424" spans="6:6">
      <c r="F424" s="10"/>
    </row>
    <row r="425" spans="6:6">
      <c r="F425" s="9"/>
    </row>
    <row r="426" spans="6:6">
      <c r="F426" s="10"/>
    </row>
    <row r="427" spans="6:6">
      <c r="F427" s="9"/>
    </row>
    <row r="428" spans="6:6">
      <c r="F428" s="10"/>
    </row>
    <row r="429" spans="6:6">
      <c r="F429" s="9"/>
    </row>
    <row r="430" spans="6:6">
      <c r="F430" s="10"/>
    </row>
    <row r="431" spans="6:6">
      <c r="F431" s="10"/>
    </row>
    <row r="432" spans="6:6">
      <c r="F432" s="9"/>
    </row>
    <row r="433" spans="6:6">
      <c r="F433" s="10"/>
    </row>
    <row r="434" spans="6:6">
      <c r="F434" s="9"/>
    </row>
    <row r="435" spans="6:6">
      <c r="F435" s="10"/>
    </row>
    <row r="436" spans="6:6">
      <c r="F436" s="9"/>
    </row>
    <row r="437" spans="6:6">
      <c r="F437" s="9"/>
    </row>
    <row r="438" spans="6:6">
      <c r="F438" s="10"/>
    </row>
    <row r="439" spans="6:6">
      <c r="F439" s="10"/>
    </row>
    <row r="440" spans="6:6">
      <c r="F440" s="9"/>
    </row>
    <row r="441" spans="6:6">
      <c r="F441" s="10"/>
    </row>
    <row r="442" spans="6:6">
      <c r="F442" s="10"/>
    </row>
    <row r="443" spans="6:6">
      <c r="F443" s="9"/>
    </row>
    <row r="444" spans="6:6">
      <c r="F444" s="10"/>
    </row>
    <row r="445" spans="6:6">
      <c r="F445" s="9"/>
    </row>
    <row r="446" spans="6:6">
      <c r="F446" s="10"/>
    </row>
    <row r="447" spans="6:6">
      <c r="F447" s="9"/>
    </row>
    <row r="448" spans="6:6">
      <c r="F448" s="10"/>
    </row>
    <row r="449" spans="6:6">
      <c r="F449" s="9"/>
    </row>
    <row r="450" spans="6:6">
      <c r="F450" s="10"/>
    </row>
    <row r="451" spans="6:6">
      <c r="F451" s="9"/>
    </row>
    <row r="452" spans="6:6">
      <c r="F452" s="10"/>
    </row>
    <row r="453" spans="6:6">
      <c r="F453" s="9"/>
    </row>
    <row r="454" spans="6:6">
      <c r="F454" s="10"/>
    </row>
    <row r="455" spans="6:6">
      <c r="F455" s="9"/>
    </row>
    <row r="456" spans="6:6">
      <c r="F456" s="10"/>
    </row>
    <row r="457" spans="6:6">
      <c r="F457" s="9"/>
    </row>
    <row r="458" spans="6:6">
      <c r="F458" s="10"/>
    </row>
    <row r="459" spans="6:6">
      <c r="F459" s="9"/>
    </row>
    <row r="460" spans="6:6">
      <c r="F460" s="10"/>
    </row>
    <row r="461" spans="6:6">
      <c r="F461" s="9"/>
    </row>
    <row r="462" spans="6:6">
      <c r="F462" s="10"/>
    </row>
    <row r="463" spans="6:6">
      <c r="F463" s="9"/>
    </row>
    <row r="464" spans="6:6">
      <c r="F464" s="10"/>
    </row>
    <row r="465" spans="6:6">
      <c r="F465" s="9"/>
    </row>
    <row r="466" spans="6:6">
      <c r="F466" s="10"/>
    </row>
    <row r="467" spans="6:6">
      <c r="F467" s="9"/>
    </row>
    <row r="468" spans="6:6">
      <c r="F468" s="10"/>
    </row>
    <row r="469" spans="6:6">
      <c r="F469" s="9"/>
    </row>
    <row r="470" spans="6:6">
      <c r="F470" s="9"/>
    </row>
    <row r="471" spans="6:6">
      <c r="F471" s="10"/>
    </row>
    <row r="472" spans="6:6">
      <c r="F472" s="9"/>
    </row>
    <row r="473" spans="6:6">
      <c r="F473" s="10"/>
    </row>
    <row r="474" spans="6:6">
      <c r="F474" s="9"/>
    </row>
    <row r="475" spans="6:6">
      <c r="F475" s="10"/>
    </row>
    <row r="476" spans="6:6">
      <c r="F476" s="9"/>
    </row>
    <row r="477" spans="6:6">
      <c r="F477" s="10"/>
    </row>
    <row r="478" spans="6:6">
      <c r="F478" s="9"/>
    </row>
    <row r="479" spans="6:6">
      <c r="F479" s="10"/>
    </row>
    <row r="480" spans="6:6">
      <c r="F480" s="9"/>
    </row>
    <row r="481" spans="6:6">
      <c r="F481" s="10"/>
    </row>
    <row r="482" spans="6:6">
      <c r="F482" s="9"/>
    </row>
    <row r="483" spans="6:6">
      <c r="F483" s="10"/>
    </row>
    <row r="484" spans="6:6">
      <c r="F484" s="9"/>
    </row>
    <row r="485" spans="6:6">
      <c r="F485" s="10"/>
    </row>
    <row r="486" spans="6:6">
      <c r="F486" s="9"/>
    </row>
    <row r="487" spans="6:6">
      <c r="F487" s="10"/>
    </row>
    <row r="488" spans="6:6">
      <c r="F488" s="9"/>
    </row>
    <row r="489" spans="6:6">
      <c r="F489" s="9"/>
    </row>
    <row r="490" spans="6:6">
      <c r="F490" s="10"/>
    </row>
    <row r="491" spans="6:6">
      <c r="F491" s="9"/>
    </row>
    <row r="492" spans="6:6">
      <c r="F492" s="10"/>
    </row>
    <row r="493" spans="6:6">
      <c r="F493" s="9"/>
    </row>
    <row r="494" spans="6:6">
      <c r="F494" s="10"/>
    </row>
    <row r="495" spans="6:6">
      <c r="F495" s="9"/>
    </row>
    <row r="496" spans="6:6">
      <c r="F496" s="10"/>
    </row>
    <row r="497" spans="6:6">
      <c r="F497" s="9"/>
    </row>
    <row r="498" spans="6:6">
      <c r="F498" s="10"/>
    </row>
    <row r="499" spans="6:6">
      <c r="F499" s="9"/>
    </row>
    <row r="500" spans="6:6">
      <c r="F500" s="10"/>
    </row>
    <row r="501" spans="6:6">
      <c r="F501" s="9"/>
    </row>
    <row r="502" spans="6:6">
      <c r="F502" s="10"/>
    </row>
    <row r="503" spans="6:6">
      <c r="F503" s="9"/>
    </row>
    <row r="504" spans="6:6">
      <c r="F504" s="10"/>
    </row>
    <row r="505" spans="6:6">
      <c r="F505" s="9"/>
    </row>
    <row r="506" spans="6:6">
      <c r="F506" s="10"/>
    </row>
    <row r="507" spans="6:6">
      <c r="F507" s="9"/>
    </row>
    <row r="508" spans="6:6">
      <c r="F508" s="9"/>
    </row>
    <row r="509" spans="6:6">
      <c r="F509" s="10"/>
    </row>
    <row r="510" spans="6:6">
      <c r="F510" s="9"/>
    </row>
    <row r="511" spans="6:6">
      <c r="F511" s="10"/>
    </row>
    <row r="512" spans="6:6">
      <c r="F512" s="9"/>
    </row>
    <row r="513" spans="6:6">
      <c r="F513" s="10"/>
    </row>
    <row r="514" spans="6:6">
      <c r="F514" s="9"/>
    </row>
    <row r="515" spans="6:6">
      <c r="F515" s="10"/>
    </row>
    <row r="516" spans="6:6">
      <c r="F516" s="9"/>
    </row>
    <row r="517" spans="6:6">
      <c r="F517" s="10"/>
    </row>
    <row r="518" spans="6:6">
      <c r="F518" s="9"/>
    </row>
    <row r="519" spans="6:6">
      <c r="F519" s="10"/>
    </row>
    <row r="520" spans="6:6">
      <c r="F520" s="9"/>
    </row>
    <row r="521" spans="6:6">
      <c r="F521" s="10"/>
    </row>
    <row r="522" spans="6:6">
      <c r="F522" s="9"/>
    </row>
    <row r="523" spans="6:6">
      <c r="F523" s="10"/>
    </row>
    <row r="524" spans="6:6">
      <c r="F524" s="9"/>
    </row>
    <row r="525" spans="6:6">
      <c r="F525" s="10"/>
    </row>
    <row r="526" spans="6:6">
      <c r="F526" s="9"/>
    </row>
    <row r="527" spans="6:6">
      <c r="F527" s="10"/>
    </row>
    <row r="528" spans="6:6">
      <c r="F528" s="9"/>
    </row>
    <row r="529" spans="6:6">
      <c r="F529" s="10"/>
    </row>
    <row r="530" spans="6:6">
      <c r="F530" s="9"/>
    </row>
    <row r="531" spans="6:6">
      <c r="F531" s="10"/>
    </row>
    <row r="532" spans="6:6">
      <c r="F532" s="9"/>
    </row>
    <row r="533" spans="6:6">
      <c r="F533" s="10"/>
    </row>
    <row r="534" spans="6:6">
      <c r="F534" s="9"/>
    </row>
    <row r="535" spans="6:6">
      <c r="F535" s="10"/>
    </row>
    <row r="536" spans="6:6">
      <c r="F536" s="9"/>
    </row>
    <row r="537" spans="6:6">
      <c r="F537" s="10"/>
    </row>
    <row r="538" spans="6:6">
      <c r="F538" s="9"/>
    </row>
    <row r="539" spans="6:6">
      <c r="F539" s="10"/>
    </row>
    <row r="540" spans="6:6">
      <c r="F540" s="9"/>
    </row>
    <row r="541" spans="6:6">
      <c r="F541" s="9"/>
    </row>
    <row r="542" spans="6:6">
      <c r="F542" s="10"/>
    </row>
    <row r="543" spans="6:6">
      <c r="F543" s="9"/>
    </row>
    <row r="544" spans="6:6">
      <c r="F544" s="10"/>
    </row>
    <row r="545" spans="6:6">
      <c r="F545" s="9"/>
    </row>
    <row r="546" spans="6:6">
      <c r="F546" s="10"/>
    </row>
    <row r="547" spans="6:6">
      <c r="F547" s="9"/>
    </row>
    <row r="548" spans="6:6">
      <c r="F548" s="10"/>
    </row>
    <row r="549" spans="6:6">
      <c r="F549" s="10"/>
    </row>
    <row r="550" spans="6:6">
      <c r="F550" s="9"/>
    </row>
    <row r="551" spans="6:6">
      <c r="F551" s="10"/>
    </row>
    <row r="552" spans="6:6">
      <c r="F552" s="9"/>
    </row>
    <row r="553" spans="6:6">
      <c r="F553" s="10"/>
    </row>
    <row r="554" spans="6:6">
      <c r="F554" s="9"/>
    </row>
    <row r="555" spans="6:6">
      <c r="F555" s="10"/>
    </row>
    <row r="556" spans="6:6">
      <c r="F556" s="9"/>
    </row>
    <row r="557" spans="6:6">
      <c r="F557" s="10"/>
    </row>
    <row r="558" spans="6:6">
      <c r="F558" s="9"/>
    </row>
    <row r="559" spans="6:6">
      <c r="F559" s="10"/>
    </row>
    <row r="560" spans="6:6">
      <c r="F560" s="9"/>
    </row>
    <row r="561" spans="6:6">
      <c r="F561" s="10"/>
    </row>
    <row r="562" spans="6:6">
      <c r="F562" s="9"/>
    </row>
    <row r="563" spans="6:6">
      <c r="F563" s="10"/>
    </row>
    <row r="564" spans="6:6">
      <c r="F564" s="9"/>
    </row>
    <row r="565" spans="6:6">
      <c r="F565" s="10"/>
    </row>
    <row r="566" spans="6:6">
      <c r="F566" s="9"/>
    </row>
    <row r="567" spans="6:6">
      <c r="F567" s="10"/>
    </row>
    <row r="568" spans="6:6">
      <c r="F568" s="9"/>
    </row>
    <row r="569" spans="6:6">
      <c r="F569" s="10"/>
    </row>
    <row r="570" spans="6:6">
      <c r="F570" s="9"/>
    </row>
    <row r="571" spans="6:6">
      <c r="F571" s="10"/>
    </row>
    <row r="572" spans="6:6">
      <c r="F572" s="9"/>
    </row>
    <row r="573" spans="6:6">
      <c r="F573" s="9"/>
    </row>
    <row r="574" spans="6:6">
      <c r="F574" s="10"/>
    </row>
    <row r="575" spans="6:6">
      <c r="F575" s="10"/>
    </row>
    <row r="576" spans="6:6">
      <c r="F576" s="9"/>
    </row>
    <row r="577" spans="6:6">
      <c r="F577" s="10"/>
    </row>
    <row r="578" spans="6:6">
      <c r="F578" s="9"/>
    </row>
    <row r="579" spans="6:6">
      <c r="F579" s="10"/>
    </row>
    <row r="580" spans="6:6">
      <c r="F580" s="9"/>
    </row>
    <row r="581" spans="6:6">
      <c r="F581" s="9"/>
    </row>
    <row r="582" spans="6:6">
      <c r="F582" s="10"/>
    </row>
    <row r="583" spans="6:6">
      <c r="F583" s="9"/>
    </row>
    <row r="584" spans="6:6">
      <c r="F584" s="10"/>
    </row>
    <row r="585" spans="6:6">
      <c r="F585" s="9"/>
    </row>
    <row r="586" spans="6:6">
      <c r="F586" s="10"/>
    </row>
    <row r="587" spans="6:6">
      <c r="F587" s="9"/>
    </row>
    <row r="588" spans="6:6">
      <c r="F588" s="10"/>
    </row>
    <row r="589" spans="6:6">
      <c r="F589" s="9"/>
    </row>
    <row r="590" spans="6:6">
      <c r="F590" s="10"/>
    </row>
    <row r="591" spans="6:6">
      <c r="F591" s="9"/>
    </row>
    <row r="592" spans="6:6">
      <c r="F592" s="10"/>
    </row>
    <row r="593" spans="6:6">
      <c r="F593" s="9"/>
    </row>
    <row r="594" spans="6:6">
      <c r="F594" s="10"/>
    </row>
    <row r="595" spans="6:6">
      <c r="F595" s="9"/>
    </row>
    <row r="596" spans="6:6">
      <c r="F596" s="10"/>
    </row>
    <row r="597" spans="6:6">
      <c r="F597" s="9"/>
    </row>
    <row r="598" spans="6:6">
      <c r="F598" s="10"/>
    </row>
    <row r="599" spans="6:6">
      <c r="F599" s="9"/>
    </row>
    <row r="600" spans="6:6">
      <c r="F600" s="10"/>
    </row>
    <row r="601" spans="6:6">
      <c r="F601" s="9"/>
    </row>
    <row r="602" spans="6:6">
      <c r="F602" s="10"/>
    </row>
    <row r="603" spans="6:6">
      <c r="F603" s="9"/>
    </row>
    <row r="604" spans="6:6">
      <c r="F604" s="10"/>
    </row>
    <row r="605" spans="6:6">
      <c r="F605" s="9"/>
    </row>
    <row r="606" spans="6:6">
      <c r="F606" s="10"/>
    </row>
    <row r="607" spans="6:6">
      <c r="F607" s="9"/>
    </row>
    <row r="608" spans="6:6">
      <c r="F608" s="10"/>
    </row>
    <row r="609" spans="6:6">
      <c r="F609" s="9"/>
    </row>
    <row r="610" spans="6:6">
      <c r="F610" s="10"/>
    </row>
    <row r="611" spans="6:6">
      <c r="F611" s="9"/>
    </row>
    <row r="612" spans="6:6">
      <c r="F612" s="10"/>
    </row>
    <row r="613" spans="6:6">
      <c r="F613" s="9"/>
    </row>
    <row r="614" spans="6:6">
      <c r="F614" s="10"/>
    </row>
    <row r="615" spans="6:6">
      <c r="F615" s="9"/>
    </row>
    <row r="616" spans="6:6">
      <c r="F616" s="10"/>
    </row>
    <row r="617" spans="6:6">
      <c r="F617" s="9"/>
    </row>
    <row r="618" spans="6:6">
      <c r="F618" s="10"/>
    </row>
    <row r="619" spans="6:6">
      <c r="F619" s="9"/>
    </row>
    <row r="620" spans="6:6">
      <c r="F620" s="10"/>
    </row>
    <row r="621" spans="6:6">
      <c r="F621" s="9"/>
    </row>
    <row r="622" spans="6:6">
      <c r="F622" s="10"/>
    </row>
    <row r="623" spans="6:6">
      <c r="F623" s="9"/>
    </row>
    <row r="624" spans="6:6">
      <c r="F624" s="10"/>
    </row>
    <row r="625" spans="6:6">
      <c r="F625" s="9"/>
    </row>
    <row r="626" spans="6:6">
      <c r="F626" s="10"/>
    </row>
    <row r="627" spans="6:6">
      <c r="F627" s="9"/>
    </row>
    <row r="628" spans="6:6">
      <c r="F628" s="10"/>
    </row>
    <row r="629" spans="6:6">
      <c r="F629" s="9"/>
    </row>
    <row r="630" spans="6:6">
      <c r="F630" s="10"/>
    </row>
    <row r="631" spans="6:6">
      <c r="F631" s="9"/>
    </row>
    <row r="632" spans="6:6">
      <c r="F632" s="10"/>
    </row>
    <row r="633" spans="6:6">
      <c r="F633" s="9"/>
    </row>
    <row r="634" spans="6:6">
      <c r="F634" s="10"/>
    </row>
    <row r="635" spans="6:6">
      <c r="F635" s="9"/>
    </row>
    <row r="636" spans="6:6">
      <c r="F636" s="10"/>
    </row>
    <row r="637" spans="6:6">
      <c r="F637" s="9"/>
    </row>
    <row r="638" spans="6:6">
      <c r="F638" s="10"/>
    </row>
    <row r="639" spans="6:6">
      <c r="F639" s="9"/>
    </row>
    <row r="640" spans="6:6">
      <c r="F640" s="10"/>
    </row>
    <row r="641" spans="6:6">
      <c r="F641" s="9"/>
    </row>
    <row r="642" spans="6:6">
      <c r="F642" s="10"/>
    </row>
    <row r="643" spans="6:6">
      <c r="F643" s="9"/>
    </row>
    <row r="644" spans="6:6">
      <c r="F644" s="10"/>
    </row>
    <row r="645" spans="6:6">
      <c r="F645" s="9"/>
    </row>
    <row r="646" spans="6:6">
      <c r="F646" s="10"/>
    </row>
    <row r="647" spans="6:6">
      <c r="F647" s="9"/>
    </row>
    <row r="648" spans="6:6">
      <c r="F648" s="10"/>
    </row>
    <row r="649" spans="6:6">
      <c r="F649" s="9"/>
    </row>
    <row r="650" spans="6:6">
      <c r="F650" s="10"/>
    </row>
    <row r="651" spans="6:6">
      <c r="F651" s="10"/>
    </row>
    <row r="652" spans="6:6">
      <c r="F652" s="9"/>
    </row>
    <row r="653" spans="6:6">
      <c r="F653" s="10"/>
    </row>
    <row r="654" spans="6:6">
      <c r="F654" s="9"/>
    </row>
    <row r="655" spans="6:6">
      <c r="F655" s="9"/>
    </row>
    <row r="656" spans="6:6">
      <c r="F656" s="10"/>
    </row>
    <row r="657" spans="6:6">
      <c r="F657" s="9"/>
    </row>
    <row r="658" spans="6:6">
      <c r="F658" s="10"/>
    </row>
    <row r="659" spans="6:6">
      <c r="F659" s="9"/>
    </row>
    <row r="660" spans="6:6">
      <c r="F660" s="9"/>
    </row>
    <row r="661" spans="6:6">
      <c r="F661" s="10"/>
    </row>
    <row r="662" spans="6:6">
      <c r="F662" s="9"/>
    </row>
    <row r="663" spans="6:6">
      <c r="F663" s="9"/>
    </row>
    <row r="664" spans="6:6">
      <c r="F664" s="10"/>
    </row>
    <row r="665" spans="6:6">
      <c r="F665" s="9"/>
    </row>
    <row r="666" spans="6:6">
      <c r="F666" s="10"/>
    </row>
    <row r="667" spans="6:6">
      <c r="F667" s="10"/>
    </row>
    <row r="668" spans="6:6">
      <c r="F668" s="10"/>
    </row>
    <row r="669" spans="6:6">
      <c r="F669" s="9"/>
    </row>
    <row r="670" spans="6:6">
      <c r="F670" s="10"/>
    </row>
    <row r="671" spans="6:6">
      <c r="F671" s="9"/>
    </row>
    <row r="672" spans="6:6">
      <c r="F672" s="9"/>
    </row>
    <row r="673" spans="6:6">
      <c r="F673" s="10"/>
    </row>
    <row r="674" spans="6:6">
      <c r="F674" s="9"/>
    </row>
    <row r="675" spans="6:6">
      <c r="F675" s="10"/>
    </row>
    <row r="676" spans="6:6">
      <c r="F676" s="9"/>
    </row>
    <row r="677" spans="6:6">
      <c r="F677" s="10"/>
    </row>
    <row r="678" spans="6:6">
      <c r="F678" s="10"/>
    </row>
    <row r="679" spans="6:6">
      <c r="F679" s="9"/>
    </row>
    <row r="680" spans="6:6">
      <c r="F680" s="10"/>
    </row>
    <row r="681" spans="6:6">
      <c r="F681" s="9"/>
    </row>
    <row r="682" spans="6:6">
      <c r="F682" s="10"/>
    </row>
    <row r="683" spans="6:6">
      <c r="F683" s="9"/>
    </row>
    <row r="684" spans="6:6">
      <c r="F684" s="10"/>
    </row>
    <row r="685" spans="6:6">
      <c r="F685" s="9"/>
    </row>
    <row r="686" spans="6:6">
      <c r="F686" s="10"/>
    </row>
    <row r="687" spans="6:6">
      <c r="F687" s="9"/>
    </row>
    <row r="688" spans="6:6">
      <c r="F688" s="10"/>
    </row>
    <row r="689" spans="6:6">
      <c r="F689" s="9"/>
    </row>
    <row r="690" spans="6:6">
      <c r="F690" s="10"/>
    </row>
    <row r="691" spans="6:6">
      <c r="F691" s="9"/>
    </row>
    <row r="692" spans="6:6">
      <c r="F692" s="10"/>
    </row>
    <row r="693" spans="6:6">
      <c r="F693" s="10"/>
    </row>
    <row r="694" spans="6:6">
      <c r="F694" s="9"/>
    </row>
    <row r="695" spans="6:6">
      <c r="F695" s="10"/>
    </row>
    <row r="696" spans="6:6">
      <c r="F696" s="9"/>
    </row>
    <row r="697" spans="6:6">
      <c r="F697" s="10"/>
    </row>
    <row r="698" spans="6:6">
      <c r="F698" s="9"/>
    </row>
    <row r="699" spans="6:6">
      <c r="F699" s="10"/>
    </row>
    <row r="700" spans="6:6">
      <c r="F700" s="9"/>
    </row>
    <row r="701" spans="6:6">
      <c r="F701" s="10"/>
    </row>
    <row r="702" spans="6:6">
      <c r="F702" s="9"/>
    </row>
    <row r="703" spans="6:6">
      <c r="F703" s="10"/>
    </row>
  </sheetData>
  <conditionalFormatting sqref="B1:B1048576">
    <cfRule type="duplicateValues" dxfId="20" priority="1"/>
  </conditionalFormatting>
  <conditionalFormatting sqref="F1:F1048576">
    <cfRule type="duplicateValues" dxfId="19" priority="2"/>
    <cfRule type="duplicateValues" dxfId="18" priority="4"/>
  </conditionalFormatting>
  <conditionalFormatting sqref="F42">
    <cfRule type="duplicateValues" dxfId="17" priority="2015"/>
  </conditionalFormatting>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0007-433A-4988-99D7-3A6E443CE2DF}">
  <dimension ref="A1:J1182"/>
  <sheetViews>
    <sheetView topLeftCell="A4" workbookViewId="0">
      <selection activeCell="A19" sqref="A19:I24"/>
    </sheetView>
  </sheetViews>
  <sheetFormatPr defaultRowHeight="12.75"/>
  <cols>
    <col min="1" max="2" width="81.140625" bestFit="1" customWidth="1"/>
    <col min="3" max="3" width="7.28515625" bestFit="1" customWidth="1"/>
    <col min="4" max="4" width="51.85546875" bestFit="1" customWidth="1"/>
    <col min="5" max="5" width="6.7109375" bestFit="1" customWidth="1"/>
    <col min="6" max="6" width="39.4257812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5404</v>
      </c>
      <c r="B2" t="s">
        <v>5405</v>
      </c>
      <c r="C2">
        <v>2022</v>
      </c>
      <c r="D2" t="s">
        <v>5406</v>
      </c>
      <c r="E2" t="s">
        <v>51</v>
      </c>
      <c r="F2" t="s">
        <v>5407</v>
      </c>
      <c r="G2" t="s">
        <v>5408</v>
      </c>
      <c r="H2">
        <v>1</v>
      </c>
      <c r="I2" t="s">
        <v>51</v>
      </c>
      <c r="J2" t="str">
        <f t="shared" ref="J2:J18" si="0">HYPERLINK($D2,$B2)</f>
        <v>Modular Supervisory Control for the Coordination of a Manufacturing Cell with Observable Faults.</v>
      </c>
    </row>
    <row r="3" spans="1:10">
      <c r="A3" t="s">
        <v>5409</v>
      </c>
      <c r="B3" t="s">
        <v>5410</v>
      </c>
      <c r="C3">
        <v>2022</v>
      </c>
      <c r="D3" t="s">
        <v>5411</v>
      </c>
      <c r="E3" t="s">
        <v>51</v>
      </c>
      <c r="F3" t="s">
        <v>5412</v>
      </c>
      <c r="G3" t="s">
        <v>2402</v>
      </c>
      <c r="H3">
        <v>1</v>
      </c>
      <c r="I3" t="s">
        <v>51</v>
      </c>
      <c r="J3" t="str">
        <f t="shared" si="0"/>
        <v>State-of-the-art survey of artificial intelligent techniques for IoT security</v>
      </c>
    </row>
    <row r="4" spans="1:10">
      <c r="A4" t="s">
        <v>5413</v>
      </c>
      <c r="B4" t="s">
        <v>5414</v>
      </c>
      <c r="C4">
        <v>2022</v>
      </c>
      <c r="D4" t="s">
        <v>5415</v>
      </c>
      <c r="E4" t="s">
        <v>51</v>
      </c>
      <c r="F4" t="s">
        <v>5416</v>
      </c>
      <c r="G4" t="s">
        <v>5417</v>
      </c>
      <c r="H4">
        <v>6</v>
      </c>
      <c r="I4" t="s">
        <v>51</v>
      </c>
      <c r="J4" t="str">
        <f t="shared" si="0"/>
        <v>An Approach to Bridge ROS 1 and ROS 2 Devices into an OPC UA-based Testbed for Industry 4.0</v>
      </c>
    </row>
    <row r="5" spans="1:10">
      <c r="A5" t="s">
        <v>5418</v>
      </c>
      <c r="B5" t="s">
        <v>5419</v>
      </c>
      <c r="C5">
        <v>2024</v>
      </c>
      <c r="D5" t="s">
        <v>5420</v>
      </c>
      <c r="E5" t="s">
        <v>51</v>
      </c>
      <c r="F5" t="s">
        <v>5421</v>
      </c>
      <c r="G5" t="s">
        <v>5422</v>
      </c>
      <c r="H5">
        <v>17</v>
      </c>
      <c r="I5" t="s">
        <v>51</v>
      </c>
      <c r="J5" t="str">
        <f t="shared" si="0"/>
        <v>RMPF: Real-Time Message Processing Framework on Multi-Service Domains</v>
      </c>
    </row>
    <row r="6" spans="1:10">
      <c r="A6" t="s">
        <v>5423</v>
      </c>
      <c r="B6" t="s">
        <v>5424</v>
      </c>
      <c r="C6">
        <v>2022</v>
      </c>
      <c r="D6" t="s">
        <v>5425</v>
      </c>
      <c r="E6" t="s">
        <v>51</v>
      </c>
      <c r="F6" t="s">
        <v>5426</v>
      </c>
      <c r="G6" t="s">
        <v>5427</v>
      </c>
      <c r="H6">
        <v>36</v>
      </c>
      <c r="I6" t="s">
        <v>51</v>
      </c>
      <c r="J6" t="str">
        <f t="shared" si="0"/>
        <v>SCADA Systems With Focus on Continuous Manufacturing and Steel Industry: A Survey on Architectures, Standards, Challenges and Industry 5.0</v>
      </c>
    </row>
    <row r="7" spans="1:10">
      <c r="A7" t="s">
        <v>5428</v>
      </c>
      <c r="B7" t="s">
        <v>5429</v>
      </c>
      <c r="C7">
        <v>2024</v>
      </c>
      <c r="D7" t="s">
        <v>5430</v>
      </c>
      <c r="E7" t="s">
        <v>51</v>
      </c>
      <c r="F7" t="s">
        <v>5431</v>
      </c>
      <c r="G7" t="s">
        <v>2402</v>
      </c>
      <c r="H7">
        <v>8</v>
      </c>
      <c r="I7" t="s">
        <v>51</v>
      </c>
      <c r="J7" t="str">
        <f t="shared" si="0"/>
        <v>AUTOSAR AP and ROS 2 Collaboration Framework</v>
      </c>
    </row>
    <row r="8" spans="1:10">
      <c r="A8" t="s">
        <v>5432</v>
      </c>
      <c r="B8" t="s">
        <v>5433</v>
      </c>
      <c r="C8">
        <v>2022</v>
      </c>
      <c r="D8" t="s">
        <v>5434</v>
      </c>
      <c r="E8" t="s">
        <v>51</v>
      </c>
      <c r="F8" t="s">
        <v>5435</v>
      </c>
      <c r="G8" t="s">
        <v>5436</v>
      </c>
      <c r="H8">
        <v>4</v>
      </c>
      <c r="I8" t="s">
        <v>51</v>
      </c>
      <c r="J8" t="str">
        <f t="shared" si="0"/>
        <v>Open-Standard Connectivity Framework for Autonomous Vehicles</v>
      </c>
    </row>
    <row r="9" spans="1:10">
      <c r="A9" t="s">
        <v>5428</v>
      </c>
      <c r="B9" t="s">
        <v>5437</v>
      </c>
      <c r="C9">
        <v>2025</v>
      </c>
      <c r="D9" t="s">
        <v>5438</v>
      </c>
      <c r="E9" t="s">
        <v>51</v>
      </c>
      <c r="F9" t="s">
        <v>5439</v>
      </c>
      <c r="G9" t="s">
        <v>2402</v>
      </c>
      <c r="H9">
        <v>13</v>
      </c>
      <c r="I9" t="s">
        <v>51</v>
      </c>
      <c r="J9" t="str">
        <f t="shared" si="0"/>
        <v>AUTOSAR AP and ROS 2 Collaboration Framework for Development in Cloud Environment</v>
      </c>
    </row>
    <row r="10" spans="1:10">
      <c r="A10" t="s">
        <v>5444</v>
      </c>
      <c r="B10" t="s">
        <v>5445</v>
      </c>
      <c r="C10">
        <v>2025</v>
      </c>
      <c r="D10" t="s">
        <v>5446</v>
      </c>
      <c r="E10" t="s">
        <v>51</v>
      </c>
      <c r="F10" t="s">
        <v>5447</v>
      </c>
      <c r="G10" t="s">
        <v>2402</v>
      </c>
      <c r="H10">
        <v>12</v>
      </c>
      <c r="I10" t="s">
        <v>51</v>
      </c>
      <c r="J10" t="str">
        <f t="shared" si="0"/>
        <v>Edge- AI and Internet of Things for Intelligent Systems: Architectures, Applications and Future Perspectives</v>
      </c>
    </row>
    <row r="11" spans="1:10">
      <c r="A11" t="s">
        <v>5448</v>
      </c>
      <c r="B11" t="s">
        <v>5449</v>
      </c>
      <c r="C11">
        <v>2025</v>
      </c>
      <c r="D11" t="s">
        <v>5450</v>
      </c>
      <c r="E11" t="s">
        <v>51</v>
      </c>
      <c r="F11" t="s">
        <v>5451</v>
      </c>
      <c r="G11" t="s">
        <v>5452</v>
      </c>
      <c r="H11">
        <v>1</v>
      </c>
      <c r="I11" t="s">
        <v>51</v>
      </c>
      <c r="J11" t="str">
        <f t="shared" si="0"/>
        <v>Real-Time Kubernetes-Based Front-End Processor for Smart Grid</v>
      </c>
    </row>
    <row r="12" spans="1:10">
      <c r="A12" t="s">
        <v>5453</v>
      </c>
      <c r="B12" t="s">
        <v>5454</v>
      </c>
      <c r="C12">
        <v>2023</v>
      </c>
      <c r="D12" t="s">
        <v>5455</v>
      </c>
      <c r="E12" t="s">
        <v>51</v>
      </c>
      <c r="F12" t="s">
        <v>5456</v>
      </c>
      <c r="G12" t="s">
        <v>5457</v>
      </c>
      <c r="H12">
        <v>1</v>
      </c>
      <c r="I12" t="s">
        <v>51</v>
      </c>
      <c r="J12" t="str">
        <f t="shared" si="0"/>
        <v>Supervisory Monitoring and Control Solution on Android Mobile Devices for the Water Industry 4.0</v>
      </c>
    </row>
    <row r="13" spans="1:10">
      <c r="A13" t="s">
        <v>5463</v>
      </c>
      <c r="B13" t="s">
        <v>5464</v>
      </c>
      <c r="C13">
        <v>2023</v>
      </c>
      <c r="D13" t="s">
        <v>5465</v>
      </c>
      <c r="E13" t="s">
        <v>51</v>
      </c>
      <c r="F13" t="s">
        <v>5466</v>
      </c>
      <c r="G13" t="s">
        <v>5467</v>
      </c>
      <c r="H13">
        <v>1</v>
      </c>
      <c r="I13" t="s">
        <v>51</v>
      </c>
      <c r="J13" t="str">
        <f t="shared" si="0"/>
        <v>A Distributed Supervisor Architecture for a General Wafer Production System.</v>
      </c>
    </row>
    <row r="14" spans="1:10">
      <c r="A14" t="s">
        <v>5468</v>
      </c>
      <c r="B14" t="s">
        <v>5469</v>
      </c>
      <c r="C14">
        <v>2023</v>
      </c>
      <c r="D14" t="s">
        <v>5470</v>
      </c>
      <c r="E14" t="s">
        <v>51</v>
      </c>
      <c r="F14" t="s">
        <v>5471</v>
      </c>
      <c r="G14" t="s">
        <v>2402</v>
      </c>
      <c r="H14">
        <v>1</v>
      </c>
      <c r="I14" t="s">
        <v>51</v>
      </c>
      <c r="J14" t="str">
        <f t="shared" si="0"/>
        <v>Food quality 4.0: From traditional approaches to digitalized automated analysis</v>
      </c>
    </row>
    <row r="15" spans="1:10">
      <c r="A15" t="s">
        <v>5472</v>
      </c>
      <c r="B15" t="s">
        <v>5473</v>
      </c>
      <c r="C15">
        <v>2023</v>
      </c>
      <c r="D15" t="s">
        <v>5474</v>
      </c>
      <c r="E15" t="s">
        <v>51</v>
      </c>
      <c r="F15" t="s">
        <v>5475</v>
      </c>
      <c r="G15" t="s">
        <v>5476</v>
      </c>
      <c r="H15">
        <v>1</v>
      </c>
      <c r="I15" t="s">
        <v>51</v>
      </c>
      <c r="J15" t="str">
        <f t="shared" si="0"/>
        <v>Communication Safety of Cybernetic Systems in a Smart Factory Environment</v>
      </c>
    </row>
    <row r="16" spans="1:10">
      <c r="A16" t="s">
        <v>5477</v>
      </c>
      <c r="B16" t="s">
        <v>5478</v>
      </c>
      <c r="C16">
        <v>2026</v>
      </c>
      <c r="D16" t="s">
        <v>5479</v>
      </c>
      <c r="E16" t="s">
        <v>51</v>
      </c>
      <c r="F16" t="s">
        <v>5480</v>
      </c>
      <c r="G16" t="s">
        <v>2402</v>
      </c>
      <c r="H16">
        <v>15</v>
      </c>
      <c r="I16" t="s">
        <v>51</v>
      </c>
      <c r="J16" t="str">
        <f t="shared" si="0"/>
        <v>Industry 5.0: An Extended Experimental Case for Implementing a Multi-Level Framework for Enterprise Integration</v>
      </c>
    </row>
    <row r="17" spans="1:10">
      <c r="A17" t="s">
        <v>5481</v>
      </c>
      <c r="B17" t="s">
        <v>5482</v>
      </c>
      <c r="C17">
        <v>2024</v>
      </c>
      <c r="D17" t="s">
        <v>5483</v>
      </c>
      <c r="E17" t="s">
        <v>51</v>
      </c>
      <c r="F17" t="s">
        <v>5484</v>
      </c>
      <c r="G17" t="s">
        <v>2402</v>
      </c>
      <c r="H17">
        <v>10</v>
      </c>
      <c r="I17" t="s">
        <v>51</v>
      </c>
      <c r="J17" t="str">
        <f t="shared" si="0"/>
        <v>Monitor and Analyze Rare ROS2 Performance Issues with A Unified Tracing Framework</v>
      </c>
    </row>
    <row r="18" spans="1:10">
      <c r="A18" t="s">
        <v>5485</v>
      </c>
      <c r="B18" t="s">
        <v>5486</v>
      </c>
      <c r="C18">
        <v>2025</v>
      </c>
      <c r="D18" t="s">
        <v>5487</v>
      </c>
      <c r="E18" t="s">
        <v>51</v>
      </c>
      <c r="F18" t="s">
        <v>5488</v>
      </c>
      <c r="G18" t="s">
        <v>2402</v>
      </c>
      <c r="H18">
        <v>14</v>
      </c>
      <c r="I18" t="s">
        <v>51</v>
      </c>
      <c r="J18" t="str">
        <f t="shared" si="0"/>
        <v>Stepping Toward Zenoh Protocol in Automotive Scenarios</v>
      </c>
    </row>
    <row r="19" spans="1:10">
      <c r="A19" s="33" t="s">
        <v>4395</v>
      </c>
      <c r="B19" s="10" t="s">
        <v>4396</v>
      </c>
      <c r="C19" s="10">
        <v>2025</v>
      </c>
      <c r="D19" s="10" t="s">
        <v>4397</v>
      </c>
      <c r="E19" s="10" t="s">
        <v>51</v>
      </c>
      <c r="F19" s="10" t="s">
        <v>4398</v>
      </c>
      <c r="G19" s="10" t="s">
        <v>4399</v>
      </c>
      <c r="H19" s="10"/>
      <c r="I19" s="40" t="s">
        <v>51</v>
      </c>
      <c r="J19" s="32" t="str">
        <f t="shared" ref="J19:J24" si="1">HYPERLINK($D19,$B19)</f>
        <v>Research on Unified Information Modeling and Cross-Protocol Real-Time Interaction Mechanisms for Multi-Energy Supply Systems in Green Buildings</v>
      </c>
    </row>
    <row r="20" spans="1:10">
      <c r="A20" s="43" t="s">
        <v>4645</v>
      </c>
      <c r="B20" s="9" t="s">
        <v>4646</v>
      </c>
      <c r="C20" s="9">
        <v>2022</v>
      </c>
      <c r="D20" s="9" t="s">
        <v>4647</v>
      </c>
      <c r="E20" s="9" t="s">
        <v>51</v>
      </c>
      <c r="F20" s="9" t="s">
        <v>4648</v>
      </c>
      <c r="G20" s="9" t="s">
        <v>4649</v>
      </c>
      <c r="H20" s="9">
        <v>1</v>
      </c>
      <c r="I20" s="41" t="s">
        <v>51</v>
      </c>
      <c r="J20" s="32" t="str">
        <f t="shared" si="1"/>
        <v>Implementation of DDS Cloud Platform for Real-Time Data Acquisition of Sensors for a Legacy Machine</v>
      </c>
    </row>
    <row r="21" spans="1:10">
      <c r="A21" s="33" t="s">
        <v>3949</v>
      </c>
      <c r="B21" s="10" t="s">
        <v>3950</v>
      </c>
      <c r="C21" s="10">
        <v>2025</v>
      </c>
      <c r="D21" s="10" t="s">
        <v>3951</v>
      </c>
      <c r="E21" s="10" t="s">
        <v>51</v>
      </c>
      <c r="F21" s="10" t="s">
        <v>3952</v>
      </c>
      <c r="G21" s="10" t="s">
        <v>2402</v>
      </c>
      <c r="H21" s="10">
        <v>31</v>
      </c>
      <c r="I21" s="40" t="s">
        <v>51</v>
      </c>
      <c r="J21" s="32" t="str">
        <f t="shared" si="1"/>
        <v>Edge-Fog Enhanced Post-Quantum Network Security: Applications, Challenges and Solutions</v>
      </c>
    </row>
    <row r="22" spans="1:10">
      <c r="A22" s="33" t="s">
        <v>4991</v>
      </c>
      <c r="B22" s="10" t="s">
        <v>4992</v>
      </c>
      <c r="C22" s="10">
        <v>2022</v>
      </c>
      <c r="D22" s="10" t="s">
        <v>4993</v>
      </c>
      <c r="E22" s="10" t="s">
        <v>51</v>
      </c>
      <c r="F22" s="10" t="s">
        <v>4994</v>
      </c>
      <c r="G22" s="10" t="s">
        <v>4995</v>
      </c>
      <c r="H22" s="10">
        <v>1</v>
      </c>
      <c r="I22" s="40" t="s">
        <v>51</v>
      </c>
      <c r="J22" s="32" t="str">
        <f t="shared" si="1"/>
        <v>Automotive IoT Ethernet-Based Communication Technologies Applied in a V2X Context via a Multi-Protocol Gateway.</v>
      </c>
    </row>
    <row r="23" spans="1:10">
      <c r="A23" s="43" t="s">
        <v>4140</v>
      </c>
      <c r="B23" s="9" t="s">
        <v>4141</v>
      </c>
      <c r="C23" s="9">
        <v>2024</v>
      </c>
      <c r="D23" s="9" t="s">
        <v>4142</v>
      </c>
      <c r="E23" s="9" t="s">
        <v>51</v>
      </c>
      <c r="F23" s="9" t="s">
        <v>4143</v>
      </c>
      <c r="G23" s="9" t="s">
        <v>4144</v>
      </c>
      <c r="H23" s="9">
        <v>1</v>
      </c>
      <c r="I23" s="41" t="s">
        <v>51</v>
      </c>
      <c r="J23" s="32" t="str">
        <f t="shared" si="1"/>
        <v>Enhancing Wireless Sensor Network in Structural Health Monitoring through TCP/IP Socket Programming-Based Mimic Broadcasting: Experimental Validation</v>
      </c>
    </row>
    <row r="24" spans="1:10">
      <c r="A24" s="51" t="s">
        <v>5084</v>
      </c>
      <c r="B24" s="52" t="s">
        <v>5085</v>
      </c>
      <c r="C24" s="52">
        <v>2026</v>
      </c>
      <c r="D24" s="52" t="s">
        <v>5086</v>
      </c>
      <c r="E24" s="52" t="s">
        <v>51</v>
      </c>
      <c r="F24" s="52" t="s">
        <v>5087</v>
      </c>
      <c r="G24" s="52" t="s">
        <v>2402</v>
      </c>
      <c r="H24" s="52"/>
      <c r="I24" s="53" t="s">
        <v>51</v>
      </c>
      <c r="J24" s="47" t="str">
        <f t="shared" si="1"/>
        <v>Artificial Intelligence on the Shop Floor: A Comprehensive Review of Literature</v>
      </c>
    </row>
    <row r="29" spans="1:10">
      <c r="A29" s="33"/>
      <c r="B29" s="10"/>
      <c r="C29" s="10"/>
      <c r="D29" s="10"/>
      <c r="E29" s="10"/>
      <c r="F29" s="10"/>
      <c r="G29" s="10"/>
      <c r="H29" s="10"/>
      <c r="I29" s="40"/>
    </row>
    <row r="31" spans="1:10">
      <c r="A31" s="33"/>
      <c r="B31" s="10"/>
      <c r="C31" s="10"/>
      <c r="D31" s="10"/>
      <c r="E31" s="10"/>
      <c r="F31" s="10"/>
      <c r="G31" s="10"/>
      <c r="H31" s="10"/>
      <c r="I31" s="40"/>
    </row>
    <row r="32" spans="1:10">
      <c r="A32" s="43"/>
      <c r="B32" s="9"/>
      <c r="C32" s="9"/>
      <c r="D32" s="9"/>
      <c r="E32" s="9"/>
      <c r="F32" s="9"/>
      <c r="G32" s="9"/>
      <c r="H32" s="9"/>
      <c r="I32" s="41"/>
    </row>
    <row r="33" spans="1:9">
      <c r="A33" s="33"/>
      <c r="B33" s="10"/>
      <c r="C33" s="10"/>
      <c r="D33" s="10"/>
      <c r="E33" s="10"/>
      <c r="F33" s="10"/>
      <c r="G33" s="10"/>
      <c r="H33" s="10"/>
      <c r="I33" s="40"/>
    </row>
    <row r="34" spans="1:9">
      <c r="A34" s="43"/>
      <c r="B34" s="9"/>
      <c r="C34" s="9"/>
      <c r="D34" s="9"/>
      <c r="E34" s="9"/>
      <c r="F34" s="9"/>
      <c r="G34" s="9"/>
      <c r="H34" s="9"/>
      <c r="I34" s="41"/>
    </row>
    <row r="35" spans="1:9">
      <c r="A35" s="33"/>
      <c r="B35" s="10"/>
      <c r="C35" s="10"/>
      <c r="D35" s="10"/>
      <c r="E35" s="10"/>
      <c r="F35" s="10"/>
      <c r="G35" s="10"/>
      <c r="H35" s="10"/>
      <c r="I35" s="40"/>
    </row>
    <row r="36" spans="1:9">
      <c r="A36" s="43"/>
      <c r="B36" s="9"/>
      <c r="C36" s="9"/>
      <c r="D36" s="9"/>
      <c r="E36" s="9"/>
      <c r="F36" s="9"/>
      <c r="G36" s="9"/>
      <c r="H36" s="9"/>
      <c r="I36" s="41"/>
    </row>
    <row r="38" spans="1:9">
      <c r="A38" s="43"/>
      <c r="B38" s="9"/>
      <c r="C38" s="9"/>
      <c r="D38" s="9"/>
      <c r="E38" s="9"/>
      <c r="F38" s="9"/>
      <c r="G38" s="9"/>
      <c r="H38" s="9"/>
      <c r="I38" s="41"/>
    </row>
    <row r="39" spans="1:9">
      <c r="A39" s="33"/>
      <c r="B39" s="10"/>
      <c r="C39" s="10"/>
      <c r="D39" s="10"/>
      <c r="E39" s="10"/>
      <c r="F39" s="10"/>
      <c r="G39" s="10"/>
      <c r="H39" s="10"/>
      <c r="I39" s="40"/>
    </row>
    <row r="40" spans="1:9">
      <c r="A40" s="43"/>
      <c r="B40" s="9"/>
      <c r="C40" s="9"/>
      <c r="D40" s="9"/>
      <c r="E40" s="9"/>
      <c r="F40" s="9"/>
      <c r="G40" s="9"/>
      <c r="H40" s="9"/>
      <c r="I40" s="41"/>
    </row>
    <row r="42" spans="1:9">
      <c r="A42" s="43"/>
      <c r="B42" s="9"/>
      <c r="C42" s="9"/>
      <c r="D42" s="9"/>
      <c r="E42" s="9"/>
      <c r="F42" s="9"/>
      <c r="G42" s="9"/>
      <c r="H42" s="9"/>
      <c r="I42" s="41"/>
    </row>
    <row r="43" spans="1:9">
      <c r="A43" s="33"/>
      <c r="B43" s="10"/>
      <c r="C43" s="10"/>
      <c r="D43" s="10"/>
      <c r="E43" s="10"/>
      <c r="F43" s="10"/>
      <c r="G43" s="10"/>
      <c r="H43" s="10"/>
      <c r="I43" s="40"/>
    </row>
    <row r="46" spans="1:9">
      <c r="A46" s="43"/>
      <c r="B46" s="9"/>
      <c r="C46" s="9"/>
      <c r="D46" s="9"/>
      <c r="E46" s="9"/>
      <c r="F46" s="9"/>
      <c r="G46" s="9"/>
      <c r="H46" s="9"/>
      <c r="I46" s="41"/>
    </row>
    <row r="53" spans="6:6">
      <c r="F53" s="9"/>
    </row>
    <row r="54" spans="6:6">
      <c r="F54" s="10"/>
    </row>
    <row r="55" spans="6:6">
      <c r="F55" s="9"/>
    </row>
    <row r="56" spans="6:6">
      <c r="F56" s="10"/>
    </row>
    <row r="57" spans="6:6">
      <c r="F57" s="9"/>
    </row>
    <row r="58" spans="6:6">
      <c r="F58" s="10"/>
    </row>
    <row r="59" spans="6:6">
      <c r="F59" s="9"/>
    </row>
    <row r="60" spans="6:6">
      <c r="F60" s="10"/>
    </row>
    <row r="61" spans="6:6">
      <c r="F61" s="9"/>
    </row>
    <row r="62" spans="6:6">
      <c r="F62" s="10"/>
    </row>
    <row r="63" spans="6:6">
      <c r="F63" s="9"/>
    </row>
    <row r="64" spans="6:6">
      <c r="F64" s="10"/>
    </row>
    <row r="65" spans="6:6">
      <c r="F65" s="9"/>
    </row>
    <row r="66" spans="6:6">
      <c r="F66" s="10"/>
    </row>
    <row r="67" spans="6:6">
      <c r="F67" s="9"/>
    </row>
    <row r="68" spans="6:6">
      <c r="F68" s="10"/>
    </row>
    <row r="69" spans="6:6">
      <c r="F69" s="9"/>
    </row>
    <row r="70" spans="6:6">
      <c r="F70" s="10"/>
    </row>
    <row r="71" spans="6:6">
      <c r="F71" s="9"/>
    </row>
    <row r="72" spans="6:6">
      <c r="F72" s="10"/>
    </row>
    <row r="73" spans="6:6">
      <c r="F73" s="9"/>
    </row>
    <row r="74" spans="6:6">
      <c r="F74" s="10"/>
    </row>
    <row r="75" spans="6:6">
      <c r="F75" s="9"/>
    </row>
    <row r="76" spans="6:6">
      <c r="F76" s="10"/>
    </row>
    <row r="77" spans="6:6">
      <c r="F77" s="9"/>
    </row>
    <row r="78" spans="6:6">
      <c r="F78" s="10"/>
    </row>
    <row r="79" spans="6:6">
      <c r="F79" s="9"/>
    </row>
    <row r="80" spans="6:6">
      <c r="F80" s="10"/>
    </row>
    <row r="81" spans="6:6">
      <c r="F81" s="9"/>
    </row>
    <row r="82" spans="6:6">
      <c r="F82" s="10"/>
    </row>
    <row r="83" spans="6:6">
      <c r="F83" s="9"/>
    </row>
    <row r="84" spans="6:6">
      <c r="F84" s="10"/>
    </row>
    <row r="85" spans="6:6">
      <c r="F85" s="9"/>
    </row>
    <row r="86" spans="6:6">
      <c r="F86" s="10"/>
    </row>
    <row r="87" spans="6:6">
      <c r="F87" s="9"/>
    </row>
    <row r="88" spans="6:6">
      <c r="F88" s="10"/>
    </row>
    <row r="89" spans="6:6">
      <c r="F89" s="9"/>
    </row>
    <row r="90" spans="6:6">
      <c r="F90" s="10"/>
    </row>
    <row r="91" spans="6:6">
      <c r="F91" s="9"/>
    </row>
    <row r="92" spans="6:6">
      <c r="F92" s="10"/>
    </row>
    <row r="93" spans="6:6">
      <c r="F93" s="9"/>
    </row>
    <row r="94" spans="6:6">
      <c r="F94" s="10"/>
    </row>
    <row r="95" spans="6:6">
      <c r="F95" s="9"/>
    </row>
    <row r="96" spans="6:6">
      <c r="F96" s="10"/>
    </row>
    <row r="97" spans="6:6">
      <c r="F97" s="9"/>
    </row>
    <row r="98" spans="6:6">
      <c r="F98" s="10"/>
    </row>
    <row r="99" spans="6:6">
      <c r="F99" s="9"/>
    </row>
    <row r="100" spans="6:6">
      <c r="F100" s="10"/>
    </row>
    <row r="101" spans="6:6">
      <c r="F101" s="9"/>
    </row>
    <row r="102" spans="6:6">
      <c r="F102" s="10"/>
    </row>
    <row r="103" spans="6:6">
      <c r="F103" s="9"/>
    </row>
    <row r="104" spans="6:6">
      <c r="F104" s="10"/>
    </row>
    <row r="105" spans="6:6">
      <c r="F105" s="9"/>
    </row>
    <row r="106" spans="6:6">
      <c r="F106" s="10"/>
    </row>
    <row r="107" spans="6:6">
      <c r="F107" s="9"/>
    </row>
    <row r="108" spans="6:6">
      <c r="F108" s="10"/>
    </row>
    <row r="109" spans="6:6">
      <c r="F109" s="9"/>
    </row>
    <row r="110" spans="6:6">
      <c r="F110" s="10"/>
    </row>
    <row r="111" spans="6:6">
      <c r="F111" s="9"/>
    </row>
    <row r="112" spans="6:6">
      <c r="F112" s="10"/>
    </row>
    <row r="113" spans="6:6">
      <c r="F113" s="9"/>
    </row>
    <row r="114" spans="6:6">
      <c r="F114" s="10"/>
    </row>
    <row r="115" spans="6:6">
      <c r="F115" s="9"/>
    </row>
    <row r="116" spans="6:6">
      <c r="F116" s="10"/>
    </row>
    <row r="117" spans="6:6">
      <c r="F117" s="9"/>
    </row>
    <row r="118" spans="6:6">
      <c r="F118" s="10"/>
    </row>
    <row r="119" spans="6:6">
      <c r="F119" s="9"/>
    </row>
    <row r="120" spans="6:6">
      <c r="F120" s="10"/>
    </row>
    <row r="121" spans="6:6">
      <c r="F121" s="9"/>
    </row>
    <row r="122" spans="6:6">
      <c r="F122" s="10"/>
    </row>
    <row r="123" spans="6:6">
      <c r="F123" s="9"/>
    </row>
    <row r="124" spans="6:6">
      <c r="F124" s="10"/>
    </row>
    <row r="125" spans="6:6">
      <c r="F125" s="9"/>
    </row>
    <row r="126" spans="6:6">
      <c r="F126" s="10"/>
    </row>
    <row r="127" spans="6:6">
      <c r="F127" s="9"/>
    </row>
    <row r="128" spans="6:6">
      <c r="F128" s="10"/>
    </row>
    <row r="129" spans="6:6">
      <c r="F129" s="9"/>
    </row>
    <row r="130" spans="6:6">
      <c r="F130" s="10"/>
    </row>
    <row r="131" spans="6:6">
      <c r="F131" s="9"/>
    </row>
    <row r="132" spans="6:6">
      <c r="F132" s="10"/>
    </row>
    <row r="133" spans="6:6">
      <c r="F133" s="9"/>
    </row>
    <row r="134" spans="6:6">
      <c r="F134" s="10"/>
    </row>
    <row r="135" spans="6:6">
      <c r="F135" s="9"/>
    </row>
    <row r="136" spans="6:6">
      <c r="F136" s="10"/>
    </row>
    <row r="137" spans="6:6">
      <c r="F137" s="9"/>
    </row>
    <row r="138" spans="6:6">
      <c r="F138" s="10"/>
    </row>
    <row r="139" spans="6:6">
      <c r="F139" s="9"/>
    </row>
    <row r="140" spans="6:6">
      <c r="F140" s="10"/>
    </row>
    <row r="141" spans="6:6">
      <c r="F141" s="9"/>
    </row>
    <row r="142" spans="6:6">
      <c r="F142" s="10"/>
    </row>
    <row r="143" spans="6:6">
      <c r="F143" s="9"/>
    </row>
    <row r="144" spans="6:6">
      <c r="F144" s="10"/>
    </row>
    <row r="145" spans="6:6">
      <c r="F145" s="9"/>
    </row>
    <row r="146" spans="6:6">
      <c r="F146" s="10"/>
    </row>
    <row r="147" spans="6:6">
      <c r="F147" s="9"/>
    </row>
    <row r="148" spans="6:6">
      <c r="F148" s="10"/>
    </row>
    <row r="149" spans="6:6">
      <c r="F149" s="9"/>
    </row>
    <row r="150" spans="6:6">
      <c r="F150" s="10"/>
    </row>
    <row r="151" spans="6:6">
      <c r="F151" s="9"/>
    </row>
    <row r="152" spans="6:6">
      <c r="F152" s="10"/>
    </row>
    <row r="153" spans="6:6">
      <c r="F153" s="9"/>
    </row>
    <row r="154" spans="6:6">
      <c r="F154" s="10"/>
    </row>
    <row r="155" spans="6:6">
      <c r="F155" s="9"/>
    </row>
    <row r="156" spans="6:6">
      <c r="F156" s="10"/>
    </row>
    <row r="157" spans="6:6">
      <c r="F157" s="9"/>
    </row>
    <row r="158" spans="6:6">
      <c r="F158" s="10"/>
    </row>
    <row r="159" spans="6:6">
      <c r="F159" s="9"/>
    </row>
    <row r="160" spans="6:6">
      <c r="F160" s="10"/>
    </row>
    <row r="161" spans="6:6">
      <c r="F161" s="9"/>
    </row>
    <row r="162" spans="6:6">
      <c r="F162" s="10"/>
    </row>
    <row r="163" spans="6:6">
      <c r="F163" s="9"/>
    </row>
    <row r="164" spans="6:6">
      <c r="F164" s="10"/>
    </row>
    <row r="165" spans="6:6">
      <c r="F165" s="9"/>
    </row>
    <row r="166" spans="6:6">
      <c r="F166" s="10"/>
    </row>
    <row r="167" spans="6:6">
      <c r="F167" s="9"/>
    </row>
    <row r="168" spans="6:6">
      <c r="F168" s="10"/>
    </row>
    <row r="169" spans="6:6">
      <c r="F169" s="9"/>
    </row>
    <row r="170" spans="6:6">
      <c r="F170" s="10"/>
    </row>
    <row r="171" spans="6:6">
      <c r="F171" s="9"/>
    </row>
    <row r="172" spans="6:6">
      <c r="F172" s="10"/>
    </row>
    <row r="173" spans="6:6">
      <c r="F173" s="9"/>
    </row>
    <row r="174" spans="6:6">
      <c r="F174" s="10"/>
    </row>
    <row r="175" spans="6:6">
      <c r="F175" s="9"/>
    </row>
    <row r="176" spans="6:6">
      <c r="F176" s="10"/>
    </row>
    <row r="177" spans="6:6">
      <c r="F177" s="9"/>
    </row>
    <row r="178" spans="6:6">
      <c r="F178" s="10"/>
    </row>
    <row r="179" spans="6:6">
      <c r="F179" s="9"/>
    </row>
    <row r="180" spans="6:6">
      <c r="F180" s="10"/>
    </row>
    <row r="181" spans="6:6">
      <c r="F181" s="9"/>
    </row>
    <row r="182" spans="6:6">
      <c r="F182" s="10"/>
    </row>
    <row r="183" spans="6:6">
      <c r="F183" s="9"/>
    </row>
    <row r="184" spans="6:6">
      <c r="F184" s="10"/>
    </row>
    <row r="185" spans="6:6">
      <c r="F185" s="9"/>
    </row>
    <row r="186" spans="6:6">
      <c r="F186" s="10"/>
    </row>
    <row r="187" spans="6:6">
      <c r="F187" s="9"/>
    </row>
    <row r="188" spans="6:6">
      <c r="F188" s="10"/>
    </row>
    <row r="189" spans="6:6">
      <c r="F189" s="9"/>
    </row>
    <row r="190" spans="6:6">
      <c r="F190" s="10"/>
    </row>
    <row r="191" spans="6:6">
      <c r="F191" s="9"/>
    </row>
    <row r="192" spans="6:6">
      <c r="F192" s="10"/>
    </row>
    <row r="193" spans="6:6">
      <c r="F193" s="9"/>
    </row>
    <row r="194" spans="6:6">
      <c r="F194" s="10"/>
    </row>
    <row r="195" spans="6:6">
      <c r="F195" s="9"/>
    </row>
    <row r="196" spans="6:6">
      <c r="F196" s="10"/>
    </row>
    <row r="197" spans="6:6">
      <c r="F197" s="9"/>
    </row>
    <row r="198" spans="6:6">
      <c r="F198" s="10"/>
    </row>
    <row r="199" spans="6:6">
      <c r="F199" s="9"/>
    </row>
    <row r="200" spans="6:6">
      <c r="F200" s="10"/>
    </row>
    <row r="201" spans="6:6">
      <c r="F201" s="9"/>
    </row>
    <row r="202" spans="6:6">
      <c r="F202" s="10"/>
    </row>
    <row r="203" spans="6:6">
      <c r="F203" s="9"/>
    </row>
    <row r="204" spans="6:6">
      <c r="F204" s="10"/>
    </row>
    <row r="205" spans="6:6">
      <c r="F205" s="9"/>
    </row>
    <row r="206" spans="6:6">
      <c r="F206" s="10"/>
    </row>
    <row r="207" spans="6:6">
      <c r="F207" s="9"/>
    </row>
    <row r="208" spans="6:6">
      <c r="F208" s="10"/>
    </row>
    <row r="209" spans="6:6">
      <c r="F209" s="9"/>
    </row>
    <row r="210" spans="6:6">
      <c r="F210" s="10"/>
    </row>
    <row r="211" spans="6:6">
      <c r="F211" s="9"/>
    </row>
    <row r="212" spans="6:6">
      <c r="F212" s="10"/>
    </row>
    <row r="213" spans="6:6">
      <c r="F213" s="9"/>
    </row>
    <row r="214" spans="6:6">
      <c r="F214" s="10"/>
    </row>
    <row r="215" spans="6:6">
      <c r="F215" s="9"/>
    </row>
    <row r="216" spans="6:6">
      <c r="F216" s="10"/>
    </row>
    <row r="217" spans="6:6">
      <c r="F217" s="9"/>
    </row>
    <row r="218" spans="6:6">
      <c r="F218" s="10"/>
    </row>
    <row r="219" spans="6:6">
      <c r="F219" s="9"/>
    </row>
    <row r="220" spans="6:6">
      <c r="F220" s="10"/>
    </row>
    <row r="221" spans="6:6">
      <c r="F221" s="9"/>
    </row>
    <row r="222" spans="6:6">
      <c r="F222" s="10"/>
    </row>
    <row r="223" spans="6:6">
      <c r="F223" s="9"/>
    </row>
    <row r="224" spans="6:6">
      <c r="F224" s="10"/>
    </row>
    <row r="225" spans="6:6">
      <c r="F225" s="9"/>
    </row>
    <row r="226" spans="6:6">
      <c r="F226" s="10"/>
    </row>
    <row r="227" spans="6:6">
      <c r="F227" s="9"/>
    </row>
    <row r="228" spans="6:6">
      <c r="F228" s="10"/>
    </row>
    <row r="229" spans="6:6">
      <c r="F229" s="9"/>
    </row>
    <row r="230" spans="6:6">
      <c r="F230" s="10"/>
    </row>
    <row r="231" spans="6:6">
      <c r="F231" s="9"/>
    </row>
    <row r="232" spans="6:6">
      <c r="F232" s="10"/>
    </row>
    <row r="233" spans="6:6">
      <c r="F233" s="9"/>
    </row>
    <row r="234" spans="6:6">
      <c r="F234" s="10"/>
    </row>
    <row r="235" spans="6:6">
      <c r="F235" s="9"/>
    </row>
    <row r="236" spans="6:6">
      <c r="F236" s="10"/>
    </row>
    <row r="237" spans="6:6">
      <c r="F237" s="9"/>
    </row>
    <row r="238" spans="6:6">
      <c r="F238" s="10"/>
    </row>
    <row r="239" spans="6:6">
      <c r="F239" s="9"/>
    </row>
    <row r="240" spans="6:6">
      <c r="F240" s="10"/>
    </row>
    <row r="241" spans="6:6">
      <c r="F241" s="9"/>
    </row>
    <row r="242" spans="6:6">
      <c r="F242" s="10"/>
    </row>
    <row r="243" spans="6:6">
      <c r="F243" s="9"/>
    </row>
    <row r="244" spans="6:6">
      <c r="F244" s="10"/>
    </row>
    <row r="245" spans="6:6">
      <c r="F245" s="9"/>
    </row>
    <row r="246" spans="6:6">
      <c r="F246" s="10"/>
    </row>
    <row r="247" spans="6:6">
      <c r="F247" s="9"/>
    </row>
    <row r="248" spans="6:6">
      <c r="F248" s="10"/>
    </row>
    <row r="249" spans="6:6">
      <c r="F249" s="9"/>
    </row>
    <row r="250" spans="6:6">
      <c r="F250" s="10"/>
    </row>
    <row r="251" spans="6:6">
      <c r="F251" s="9"/>
    </row>
    <row r="252" spans="6:6">
      <c r="F252" s="10"/>
    </row>
    <row r="253" spans="6:6">
      <c r="F253" s="10"/>
    </row>
    <row r="254" spans="6:6">
      <c r="F254" s="9"/>
    </row>
    <row r="255" spans="6:6">
      <c r="F255" s="10"/>
    </row>
    <row r="256" spans="6:6">
      <c r="F256" s="9"/>
    </row>
    <row r="257" spans="6:6">
      <c r="F257" s="10"/>
    </row>
    <row r="258" spans="6:6">
      <c r="F258" s="9"/>
    </row>
    <row r="259" spans="6:6">
      <c r="F259" s="10"/>
    </row>
    <row r="260" spans="6:6">
      <c r="F260" s="9"/>
    </row>
    <row r="261" spans="6:6">
      <c r="F261" s="10"/>
    </row>
    <row r="262" spans="6:6">
      <c r="F262" s="9"/>
    </row>
    <row r="263" spans="6:6">
      <c r="F263" s="10"/>
    </row>
    <row r="264" spans="6:6">
      <c r="F264" s="9"/>
    </row>
    <row r="265" spans="6:6">
      <c r="F265" s="10"/>
    </row>
    <row r="266" spans="6:6">
      <c r="F266" s="9"/>
    </row>
    <row r="267" spans="6:6">
      <c r="F267" s="10"/>
    </row>
    <row r="268" spans="6:6">
      <c r="F268" s="9"/>
    </row>
    <row r="269" spans="6:6">
      <c r="F269" s="10"/>
    </row>
    <row r="270" spans="6:6">
      <c r="F270" s="9"/>
    </row>
    <row r="271" spans="6:6">
      <c r="F271" s="9"/>
    </row>
    <row r="272" spans="6:6">
      <c r="F272" s="10"/>
    </row>
    <row r="273" spans="6:6">
      <c r="F273" s="9"/>
    </row>
    <row r="274" spans="6:6">
      <c r="F274" s="10"/>
    </row>
    <row r="275" spans="6:6">
      <c r="F275" s="9"/>
    </row>
    <row r="276" spans="6:6">
      <c r="F276" s="10"/>
    </row>
    <row r="277" spans="6:6">
      <c r="F277" s="9"/>
    </row>
    <row r="278" spans="6:6">
      <c r="F278" s="10"/>
    </row>
    <row r="279" spans="6:6">
      <c r="F279" s="9"/>
    </row>
    <row r="280" spans="6:6">
      <c r="F280" s="10"/>
    </row>
    <row r="281" spans="6:6">
      <c r="F281" s="9"/>
    </row>
    <row r="282" spans="6:6">
      <c r="F282" s="10"/>
    </row>
    <row r="283" spans="6:6">
      <c r="F283" s="9"/>
    </row>
    <row r="284" spans="6:6">
      <c r="F284" s="10"/>
    </row>
    <row r="285" spans="6:6">
      <c r="F285" s="9"/>
    </row>
    <row r="286" spans="6:6">
      <c r="F286" s="10"/>
    </row>
    <row r="287" spans="6:6">
      <c r="F287" s="9"/>
    </row>
    <row r="288" spans="6:6">
      <c r="F288" s="10"/>
    </row>
    <row r="289" spans="6:6">
      <c r="F289" s="9"/>
    </row>
    <row r="290" spans="6:6">
      <c r="F290" s="10"/>
    </row>
    <row r="291" spans="6:6">
      <c r="F291" s="9"/>
    </row>
    <row r="292" spans="6:6">
      <c r="F292" s="10"/>
    </row>
    <row r="293" spans="6:6">
      <c r="F293" s="9"/>
    </row>
    <row r="294" spans="6:6">
      <c r="F294" s="10"/>
    </row>
    <row r="295" spans="6:6">
      <c r="F295" s="9"/>
    </row>
    <row r="296" spans="6:6">
      <c r="F296" s="10"/>
    </row>
    <row r="297" spans="6:6">
      <c r="F297" s="9"/>
    </row>
    <row r="298" spans="6:6">
      <c r="F298" s="10"/>
    </row>
    <row r="299" spans="6:6">
      <c r="F299" s="9"/>
    </row>
    <row r="300" spans="6:6">
      <c r="F300" s="10"/>
    </row>
    <row r="301" spans="6:6">
      <c r="F301" s="9"/>
    </row>
    <row r="302" spans="6:6">
      <c r="F302" s="10"/>
    </row>
    <row r="303" spans="6:6">
      <c r="F303" s="9"/>
    </row>
    <row r="304" spans="6:6">
      <c r="F304" s="10"/>
    </row>
    <row r="305" spans="6:6">
      <c r="F305" s="9"/>
    </row>
    <row r="306" spans="6:6">
      <c r="F306" s="10"/>
    </row>
    <row r="307" spans="6:6">
      <c r="F307" s="9"/>
    </row>
    <row r="308" spans="6:6">
      <c r="F308" s="10"/>
    </row>
    <row r="309" spans="6:6">
      <c r="F309" s="9"/>
    </row>
    <row r="310" spans="6:6">
      <c r="F310" s="10"/>
    </row>
    <row r="311" spans="6:6">
      <c r="F311" s="9"/>
    </row>
    <row r="312" spans="6:6">
      <c r="F312" s="10"/>
    </row>
    <row r="313" spans="6:6">
      <c r="F313" s="9"/>
    </row>
    <row r="314" spans="6:6">
      <c r="F314" s="10"/>
    </row>
    <row r="315" spans="6:6">
      <c r="F315" s="9"/>
    </row>
    <row r="316" spans="6:6">
      <c r="F316" s="10"/>
    </row>
    <row r="317" spans="6:6">
      <c r="F317" s="9"/>
    </row>
    <row r="318" spans="6:6">
      <c r="F318" s="10"/>
    </row>
    <row r="319" spans="6:6">
      <c r="F319" s="9"/>
    </row>
    <row r="320" spans="6:6">
      <c r="F320" s="10"/>
    </row>
    <row r="321" spans="6:6">
      <c r="F321" s="9"/>
    </row>
    <row r="322" spans="6:6">
      <c r="F322" s="10"/>
    </row>
    <row r="323" spans="6:6">
      <c r="F323" s="9"/>
    </row>
    <row r="324" spans="6:6">
      <c r="F324" s="10"/>
    </row>
    <row r="325" spans="6:6">
      <c r="F325" s="9"/>
    </row>
    <row r="326" spans="6:6">
      <c r="F326" s="10"/>
    </row>
    <row r="327" spans="6:6">
      <c r="F327" s="9"/>
    </row>
    <row r="328" spans="6:6">
      <c r="F328" s="10"/>
    </row>
    <row r="329" spans="6:6">
      <c r="F329" s="9"/>
    </row>
    <row r="330" spans="6:6">
      <c r="F330" s="10"/>
    </row>
    <row r="331" spans="6:6">
      <c r="F331" s="9"/>
    </row>
    <row r="332" spans="6:6">
      <c r="F332" s="10"/>
    </row>
    <row r="333" spans="6:6">
      <c r="F333" s="9"/>
    </row>
    <row r="334" spans="6:6">
      <c r="F334" s="10"/>
    </row>
    <row r="335" spans="6:6">
      <c r="F335" s="9"/>
    </row>
    <row r="336" spans="6:6">
      <c r="F336" s="10"/>
    </row>
    <row r="337" spans="6:6">
      <c r="F337" s="9"/>
    </row>
    <row r="338" spans="6:6">
      <c r="F338" s="10"/>
    </row>
    <row r="339" spans="6:6">
      <c r="F339" s="9"/>
    </row>
    <row r="340" spans="6:6">
      <c r="F340" s="10"/>
    </row>
    <row r="341" spans="6:6">
      <c r="F341" s="9"/>
    </row>
    <row r="342" spans="6:6">
      <c r="F342" s="10"/>
    </row>
    <row r="343" spans="6:6">
      <c r="F343" s="9"/>
    </row>
    <row r="344" spans="6:6">
      <c r="F344" s="10"/>
    </row>
    <row r="345" spans="6:6">
      <c r="F345" s="9"/>
    </row>
    <row r="346" spans="6:6">
      <c r="F346" s="10"/>
    </row>
    <row r="347" spans="6:6">
      <c r="F347" s="9"/>
    </row>
    <row r="348" spans="6:6">
      <c r="F348" s="10"/>
    </row>
    <row r="349" spans="6:6">
      <c r="F349" s="9"/>
    </row>
    <row r="350" spans="6:6">
      <c r="F350" s="10"/>
    </row>
    <row r="351" spans="6:6">
      <c r="F351" s="9"/>
    </row>
    <row r="352" spans="6:6">
      <c r="F352" s="10"/>
    </row>
    <row r="353" spans="6:6">
      <c r="F353" s="9"/>
    </row>
    <row r="354" spans="6:6">
      <c r="F354" s="10"/>
    </row>
    <row r="355" spans="6:6">
      <c r="F355" s="9"/>
    </row>
    <row r="356" spans="6:6">
      <c r="F356" s="10"/>
    </row>
    <row r="357" spans="6:6">
      <c r="F357" s="9"/>
    </row>
    <row r="358" spans="6:6">
      <c r="F358" s="10"/>
    </row>
    <row r="359" spans="6:6">
      <c r="F359" s="9"/>
    </row>
    <row r="360" spans="6:6">
      <c r="F360" s="10"/>
    </row>
    <row r="361" spans="6:6">
      <c r="F361" s="9"/>
    </row>
    <row r="362" spans="6:6">
      <c r="F362" s="10"/>
    </row>
    <row r="363" spans="6:6">
      <c r="F363" s="9"/>
    </row>
    <row r="364" spans="6:6">
      <c r="F364" s="10"/>
    </row>
    <row r="365" spans="6:6">
      <c r="F365" s="9"/>
    </row>
    <row r="366" spans="6:6">
      <c r="F366" s="10"/>
    </row>
    <row r="367" spans="6:6">
      <c r="F367" s="9"/>
    </row>
    <row r="368" spans="6:6">
      <c r="F368" s="10"/>
    </row>
    <row r="369" spans="6:6">
      <c r="F369" s="9"/>
    </row>
    <row r="370" spans="6:6">
      <c r="F370" s="10"/>
    </row>
    <row r="371" spans="6:6">
      <c r="F371" s="9"/>
    </row>
    <row r="372" spans="6:6">
      <c r="F372" s="10"/>
    </row>
    <row r="373" spans="6:6">
      <c r="F373" s="9"/>
    </row>
    <row r="374" spans="6:6">
      <c r="F374" s="10"/>
    </row>
    <row r="375" spans="6:6">
      <c r="F375" s="9"/>
    </row>
    <row r="376" spans="6:6">
      <c r="F376" s="10"/>
    </row>
    <row r="377" spans="6:6">
      <c r="F377" s="9"/>
    </row>
    <row r="378" spans="6:6">
      <c r="F378" s="10"/>
    </row>
    <row r="379" spans="6:6">
      <c r="F379" s="9"/>
    </row>
    <row r="380" spans="6:6">
      <c r="F380" s="10"/>
    </row>
    <row r="381" spans="6:6">
      <c r="F381" s="9"/>
    </row>
    <row r="382" spans="6:6">
      <c r="F382" s="10"/>
    </row>
    <row r="383" spans="6:6">
      <c r="F383" s="9"/>
    </row>
    <row r="384" spans="6:6">
      <c r="F384" s="10"/>
    </row>
    <row r="385" spans="6:6">
      <c r="F385" s="9"/>
    </row>
    <row r="386" spans="6:6">
      <c r="F386" s="10"/>
    </row>
    <row r="387" spans="6:6">
      <c r="F387" s="9"/>
    </row>
    <row r="388" spans="6:6">
      <c r="F388" s="10"/>
    </row>
    <row r="389" spans="6:6">
      <c r="F389" s="9"/>
    </row>
    <row r="390" spans="6:6">
      <c r="F390" s="10"/>
    </row>
    <row r="391" spans="6:6">
      <c r="F391" s="9"/>
    </row>
    <row r="392" spans="6:6">
      <c r="F392" s="10"/>
    </row>
    <row r="393" spans="6:6">
      <c r="F393" s="9"/>
    </row>
    <row r="394" spans="6:6">
      <c r="F394" s="10"/>
    </row>
    <row r="395" spans="6:6">
      <c r="F395" s="9"/>
    </row>
    <row r="396" spans="6:6">
      <c r="F396" s="10"/>
    </row>
    <row r="397" spans="6:6">
      <c r="F397" s="9"/>
    </row>
    <row r="398" spans="6:6">
      <c r="F398" s="10"/>
    </row>
    <row r="399" spans="6:6">
      <c r="F399" s="9"/>
    </row>
    <row r="400" spans="6:6">
      <c r="F400" s="10"/>
    </row>
    <row r="401" spans="6:6">
      <c r="F401" s="10"/>
    </row>
    <row r="402" spans="6:6">
      <c r="F402" s="9"/>
    </row>
    <row r="403" spans="6:6">
      <c r="F403" s="10"/>
    </row>
    <row r="404" spans="6:6">
      <c r="F404" s="9"/>
    </row>
    <row r="405" spans="6:6">
      <c r="F405" s="10"/>
    </row>
    <row r="406" spans="6:6">
      <c r="F406" s="9"/>
    </row>
    <row r="407" spans="6:6">
      <c r="F407" s="9"/>
    </row>
    <row r="408" spans="6:6">
      <c r="F408" s="10"/>
    </row>
    <row r="409" spans="6:6">
      <c r="F409" s="10"/>
    </row>
    <row r="410" spans="6:6">
      <c r="F410" s="9"/>
    </row>
    <row r="411" spans="6:6">
      <c r="F411" s="10"/>
    </row>
    <row r="412" spans="6:6">
      <c r="F412" s="10"/>
    </row>
    <row r="413" spans="6:6">
      <c r="F413" s="9"/>
    </row>
    <row r="414" spans="6:6">
      <c r="F414" s="10"/>
    </row>
    <row r="415" spans="6:6">
      <c r="F415" s="9"/>
    </row>
    <row r="416" spans="6:6">
      <c r="F416" s="10"/>
    </row>
    <row r="417" spans="6:6">
      <c r="F417" s="9"/>
    </row>
    <row r="418" spans="6:6">
      <c r="F418" s="10"/>
    </row>
    <row r="419" spans="6:6">
      <c r="F419" s="9"/>
    </row>
    <row r="420" spans="6:6">
      <c r="F420" s="10"/>
    </row>
    <row r="421" spans="6:6">
      <c r="F421" s="9"/>
    </row>
    <row r="422" spans="6:6">
      <c r="F422" s="10"/>
    </row>
    <row r="423" spans="6:6">
      <c r="F423" s="9"/>
    </row>
    <row r="424" spans="6:6">
      <c r="F424" s="10"/>
    </row>
    <row r="425" spans="6:6">
      <c r="F425" s="9"/>
    </row>
    <row r="426" spans="6:6">
      <c r="F426" s="10"/>
    </row>
    <row r="427" spans="6:6">
      <c r="F427" s="9"/>
    </row>
    <row r="428" spans="6:6">
      <c r="F428" s="10"/>
    </row>
    <row r="429" spans="6:6">
      <c r="F429" s="9"/>
    </row>
    <row r="430" spans="6:6">
      <c r="F430" s="10"/>
    </row>
    <row r="431" spans="6:6">
      <c r="F431" s="9"/>
    </row>
    <row r="432" spans="6:6">
      <c r="F432" s="10"/>
    </row>
    <row r="433" spans="6:6">
      <c r="F433" s="9"/>
    </row>
    <row r="434" spans="6:6">
      <c r="F434" s="10"/>
    </row>
    <row r="435" spans="6:6">
      <c r="F435" s="9"/>
    </row>
    <row r="436" spans="6:6">
      <c r="F436" s="10"/>
    </row>
    <row r="437" spans="6:6">
      <c r="F437" s="9"/>
    </row>
    <row r="438" spans="6:6">
      <c r="F438" s="10"/>
    </row>
    <row r="439" spans="6:6">
      <c r="F439" s="9"/>
    </row>
    <row r="440" spans="6:6">
      <c r="F440" s="9"/>
    </row>
    <row r="441" spans="6:6">
      <c r="F441" s="10"/>
    </row>
    <row r="442" spans="6:6">
      <c r="F442" s="9"/>
    </row>
    <row r="443" spans="6:6">
      <c r="F443" s="10"/>
    </row>
    <row r="444" spans="6:6">
      <c r="F444" s="9"/>
    </row>
    <row r="445" spans="6:6">
      <c r="F445" s="10"/>
    </row>
    <row r="446" spans="6:6">
      <c r="F446" s="9"/>
    </row>
    <row r="447" spans="6:6">
      <c r="F447" s="10"/>
    </row>
    <row r="448" spans="6:6">
      <c r="F448" s="9"/>
    </row>
    <row r="449" spans="6:6">
      <c r="F449" s="10"/>
    </row>
    <row r="450" spans="6:6">
      <c r="F450" s="9"/>
    </row>
    <row r="451" spans="6:6">
      <c r="F451" s="10"/>
    </row>
    <row r="452" spans="6:6">
      <c r="F452" s="9"/>
    </row>
    <row r="453" spans="6:6">
      <c r="F453" s="10"/>
    </row>
    <row r="454" spans="6:6">
      <c r="F454" s="9"/>
    </row>
    <row r="455" spans="6:6">
      <c r="F455" s="10"/>
    </row>
    <row r="456" spans="6:6">
      <c r="F456" s="9"/>
    </row>
    <row r="457" spans="6:6">
      <c r="F457" s="10"/>
    </row>
    <row r="458" spans="6:6">
      <c r="F458" s="9"/>
    </row>
    <row r="459" spans="6:6">
      <c r="F459" s="9"/>
    </row>
    <row r="460" spans="6:6">
      <c r="F460" s="10"/>
    </row>
    <row r="461" spans="6:6">
      <c r="F461" s="9"/>
    </row>
    <row r="462" spans="6:6">
      <c r="F462" s="10"/>
    </row>
    <row r="463" spans="6:6">
      <c r="F463" s="9"/>
    </row>
    <row r="464" spans="6:6">
      <c r="F464" s="10"/>
    </row>
    <row r="465" spans="6:6">
      <c r="F465" s="9"/>
    </row>
    <row r="466" spans="6:6">
      <c r="F466" s="10"/>
    </row>
    <row r="467" spans="6:6">
      <c r="F467" s="9"/>
    </row>
    <row r="468" spans="6:6">
      <c r="F468" s="10"/>
    </row>
    <row r="469" spans="6:6">
      <c r="F469" s="9"/>
    </row>
    <row r="470" spans="6:6">
      <c r="F470" s="10"/>
    </row>
    <row r="471" spans="6:6">
      <c r="F471" s="9"/>
    </row>
    <row r="472" spans="6:6">
      <c r="F472" s="10"/>
    </row>
    <row r="473" spans="6:6">
      <c r="F473" s="9"/>
    </row>
    <row r="474" spans="6:6">
      <c r="F474" s="10"/>
    </row>
    <row r="475" spans="6:6">
      <c r="F475" s="9"/>
    </row>
    <row r="476" spans="6:6">
      <c r="F476" s="10"/>
    </row>
    <row r="477" spans="6:6">
      <c r="F477" s="9"/>
    </row>
    <row r="478" spans="6:6">
      <c r="F478" s="9"/>
    </row>
    <row r="479" spans="6:6">
      <c r="F479" s="10"/>
    </row>
    <row r="480" spans="6:6">
      <c r="F480" s="9"/>
    </row>
    <row r="481" spans="6:6">
      <c r="F481" s="10"/>
    </row>
    <row r="482" spans="6:6">
      <c r="F482" s="9"/>
    </row>
    <row r="483" spans="6:6">
      <c r="F483" s="10"/>
    </row>
    <row r="484" spans="6:6">
      <c r="F484" s="9"/>
    </row>
    <row r="485" spans="6:6">
      <c r="F485" s="10"/>
    </row>
    <row r="486" spans="6:6">
      <c r="F486" s="9"/>
    </row>
    <row r="487" spans="6:6">
      <c r="F487" s="10"/>
    </row>
    <row r="488" spans="6:6">
      <c r="F488" s="9"/>
    </row>
    <row r="489" spans="6:6">
      <c r="F489" s="10"/>
    </row>
    <row r="490" spans="6:6">
      <c r="F490" s="9"/>
    </row>
    <row r="491" spans="6:6">
      <c r="F491" s="10"/>
    </row>
    <row r="492" spans="6:6">
      <c r="F492" s="9"/>
    </row>
    <row r="493" spans="6:6">
      <c r="F493" s="10"/>
    </row>
    <row r="494" spans="6:6">
      <c r="F494" s="9"/>
    </row>
    <row r="495" spans="6:6">
      <c r="F495" s="10"/>
    </row>
    <row r="496" spans="6:6">
      <c r="F496" s="9"/>
    </row>
    <row r="497" spans="6:6">
      <c r="F497" s="10"/>
    </row>
    <row r="498" spans="6:6">
      <c r="F498" s="9"/>
    </row>
    <row r="499" spans="6:6">
      <c r="F499" s="10"/>
    </row>
    <row r="500" spans="6:6">
      <c r="F500" s="9"/>
    </row>
    <row r="501" spans="6:6">
      <c r="F501" s="10"/>
    </row>
    <row r="502" spans="6:6">
      <c r="F502" s="9"/>
    </row>
    <row r="503" spans="6:6">
      <c r="F503" s="10"/>
    </row>
    <row r="504" spans="6:6">
      <c r="F504" s="9"/>
    </row>
    <row r="505" spans="6:6">
      <c r="F505" s="10"/>
    </row>
    <row r="506" spans="6:6">
      <c r="F506" s="9"/>
    </row>
    <row r="507" spans="6:6">
      <c r="F507" s="10"/>
    </row>
    <row r="508" spans="6:6">
      <c r="F508" s="9"/>
    </row>
    <row r="509" spans="6:6">
      <c r="F509" s="10"/>
    </row>
    <row r="510" spans="6:6">
      <c r="F510" s="9"/>
    </row>
    <row r="511" spans="6:6">
      <c r="F511" s="9"/>
    </row>
    <row r="512" spans="6:6">
      <c r="F512" s="10"/>
    </row>
    <row r="513" spans="6:6">
      <c r="F513" s="9"/>
    </row>
    <row r="514" spans="6:6">
      <c r="F514" s="10"/>
    </row>
    <row r="515" spans="6:6">
      <c r="F515" s="9"/>
    </row>
    <row r="516" spans="6:6">
      <c r="F516" s="10"/>
    </row>
    <row r="517" spans="6:6">
      <c r="F517" s="9"/>
    </row>
    <row r="518" spans="6:6">
      <c r="F518" s="10"/>
    </row>
    <row r="519" spans="6:6">
      <c r="F519" s="10"/>
    </row>
    <row r="520" spans="6:6">
      <c r="F520" s="9"/>
    </row>
    <row r="521" spans="6:6">
      <c r="F521" s="10"/>
    </row>
    <row r="522" spans="6:6">
      <c r="F522" s="9"/>
    </row>
    <row r="523" spans="6:6">
      <c r="F523" s="10"/>
    </row>
    <row r="524" spans="6:6">
      <c r="F524" s="9"/>
    </row>
    <row r="525" spans="6:6">
      <c r="F525" s="10"/>
    </row>
    <row r="526" spans="6:6">
      <c r="F526" s="9"/>
    </row>
    <row r="527" spans="6:6">
      <c r="F527" s="10"/>
    </row>
    <row r="528" spans="6:6">
      <c r="F528" s="9"/>
    </row>
    <row r="529" spans="6:6">
      <c r="F529" s="10"/>
    </row>
    <row r="530" spans="6:6">
      <c r="F530" s="9"/>
    </row>
    <row r="531" spans="6:6">
      <c r="F531" s="10"/>
    </row>
    <row r="532" spans="6:6">
      <c r="F532" s="9"/>
    </row>
    <row r="533" spans="6:6">
      <c r="F533" s="10"/>
    </row>
    <row r="534" spans="6:6">
      <c r="F534" s="9"/>
    </row>
    <row r="535" spans="6:6">
      <c r="F535" s="10"/>
    </row>
    <row r="536" spans="6:6">
      <c r="F536" s="9"/>
    </row>
    <row r="537" spans="6:6">
      <c r="F537" s="10"/>
    </row>
    <row r="538" spans="6:6">
      <c r="F538" s="9"/>
    </row>
    <row r="539" spans="6:6">
      <c r="F539" s="10"/>
    </row>
    <row r="540" spans="6:6">
      <c r="F540" s="9"/>
    </row>
    <row r="541" spans="6:6">
      <c r="F541" s="10"/>
    </row>
    <row r="542" spans="6:6">
      <c r="F542" s="9"/>
    </row>
    <row r="543" spans="6:6">
      <c r="F543" s="9"/>
    </row>
    <row r="544" spans="6:6">
      <c r="F544" s="10"/>
    </row>
    <row r="545" spans="6:6">
      <c r="F545" s="10"/>
    </row>
    <row r="546" spans="6:6">
      <c r="F546" s="9"/>
    </row>
    <row r="547" spans="6:6">
      <c r="F547" s="10"/>
    </row>
    <row r="548" spans="6:6">
      <c r="F548" s="9"/>
    </row>
    <row r="549" spans="6:6">
      <c r="F549" s="10"/>
    </row>
    <row r="550" spans="6:6">
      <c r="F550" s="9"/>
    </row>
    <row r="551" spans="6:6">
      <c r="F551" s="9"/>
    </row>
    <row r="552" spans="6:6">
      <c r="F552" s="10"/>
    </row>
    <row r="553" spans="6:6">
      <c r="F553" s="9"/>
    </row>
    <row r="554" spans="6:6">
      <c r="F554" s="10"/>
    </row>
    <row r="555" spans="6:6">
      <c r="F555" s="9"/>
    </row>
    <row r="556" spans="6:6">
      <c r="F556" s="10"/>
    </row>
    <row r="557" spans="6:6">
      <c r="F557" s="9"/>
    </row>
    <row r="558" spans="6:6">
      <c r="F558" s="10"/>
    </row>
    <row r="559" spans="6:6">
      <c r="F559" s="9"/>
    </row>
    <row r="560" spans="6:6">
      <c r="F560" s="10"/>
    </row>
    <row r="561" spans="6:6">
      <c r="F561" s="9"/>
    </row>
    <row r="562" spans="6:6">
      <c r="F562" s="10"/>
    </row>
    <row r="563" spans="6:6">
      <c r="F563" s="9"/>
    </row>
    <row r="564" spans="6:6">
      <c r="F564" s="10"/>
    </row>
    <row r="565" spans="6:6">
      <c r="F565" s="9"/>
    </row>
    <row r="566" spans="6:6">
      <c r="F566" s="10"/>
    </row>
    <row r="567" spans="6:6">
      <c r="F567" s="9"/>
    </row>
    <row r="568" spans="6:6">
      <c r="F568" s="10"/>
    </row>
    <row r="569" spans="6:6">
      <c r="F569" s="9"/>
    </row>
    <row r="570" spans="6:6">
      <c r="F570" s="10"/>
    </row>
    <row r="571" spans="6:6">
      <c r="F571" s="9"/>
    </row>
    <row r="572" spans="6:6">
      <c r="F572" s="10"/>
    </row>
    <row r="573" spans="6:6">
      <c r="F573" s="9"/>
    </row>
    <row r="574" spans="6:6">
      <c r="F574" s="10"/>
    </row>
    <row r="575" spans="6:6">
      <c r="F575" s="9"/>
    </row>
    <row r="576" spans="6:6">
      <c r="F576" s="10"/>
    </row>
    <row r="577" spans="6:6">
      <c r="F577" s="9"/>
    </row>
    <row r="578" spans="6:6">
      <c r="F578" s="10"/>
    </row>
    <row r="579" spans="6:6">
      <c r="F579" s="9"/>
    </row>
    <row r="580" spans="6:6">
      <c r="F580" s="10"/>
    </row>
    <row r="581" spans="6:6">
      <c r="F581" s="9"/>
    </row>
    <row r="582" spans="6:6">
      <c r="F582" s="10"/>
    </row>
    <row r="583" spans="6:6">
      <c r="F583" s="9"/>
    </row>
    <row r="584" spans="6:6">
      <c r="F584" s="10"/>
    </row>
    <row r="585" spans="6:6">
      <c r="F585" s="9"/>
    </row>
    <row r="586" spans="6:6">
      <c r="F586" s="10"/>
    </row>
    <row r="587" spans="6:6">
      <c r="F587" s="9"/>
    </row>
    <row r="588" spans="6:6">
      <c r="F588" s="10"/>
    </row>
    <row r="589" spans="6:6">
      <c r="F589" s="9"/>
    </row>
    <row r="590" spans="6:6">
      <c r="F590" s="10"/>
    </row>
    <row r="591" spans="6:6">
      <c r="F591" s="9"/>
    </row>
    <row r="592" spans="6:6">
      <c r="F592" s="10"/>
    </row>
    <row r="593" spans="6:6">
      <c r="F593" s="9"/>
    </row>
    <row r="594" spans="6:6">
      <c r="F594" s="10"/>
    </row>
    <row r="595" spans="6:6">
      <c r="F595" s="9"/>
    </row>
    <row r="596" spans="6:6">
      <c r="F596" s="10"/>
    </row>
    <row r="597" spans="6:6">
      <c r="F597" s="9"/>
    </row>
    <row r="598" spans="6:6">
      <c r="F598" s="10"/>
    </row>
    <row r="599" spans="6:6">
      <c r="F599" s="9"/>
    </row>
    <row r="600" spans="6:6">
      <c r="F600" s="10"/>
    </row>
    <row r="601" spans="6:6">
      <c r="F601" s="9"/>
    </row>
    <row r="602" spans="6:6">
      <c r="F602" s="10"/>
    </row>
    <row r="603" spans="6:6">
      <c r="F603" s="9"/>
    </row>
    <row r="604" spans="6:6">
      <c r="F604" s="10"/>
    </row>
    <row r="605" spans="6:6">
      <c r="F605" s="9"/>
    </row>
    <row r="606" spans="6:6">
      <c r="F606" s="10"/>
    </row>
    <row r="607" spans="6:6">
      <c r="F607" s="9"/>
    </row>
    <row r="608" spans="6:6">
      <c r="F608" s="10"/>
    </row>
    <row r="609" spans="6:6">
      <c r="F609" s="9"/>
    </row>
    <row r="610" spans="6:6">
      <c r="F610" s="10"/>
    </row>
    <row r="611" spans="6:6">
      <c r="F611" s="9"/>
    </row>
    <row r="612" spans="6:6">
      <c r="F612" s="10"/>
    </row>
    <row r="613" spans="6:6">
      <c r="F613" s="9"/>
    </row>
    <row r="614" spans="6:6">
      <c r="F614" s="10"/>
    </row>
    <row r="615" spans="6:6">
      <c r="F615" s="9"/>
    </row>
    <row r="616" spans="6:6">
      <c r="F616" s="10"/>
    </row>
    <row r="617" spans="6:6">
      <c r="F617" s="9"/>
    </row>
    <row r="618" spans="6:6">
      <c r="F618" s="10"/>
    </row>
    <row r="619" spans="6:6">
      <c r="F619" s="9"/>
    </row>
    <row r="620" spans="6:6">
      <c r="F620" s="10"/>
    </row>
    <row r="621" spans="6:6">
      <c r="F621" s="10"/>
    </row>
    <row r="622" spans="6:6">
      <c r="F622" s="9"/>
    </row>
    <row r="623" spans="6:6">
      <c r="F623" s="10"/>
    </row>
    <row r="624" spans="6:6">
      <c r="F624" s="9"/>
    </row>
    <row r="625" spans="6:6">
      <c r="F625" s="9"/>
    </row>
    <row r="626" spans="6:6">
      <c r="F626" s="10"/>
    </row>
    <row r="627" spans="6:6">
      <c r="F627" s="9"/>
    </row>
    <row r="628" spans="6:6">
      <c r="F628" s="10"/>
    </row>
    <row r="629" spans="6:6">
      <c r="F629" s="9"/>
    </row>
    <row r="630" spans="6:6">
      <c r="F630" s="9"/>
    </row>
    <row r="631" spans="6:6">
      <c r="F631" s="10"/>
    </row>
    <row r="632" spans="6:6">
      <c r="F632" s="9"/>
    </row>
    <row r="633" spans="6:6">
      <c r="F633" s="9"/>
    </row>
    <row r="634" spans="6:6">
      <c r="F634" s="10"/>
    </row>
    <row r="635" spans="6:6">
      <c r="F635" s="9"/>
    </row>
    <row r="636" spans="6:6">
      <c r="F636" s="10"/>
    </row>
    <row r="637" spans="6:6">
      <c r="F637" s="10"/>
    </row>
    <row r="638" spans="6:6">
      <c r="F638" s="10"/>
    </row>
    <row r="639" spans="6:6">
      <c r="F639" s="9"/>
    </row>
    <row r="640" spans="6:6">
      <c r="F640" s="10"/>
    </row>
    <row r="641" spans="6:6">
      <c r="F641" s="9"/>
    </row>
    <row r="642" spans="6:6">
      <c r="F642" s="9"/>
    </row>
    <row r="643" spans="6:6">
      <c r="F643" s="10"/>
    </row>
    <row r="644" spans="6:6">
      <c r="F644" s="9"/>
    </row>
    <row r="645" spans="6:6">
      <c r="F645" s="10"/>
    </row>
    <row r="646" spans="6:6">
      <c r="F646" s="9"/>
    </row>
    <row r="647" spans="6:6">
      <c r="F647" s="10"/>
    </row>
    <row r="648" spans="6:6">
      <c r="F648" s="10"/>
    </row>
    <row r="649" spans="6:6">
      <c r="F649" s="9"/>
    </row>
    <row r="650" spans="6:6">
      <c r="F650" s="10"/>
    </row>
    <row r="651" spans="6:6">
      <c r="F651" s="9"/>
    </row>
    <row r="652" spans="6:6">
      <c r="F652" s="10"/>
    </row>
    <row r="653" spans="6:6">
      <c r="F653" s="9"/>
    </row>
    <row r="654" spans="6:6">
      <c r="F654" s="10"/>
    </row>
    <row r="655" spans="6:6">
      <c r="F655" s="9"/>
    </row>
    <row r="656" spans="6:6">
      <c r="F656" s="10"/>
    </row>
    <row r="657" spans="6:6">
      <c r="F657" s="9"/>
    </row>
    <row r="658" spans="6:6">
      <c r="F658" s="10"/>
    </row>
    <row r="659" spans="6:6">
      <c r="F659" s="9"/>
    </row>
    <row r="660" spans="6:6">
      <c r="F660" s="10"/>
    </row>
    <row r="661" spans="6:6">
      <c r="F661" s="9"/>
    </row>
    <row r="662" spans="6:6">
      <c r="F662" s="10"/>
    </row>
    <row r="663" spans="6:6">
      <c r="F663" s="10"/>
    </row>
    <row r="664" spans="6:6">
      <c r="F664" s="9"/>
    </row>
    <row r="665" spans="6:6">
      <c r="F665" s="10"/>
    </row>
    <row r="666" spans="6:6">
      <c r="F666" s="9"/>
    </row>
    <row r="667" spans="6:6">
      <c r="F667" s="10"/>
    </row>
    <row r="668" spans="6:6">
      <c r="F668" s="9"/>
    </row>
    <row r="669" spans="6:6">
      <c r="F669" s="10"/>
    </row>
    <row r="670" spans="6:6">
      <c r="F670" s="9"/>
    </row>
    <row r="671" spans="6:6">
      <c r="F671" s="10"/>
    </row>
    <row r="672" spans="6:6">
      <c r="F672" s="9"/>
    </row>
    <row r="673" spans="6:6">
      <c r="F673" s="10"/>
    </row>
    <row r="674" spans="6:6">
      <c r="F674" s="9"/>
    </row>
    <row r="675" spans="6:6">
      <c r="F675" s="10"/>
    </row>
    <row r="676" spans="6:6">
      <c r="F676" s="9"/>
    </row>
    <row r="677" spans="6:6">
      <c r="F677" s="10"/>
    </row>
    <row r="678" spans="6:6">
      <c r="F678" s="9"/>
    </row>
    <row r="679" spans="6:6">
      <c r="F679" s="10"/>
    </row>
    <row r="680" spans="6:6">
      <c r="F680" s="9"/>
    </row>
    <row r="681" spans="6:6">
      <c r="F681" s="10"/>
    </row>
    <row r="682" spans="6:6">
      <c r="F682" s="9"/>
    </row>
    <row r="683" spans="6:6">
      <c r="F683" s="10"/>
    </row>
    <row r="684" spans="6:6">
      <c r="F684" s="9"/>
    </row>
    <row r="685" spans="6:6">
      <c r="F685" s="10"/>
    </row>
    <row r="686" spans="6:6">
      <c r="F686" s="9"/>
    </row>
    <row r="687" spans="6:6">
      <c r="F687" s="10"/>
    </row>
    <row r="688" spans="6:6">
      <c r="F688" s="9"/>
    </row>
    <row r="689" spans="6:6">
      <c r="F689" s="10"/>
    </row>
    <row r="690" spans="6:6">
      <c r="F690" s="9"/>
    </row>
    <row r="691" spans="6:6">
      <c r="F691" s="10"/>
    </row>
    <row r="692" spans="6:6">
      <c r="F692" s="9"/>
    </row>
    <row r="693" spans="6:6">
      <c r="F693" s="10"/>
    </row>
    <row r="694" spans="6:6">
      <c r="F694" s="9"/>
    </row>
    <row r="695" spans="6:6">
      <c r="F695" s="10"/>
    </row>
    <row r="696" spans="6:6">
      <c r="F696" s="9"/>
    </row>
    <row r="697" spans="6:6">
      <c r="F697" s="10"/>
    </row>
    <row r="698" spans="6:6">
      <c r="F698" s="9"/>
    </row>
    <row r="699" spans="6:6">
      <c r="F699" s="10"/>
    </row>
    <row r="700" spans="6:6">
      <c r="F700" s="9"/>
    </row>
    <row r="701" spans="6:6">
      <c r="F701" s="10"/>
    </row>
    <row r="702" spans="6:6">
      <c r="F702" s="9"/>
    </row>
    <row r="703" spans="6:6">
      <c r="F703" s="10"/>
    </row>
    <row r="704" spans="6:6">
      <c r="F704" s="9"/>
    </row>
    <row r="705" spans="6:6">
      <c r="F705" s="10"/>
    </row>
    <row r="706" spans="6:6">
      <c r="F706" s="9"/>
    </row>
    <row r="707" spans="6:6">
      <c r="F707" s="10"/>
    </row>
    <row r="708" spans="6:6">
      <c r="F708" s="9"/>
    </row>
    <row r="709" spans="6:6">
      <c r="F709" s="10"/>
    </row>
    <row r="710" spans="6:6">
      <c r="F710" s="9"/>
    </row>
    <row r="711" spans="6:6">
      <c r="F711" s="10"/>
    </row>
    <row r="712" spans="6:6">
      <c r="F712" s="9"/>
    </row>
    <row r="713" spans="6:6">
      <c r="F713" s="10"/>
    </row>
    <row r="714" spans="6:6">
      <c r="F714" s="9"/>
    </row>
    <row r="715" spans="6:6">
      <c r="F715" s="10"/>
    </row>
    <row r="716" spans="6:6">
      <c r="F716" s="9"/>
    </row>
    <row r="717" spans="6:6">
      <c r="F717" s="10"/>
    </row>
    <row r="718" spans="6:6">
      <c r="F718" s="9"/>
    </row>
    <row r="719" spans="6:6">
      <c r="F719" s="10"/>
    </row>
    <row r="720" spans="6:6">
      <c r="F720" s="9"/>
    </row>
    <row r="721" spans="6:6">
      <c r="F721" s="10"/>
    </row>
    <row r="722" spans="6:6">
      <c r="F722" s="9"/>
    </row>
    <row r="723" spans="6:6">
      <c r="F723" s="10"/>
    </row>
    <row r="724" spans="6:6">
      <c r="F724" s="9"/>
    </row>
    <row r="725" spans="6:6">
      <c r="F725" s="10"/>
    </row>
    <row r="726" spans="6:6">
      <c r="F726" s="9"/>
    </row>
    <row r="727" spans="6:6">
      <c r="F727" s="10"/>
    </row>
    <row r="728" spans="6:6">
      <c r="F728" s="9"/>
    </row>
    <row r="729" spans="6:6">
      <c r="F729" s="10"/>
    </row>
    <row r="730" spans="6:6">
      <c r="F730" s="9"/>
    </row>
    <row r="731" spans="6:6">
      <c r="F731" s="10"/>
    </row>
    <row r="732" spans="6:6">
      <c r="F732" s="9"/>
    </row>
    <row r="733" spans="6:6">
      <c r="F733" s="10"/>
    </row>
    <row r="734" spans="6:6">
      <c r="F734" s="9"/>
    </row>
    <row r="735" spans="6:6">
      <c r="F735" s="10"/>
    </row>
    <row r="736" spans="6:6">
      <c r="F736" s="9"/>
    </row>
    <row r="737" spans="6:6">
      <c r="F737" s="10"/>
    </row>
    <row r="738" spans="6:6">
      <c r="F738" s="9"/>
    </row>
    <row r="739" spans="6:6">
      <c r="F739" s="10"/>
    </row>
    <row r="740" spans="6:6">
      <c r="F740" s="9"/>
    </row>
    <row r="741" spans="6:6">
      <c r="F741" s="10"/>
    </row>
    <row r="742" spans="6:6">
      <c r="F742" s="9"/>
    </row>
    <row r="743" spans="6:6">
      <c r="F743" s="10"/>
    </row>
    <row r="744" spans="6:6">
      <c r="F744" s="9"/>
    </row>
    <row r="745" spans="6:6">
      <c r="F745" s="10"/>
    </row>
    <row r="746" spans="6:6">
      <c r="F746" s="9"/>
    </row>
    <row r="747" spans="6:6">
      <c r="F747" s="10"/>
    </row>
    <row r="748" spans="6:6">
      <c r="F748" s="9"/>
    </row>
    <row r="749" spans="6:6">
      <c r="F749" s="10"/>
    </row>
    <row r="750" spans="6:6">
      <c r="F750" s="9"/>
    </row>
    <row r="751" spans="6:6">
      <c r="F751" s="10"/>
    </row>
    <row r="752" spans="6:6">
      <c r="F752" s="9"/>
    </row>
    <row r="753" spans="6:6">
      <c r="F753" s="10"/>
    </row>
    <row r="754" spans="6:6">
      <c r="F754" s="9"/>
    </row>
    <row r="755" spans="6:6">
      <c r="F755" s="10"/>
    </row>
    <row r="756" spans="6:6">
      <c r="F756" s="9"/>
    </row>
    <row r="757" spans="6:6">
      <c r="F757" s="10"/>
    </row>
    <row r="758" spans="6:6">
      <c r="F758" s="9"/>
    </row>
    <row r="759" spans="6:6">
      <c r="F759" s="10"/>
    </row>
    <row r="760" spans="6:6">
      <c r="F760" s="9"/>
    </row>
    <row r="761" spans="6:6">
      <c r="F761" s="10"/>
    </row>
    <row r="762" spans="6:6">
      <c r="F762" s="9"/>
    </row>
    <row r="763" spans="6:6">
      <c r="F763" s="10"/>
    </row>
    <row r="764" spans="6:6">
      <c r="F764" s="9"/>
    </row>
    <row r="765" spans="6:6">
      <c r="F765" s="10"/>
    </row>
    <row r="766" spans="6:6">
      <c r="F766" s="9"/>
    </row>
    <row r="767" spans="6:6">
      <c r="F767" s="10"/>
    </row>
    <row r="768" spans="6:6">
      <c r="F768" s="9"/>
    </row>
    <row r="769" spans="6:6">
      <c r="F769" s="10"/>
    </row>
    <row r="770" spans="6:6">
      <c r="F770" s="9"/>
    </row>
    <row r="771" spans="6:6">
      <c r="F771" s="10"/>
    </row>
    <row r="772" spans="6:6">
      <c r="F772" s="9"/>
    </row>
    <row r="773" spans="6:6">
      <c r="F773" s="10"/>
    </row>
    <row r="774" spans="6:6">
      <c r="F774" s="9"/>
    </row>
    <row r="775" spans="6:6">
      <c r="F775" s="10"/>
    </row>
    <row r="776" spans="6:6">
      <c r="F776" s="9"/>
    </row>
    <row r="777" spans="6:6">
      <c r="F777" s="10"/>
    </row>
    <row r="778" spans="6:6">
      <c r="F778" s="9"/>
    </row>
    <row r="779" spans="6:6">
      <c r="F779" s="10"/>
    </row>
    <row r="780" spans="6:6">
      <c r="F780" s="9"/>
    </row>
    <row r="781" spans="6:6">
      <c r="F781" s="9"/>
    </row>
    <row r="782" spans="6:6">
      <c r="F782" s="10"/>
    </row>
    <row r="783" spans="6:6">
      <c r="F783" s="9"/>
    </row>
    <row r="784" spans="6:6">
      <c r="F784" s="10"/>
    </row>
    <row r="785" spans="6:6">
      <c r="F785" s="9"/>
    </row>
    <row r="786" spans="6:6">
      <c r="F786" s="10"/>
    </row>
    <row r="787" spans="6:6">
      <c r="F787" s="9"/>
    </row>
    <row r="788" spans="6:6">
      <c r="F788" s="10"/>
    </row>
    <row r="789" spans="6:6">
      <c r="F789" s="9"/>
    </row>
    <row r="790" spans="6:6">
      <c r="F790" s="10"/>
    </row>
    <row r="791" spans="6:6">
      <c r="F791" s="9"/>
    </row>
    <row r="792" spans="6:6">
      <c r="F792" s="10"/>
    </row>
    <row r="793" spans="6:6">
      <c r="F793" s="9"/>
    </row>
    <row r="794" spans="6:6">
      <c r="F794" s="10"/>
    </row>
    <row r="795" spans="6:6">
      <c r="F795" s="9"/>
    </row>
    <row r="796" spans="6:6">
      <c r="F796" s="10"/>
    </row>
    <row r="797" spans="6:6">
      <c r="F797" s="9"/>
    </row>
    <row r="798" spans="6:6">
      <c r="F798" s="10"/>
    </row>
    <row r="799" spans="6:6">
      <c r="F799" s="9"/>
    </row>
    <row r="800" spans="6:6">
      <c r="F800" s="10"/>
    </row>
    <row r="801" spans="6:6">
      <c r="F801" s="9"/>
    </row>
    <row r="802" spans="6:6">
      <c r="F802" s="10"/>
    </row>
    <row r="803" spans="6:6">
      <c r="F803" s="9"/>
    </row>
    <row r="804" spans="6:6">
      <c r="F804" s="10"/>
    </row>
    <row r="805" spans="6:6">
      <c r="F805" s="9"/>
    </row>
    <row r="806" spans="6:6">
      <c r="F806" s="10"/>
    </row>
    <row r="807" spans="6:6">
      <c r="F807" s="9"/>
    </row>
    <row r="808" spans="6:6">
      <c r="F808" s="10"/>
    </row>
    <row r="809" spans="6:6">
      <c r="F809" s="9"/>
    </row>
    <row r="810" spans="6:6">
      <c r="F810" s="10"/>
    </row>
    <row r="811" spans="6:6">
      <c r="F811" s="9"/>
    </row>
    <row r="812" spans="6:6">
      <c r="F812" s="10"/>
    </row>
    <row r="813" spans="6:6">
      <c r="F813" s="9"/>
    </row>
    <row r="814" spans="6:6">
      <c r="F814" s="10"/>
    </row>
    <row r="815" spans="6:6">
      <c r="F815" s="9"/>
    </row>
    <row r="816" spans="6:6">
      <c r="F816" s="10"/>
    </row>
    <row r="817" spans="6:6">
      <c r="F817" s="9"/>
    </row>
    <row r="818" spans="6:6">
      <c r="F818" s="10"/>
    </row>
    <row r="819" spans="6:6">
      <c r="F819" s="10"/>
    </row>
    <row r="820" spans="6:6">
      <c r="F820" s="9"/>
    </row>
    <row r="821" spans="6:6">
      <c r="F821" s="10"/>
    </row>
    <row r="822" spans="6:6">
      <c r="F822" s="9"/>
    </row>
    <row r="823" spans="6:6">
      <c r="F823" s="10"/>
    </row>
    <row r="824" spans="6:6">
      <c r="F824" s="9"/>
    </row>
    <row r="825" spans="6:6">
      <c r="F825" s="10"/>
    </row>
    <row r="826" spans="6:6">
      <c r="F826" s="9"/>
    </row>
    <row r="827" spans="6:6">
      <c r="F827" s="10"/>
    </row>
    <row r="828" spans="6:6">
      <c r="F828" s="9"/>
    </row>
    <row r="829" spans="6:6">
      <c r="F829" s="10"/>
    </row>
    <row r="830" spans="6:6">
      <c r="F830" s="9"/>
    </row>
    <row r="831" spans="6:6">
      <c r="F831" s="10"/>
    </row>
    <row r="832" spans="6:6">
      <c r="F832" s="9"/>
    </row>
    <row r="833" spans="6:6">
      <c r="F833" s="10"/>
    </row>
    <row r="834" spans="6:6">
      <c r="F834" s="9"/>
    </row>
    <row r="835" spans="6:6">
      <c r="F835" s="10"/>
    </row>
    <row r="836" spans="6:6">
      <c r="F836" s="9"/>
    </row>
    <row r="837" spans="6:6">
      <c r="F837" s="10"/>
    </row>
    <row r="838" spans="6:6">
      <c r="F838" s="9"/>
    </row>
    <row r="839" spans="6:6">
      <c r="F839" s="10"/>
    </row>
    <row r="840" spans="6:6">
      <c r="F840" s="9"/>
    </row>
    <row r="841" spans="6:6">
      <c r="F841" s="10"/>
    </row>
    <row r="842" spans="6:6">
      <c r="F842" s="9"/>
    </row>
    <row r="843" spans="6:6">
      <c r="F843" s="10"/>
    </row>
    <row r="844" spans="6:6">
      <c r="F844" s="9"/>
    </row>
    <row r="845" spans="6:6">
      <c r="F845" s="10"/>
    </row>
    <row r="846" spans="6:6">
      <c r="F846" s="9"/>
    </row>
    <row r="847" spans="6:6">
      <c r="F847" s="10"/>
    </row>
    <row r="848" spans="6:6">
      <c r="F848" s="9"/>
    </row>
    <row r="849" spans="6:6">
      <c r="F849" s="10"/>
    </row>
    <row r="850" spans="6:6">
      <c r="F850" s="9"/>
    </row>
    <row r="851" spans="6:6">
      <c r="F851" s="10"/>
    </row>
    <row r="852" spans="6:6">
      <c r="F852" s="9"/>
    </row>
    <row r="853" spans="6:6">
      <c r="F853" s="10"/>
    </row>
    <row r="854" spans="6:6">
      <c r="F854" s="9"/>
    </row>
    <row r="855" spans="6:6">
      <c r="F855" s="10"/>
    </row>
    <row r="856" spans="6:6">
      <c r="F856" s="9"/>
    </row>
    <row r="857" spans="6:6">
      <c r="F857" s="10"/>
    </row>
    <row r="858" spans="6:6">
      <c r="F858" s="9"/>
    </row>
    <row r="859" spans="6:6">
      <c r="F859" s="10"/>
    </row>
    <row r="860" spans="6:6">
      <c r="F860" s="9"/>
    </row>
    <row r="861" spans="6:6">
      <c r="F861" s="10"/>
    </row>
    <row r="862" spans="6:6">
      <c r="F862" s="9"/>
    </row>
    <row r="863" spans="6:6">
      <c r="F863" s="10"/>
    </row>
    <row r="864" spans="6:6">
      <c r="F864" s="9"/>
    </row>
    <row r="865" spans="6:6">
      <c r="F865" s="10"/>
    </row>
    <row r="866" spans="6:6">
      <c r="F866" s="9"/>
    </row>
    <row r="867" spans="6:6">
      <c r="F867" s="10"/>
    </row>
    <row r="868" spans="6:6">
      <c r="F868" s="9"/>
    </row>
    <row r="869" spans="6:6">
      <c r="F869" s="10"/>
    </row>
    <row r="870" spans="6:6">
      <c r="F870" s="9"/>
    </row>
    <row r="871" spans="6:6">
      <c r="F871" s="10"/>
    </row>
    <row r="872" spans="6:6">
      <c r="F872" s="9"/>
    </row>
    <row r="873" spans="6:6">
      <c r="F873" s="10"/>
    </row>
    <row r="874" spans="6:6">
      <c r="F874" s="9"/>
    </row>
    <row r="875" spans="6:6">
      <c r="F875" s="10"/>
    </row>
    <row r="876" spans="6:6">
      <c r="F876" s="9"/>
    </row>
    <row r="877" spans="6:6">
      <c r="F877" s="10"/>
    </row>
    <row r="878" spans="6:6">
      <c r="F878" s="9"/>
    </row>
    <row r="879" spans="6:6">
      <c r="F879" s="10"/>
    </row>
    <row r="880" spans="6:6">
      <c r="F880" s="9"/>
    </row>
    <row r="881" spans="6:6">
      <c r="F881" s="10"/>
    </row>
    <row r="882" spans="6:6">
      <c r="F882" s="9"/>
    </row>
    <row r="883" spans="6:6">
      <c r="F883" s="10"/>
    </row>
    <row r="884" spans="6:6">
      <c r="F884" s="9"/>
    </row>
    <row r="885" spans="6:6">
      <c r="F885" s="10"/>
    </row>
    <row r="886" spans="6:6">
      <c r="F886" s="9"/>
    </row>
    <row r="887" spans="6:6">
      <c r="F887" s="10"/>
    </row>
    <row r="888" spans="6:6">
      <c r="F888" s="9"/>
    </row>
    <row r="889" spans="6:6">
      <c r="F889" s="10"/>
    </row>
    <row r="890" spans="6:6">
      <c r="F890" s="9"/>
    </row>
    <row r="891" spans="6:6">
      <c r="F891" s="10"/>
    </row>
    <row r="892" spans="6:6">
      <c r="F892" s="9"/>
    </row>
    <row r="893" spans="6:6">
      <c r="F893" s="10"/>
    </row>
    <row r="894" spans="6:6">
      <c r="F894" s="9"/>
    </row>
    <row r="895" spans="6:6">
      <c r="F895" s="10"/>
    </row>
    <row r="896" spans="6:6">
      <c r="F896" s="9"/>
    </row>
    <row r="897" spans="6:6">
      <c r="F897" s="10"/>
    </row>
    <row r="898" spans="6:6">
      <c r="F898" s="9"/>
    </row>
    <row r="899" spans="6:6">
      <c r="F899" s="10"/>
    </row>
    <row r="900" spans="6:6">
      <c r="F900" s="9"/>
    </row>
    <row r="901" spans="6:6">
      <c r="F901" s="10"/>
    </row>
    <row r="902" spans="6:6">
      <c r="F902" s="9"/>
    </row>
    <row r="903" spans="6:6">
      <c r="F903" s="10"/>
    </row>
    <row r="904" spans="6:6">
      <c r="F904" s="9"/>
    </row>
    <row r="905" spans="6:6">
      <c r="F905" s="10"/>
    </row>
    <row r="906" spans="6:6">
      <c r="F906" s="9"/>
    </row>
    <row r="907" spans="6:6">
      <c r="F907" s="10"/>
    </row>
    <row r="908" spans="6:6">
      <c r="F908" s="9"/>
    </row>
    <row r="909" spans="6:6">
      <c r="F909" s="10"/>
    </row>
    <row r="910" spans="6:6">
      <c r="F910" s="9"/>
    </row>
    <row r="911" spans="6:6">
      <c r="F911" s="10"/>
    </row>
    <row r="912" spans="6:6">
      <c r="F912" s="9"/>
    </row>
    <row r="913" spans="6:6">
      <c r="F913" s="10"/>
    </row>
    <row r="914" spans="6:6">
      <c r="F914" s="9"/>
    </row>
    <row r="915" spans="6:6">
      <c r="F915" s="10"/>
    </row>
    <row r="916" spans="6:6">
      <c r="F916" s="9"/>
    </row>
    <row r="917" spans="6:6">
      <c r="F917" s="10"/>
    </row>
    <row r="918" spans="6:6">
      <c r="F918" s="10"/>
    </row>
    <row r="919" spans="6:6">
      <c r="F919" s="9"/>
    </row>
    <row r="920" spans="6:6">
      <c r="F920" s="10"/>
    </row>
    <row r="921" spans="6:6">
      <c r="F921" s="9"/>
    </row>
    <row r="922" spans="6:6">
      <c r="F922" s="10"/>
    </row>
    <row r="923" spans="6:6">
      <c r="F923" s="9"/>
    </row>
    <row r="924" spans="6:6">
      <c r="F924" s="10"/>
    </row>
    <row r="925" spans="6:6">
      <c r="F925" s="9"/>
    </row>
    <row r="926" spans="6:6">
      <c r="F926" s="10"/>
    </row>
    <row r="927" spans="6:6">
      <c r="F927" s="9"/>
    </row>
    <row r="928" spans="6:6">
      <c r="F928" s="10"/>
    </row>
    <row r="929" spans="6:6">
      <c r="F929" s="9"/>
    </row>
    <row r="930" spans="6:6">
      <c r="F930" s="10"/>
    </row>
    <row r="931" spans="6:6">
      <c r="F931" s="9"/>
    </row>
    <row r="932" spans="6:6">
      <c r="F932" s="10"/>
    </row>
    <row r="933" spans="6:6">
      <c r="F933" s="9"/>
    </row>
    <row r="934" spans="6:6">
      <c r="F934" s="10"/>
    </row>
    <row r="935" spans="6:6">
      <c r="F935" s="9"/>
    </row>
    <row r="936" spans="6:6">
      <c r="F936" s="10"/>
    </row>
    <row r="937" spans="6:6">
      <c r="F937" s="9"/>
    </row>
    <row r="938" spans="6:6">
      <c r="F938" s="10"/>
    </row>
    <row r="939" spans="6:6">
      <c r="F939" s="9"/>
    </row>
    <row r="940" spans="6:6">
      <c r="F940" s="10"/>
    </row>
    <row r="941" spans="6:6">
      <c r="F941" s="9"/>
    </row>
    <row r="942" spans="6:6">
      <c r="F942" s="10"/>
    </row>
    <row r="943" spans="6:6">
      <c r="F943" s="9"/>
    </row>
    <row r="944" spans="6:6">
      <c r="F944" s="10"/>
    </row>
    <row r="945" spans="6:6">
      <c r="F945" s="9"/>
    </row>
    <row r="946" spans="6:6">
      <c r="F946" s="10"/>
    </row>
    <row r="947" spans="6:6">
      <c r="F947" s="9"/>
    </row>
    <row r="948" spans="6:6">
      <c r="F948" s="10"/>
    </row>
    <row r="949" spans="6:6">
      <c r="F949" s="9"/>
    </row>
    <row r="950" spans="6:6">
      <c r="F950" s="9"/>
    </row>
    <row r="951" spans="6:6">
      <c r="F951" s="10"/>
    </row>
    <row r="952" spans="6:6">
      <c r="F952" s="9"/>
    </row>
    <row r="953" spans="6:6">
      <c r="F953" s="10"/>
    </row>
    <row r="954" spans="6:6">
      <c r="F954" s="9"/>
    </row>
    <row r="955" spans="6:6">
      <c r="F955" s="10"/>
    </row>
    <row r="956" spans="6:6">
      <c r="F956" s="9"/>
    </row>
    <row r="957" spans="6:6">
      <c r="F957" s="10"/>
    </row>
    <row r="958" spans="6:6">
      <c r="F958" s="9"/>
    </row>
    <row r="959" spans="6:6">
      <c r="F959" s="10"/>
    </row>
    <row r="960" spans="6:6">
      <c r="F960" s="9"/>
    </row>
    <row r="961" spans="6:6">
      <c r="F961" s="10"/>
    </row>
    <row r="962" spans="6:6">
      <c r="F962" s="9"/>
    </row>
    <row r="963" spans="6:6">
      <c r="F963" s="10"/>
    </row>
    <row r="964" spans="6:6">
      <c r="F964" s="9"/>
    </row>
    <row r="965" spans="6:6">
      <c r="F965" s="10"/>
    </row>
    <row r="966" spans="6:6">
      <c r="F966" s="9"/>
    </row>
    <row r="967" spans="6:6">
      <c r="F967" s="10"/>
    </row>
    <row r="968" spans="6:6">
      <c r="F968" s="9"/>
    </row>
    <row r="969" spans="6:6">
      <c r="F969" s="10"/>
    </row>
    <row r="970" spans="6:6">
      <c r="F970" s="9"/>
    </row>
    <row r="971" spans="6:6">
      <c r="F971" s="10"/>
    </row>
    <row r="972" spans="6:6">
      <c r="F972" s="9"/>
    </row>
    <row r="973" spans="6:6">
      <c r="F973" s="10"/>
    </row>
    <row r="974" spans="6:6">
      <c r="F974" s="9"/>
    </row>
    <row r="975" spans="6:6">
      <c r="F975" s="9"/>
    </row>
    <row r="976" spans="6:6">
      <c r="F976" s="10"/>
    </row>
    <row r="977" spans="6:6">
      <c r="F977" s="9"/>
    </row>
    <row r="978" spans="6:6">
      <c r="F978" s="10"/>
    </row>
    <row r="979" spans="6:6">
      <c r="F979" s="9"/>
    </row>
    <row r="980" spans="6:6">
      <c r="F980" s="10"/>
    </row>
    <row r="981" spans="6:6">
      <c r="F981" s="9"/>
    </row>
    <row r="982" spans="6:6">
      <c r="F982" s="10"/>
    </row>
    <row r="983" spans="6:6">
      <c r="F983" s="9"/>
    </row>
    <row r="984" spans="6:6">
      <c r="F984" s="10"/>
    </row>
    <row r="985" spans="6:6">
      <c r="F985" s="9"/>
    </row>
    <row r="986" spans="6:6">
      <c r="F986" s="10"/>
    </row>
    <row r="987" spans="6:6">
      <c r="F987" s="9"/>
    </row>
    <row r="988" spans="6:6">
      <c r="F988" s="10"/>
    </row>
    <row r="989" spans="6:6">
      <c r="F989" s="9"/>
    </row>
    <row r="990" spans="6:6">
      <c r="F990" s="10"/>
    </row>
    <row r="991" spans="6:6">
      <c r="F991" s="9"/>
    </row>
    <row r="992" spans="6:6">
      <c r="F992" s="10"/>
    </row>
    <row r="993" spans="6:6">
      <c r="F993" s="9"/>
    </row>
    <row r="994" spans="6:6">
      <c r="F994" s="9"/>
    </row>
    <row r="995" spans="6:6">
      <c r="F995" s="10"/>
    </row>
    <row r="996" spans="6:6">
      <c r="F996" s="9"/>
    </row>
    <row r="997" spans="6:6">
      <c r="F997" s="10"/>
    </row>
    <row r="998" spans="6:6">
      <c r="F998" s="9"/>
    </row>
    <row r="999" spans="6:6">
      <c r="F999" s="10"/>
    </row>
    <row r="1000" spans="6:6">
      <c r="F1000" s="9"/>
    </row>
    <row r="1001" spans="6:6">
      <c r="F1001" s="10"/>
    </row>
    <row r="1002" spans="6:6">
      <c r="F1002" s="9"/>
    </row>
    <row r="1003" spans="6:6">
      <c r="F1003" s="10"/>
    </row>
    <row r="1004" spans="6:6">
      <c r="F1004" s="9"/>
    </row>
    <row r="1005" spans="6:6">
      <c r="F1005" s="10"/>
    </row>
    <row r="1006" spans="6:6">
      <c r="F1006" s="9"/>
    </row>
    <row r="1007" spans="6:6">
      <c r="F1007" s="10"/>
    </row>
    <row r="1008" spans="6:6">
      <c r="F1008" s="9"/>
    </row>
    <row r="1009" spans="6:6">
      <c r="F1009" s="10"/>
    </row>
    <row r="1010" spans="6:6">
      <c r="F1010" s="9"/>
    </row>
    <row r="1011" spans="6:6">
      <c r="F1011" s="10"/>
    </row>
    <row r="1012" spans="6:6">
      <c r="F1012" s="9"/>
    </row>
    <row r="1013" spans="6:6">
      <c r="F1013" s="10"/>
    </row>
    <row r="1014" spans="6:6">
      <c r="F1014" s="9"/>
    </row>
    <row r="1015" spans="6:6">
      <c r="F1015" s="10"/>
    </row>
    <row r="1016" spans="6:6">
      <c r="F1016" s="9"/>
    </row>
    <row r="1017" spans="6:6">
      <c r="F1017" s="10"/>
    </row>
    <row r="1018" spans="6:6">
      <c r="F1018" s="9"/>
    </row>
    <row r="1019" spans="6:6">
      <c r="F1019" s="10"/>
    </row>
    <row r="1020" spans="6:6">
      <c r="F1020" s="9"/>
    </row>
    <row r="1021" spans="6:6">
      <c r="F1021" s="9"/>
    </row>
    <row r="1022" spans="6:6">
      <c r="F1022" s="10"/>
    </row>
    <row r="1023" spans="6:6">
      <c r="F1023" s="9"/>
    </row>
    <row r="1024" spans="6:6">
      <c r="F1024" s="10"/>
    </row>
    <row r="1025" spans="6:6">
      <c r="F1025" s="9"/>
    </row>
    <row r="1026" spans="6:6">
      <c r="F1026" s="10"/>
    </row>
    <row r="1027" spans="6:6">
      <c r="F1027" s="9"/>
    </row>
    <row r="1028" spans="6:6">
      <c r="F1028" s="10"/>
    </row>
    <row r="1029" spans="6:6">
      <c r="F1029" s="9"/>
    </row>
    <row r="1030" spans="6:6">
      <c r="F1030" s="10"/>
    </row>
    <row r="1031" spans="6:6">
      <c r="F1031" s="9"/>
    </row>
    <row r="1032" spans="6:6">
      <c r="F1032" s="10"/>
    </row>
    <row r="1033" spans="6:6">
      <c r="F1033" s="10"/>
    </row>
    <row r="1034" spans="6:6">
      <c r="F1034" s="9"/>
    </row>
    <row r="1035" spans="6:6">
      <c r="F1035" s="10"/>
    </row>
    <row r="1036" spans="6:6">
      <c r="F1036" s="9"/>
    </row>
    <row r="1037" spans="6:6">
      <c r="F1037" s="10"/>
    </row>
    <row r="1038" spans="6:6">
      <c r="F1038" s="9"/>
    </row>
    <row r="1039" spans="6:6">
      <c r="F1039" s="10"/>
    </row>
    <row r="1040" spans="6:6">
      <c r="F1040" s="9"/>
    </row>
    <row r="1041" spans="6:6">
      <c r="F1041" s="10"/>
    </row>
    <row r="1042" spans="6:6">
      <c r="F1042" s="9"/>
    </row>
    <row r="1043" spans="6:6">
      <c r="F1043" s="10"/>
    </row>
    <row r="1044" spans="6:6">
      <c r="F1044" s="10"/>
    </row>
    <row r="1045" spans="6:6">
      <c r="F1045" s="9"/>
    </row>
    <row r="1046" spans="6:6">
      <c r="F1046" s="10"/>
    </row>
    <row r="1047" spans="6:6">
      <c r="F1047" s="9"/>
    </row>
    <row r="1048" spans="6:6">
      <c r="F1048" s="10"/>
    </row>
    <row r="1049" spans="6:6">
      <c r="F1049" s="9"/>
    </row>
    <row r="1050" spans="6:6">
      <c r="F1050" s="10"/>
    </row>
    <row r="1051" spans="6:6">
      <c r="F1051" s="9"/>
    </row>
    <row r="1052" spans="6:6">
      <c r="F1052" s="10"/>
    </row>
    <row r="1053" spans="6:6">
      <c r="F1053" s="9"/>
    </row>
    <row r="1054" spans="6:6">
      <c r="F1054" s="10"/>
    </row>
    <row r="1055" spans="6:6">
      <c r="F1055" s="9"/>
    </row>
    <row r="1056" spans="6:6">
      <c r="F1056" s="10"/>
    </row>
    <row r="1057" spans="6:6">
      <c r="F1057" s="10"/>
    </row>
    <row r="1058" spans="6:6">
      <c r="F1058" s="9"/>
    </row>
    <row r="1059" spans="6:6">
      <c r="F1059" s="10"/>
    </row>
    <row r="1060" spans="6:6">
      <c r="F1060" s="9"/>
    </row>
    <row r="1061" spans="6:6">
      <c r="F1061" s="10"/>
    </row>
    <row r="1062" spans="6:6">
      <c r="F1062" s="9"/>
    </row>
    <row r="1063" spans="6:6">
      <c r="F1063" s="10"/>
    </row>
    <row r="1064" spans="6:6">
      <c r="F1064" s="9"/>
    </row>
    <row r="1065" spans="6:6">
      <c r="F1065" s="9"/>
    </row>
    <row r="1066" spans="6:6">
      <c r="F1066" s="10"/>
    </row>
    <row r="1067" spans="6:6">
      <c r="F1067" s="9"/>
    </row>
    <row r="1068" spans="6:6">
      <c r="F1068" s="10"/>
    </row>
    <row r="1069" spans="6:6">
      <c r="F1069" s="9"/>
    </row>
    <row r="1070" spans="6:6">
      <c r="F1070" s="10"/>
    </row>
    <row r="1071" spans="6:6">
      <c r="F1071" s="9"/>
    </row>
    <row r="1072" spans="6:6">
      <c r="F1072" s="10"/>
    </row>
    <row r="1073" spans="6:6">
      <c r="F1073" s="9"/>
    </row>
    <row r="1074" spans="6:6">
      <c r="F1074" s="10"/>
    </row>
    <row r="1075" spans="6:6">
      <c r="F1075" s="9"/>
    </row>
    <row r="1076" spans="6:6">
      <c r="F1076" s="10"/>
    </row>
    <row r="1077" spans="6:6">
      <c r="F1077" s="9"/>
    </row>
    <row r="1078" spans="6:6">
      <c r="F1078" s="10"/>
    </row>
    <row r="1079" spans="6:6">
      <c r="F1079" s="9"/>
    </row>
    <row r="1080" spans="6:6">
      <c r="F1080" s="10"/>
    </row>
    <row r="1081" spans="6:6">
      <c r="F1081" s="9"/>
    </row>
    <row r="1082" spans="6:6">
      <c r="F1082" s="10"/>
    </row>
    <row r="1083" spans="6:6">
      <c r="F1083" s="9"/>
    </row>
    <row r="1084" spans="6:6">
      <c r="F1084" s="10"/>
    </row>
    <row r="1085" spans="6:6">
      <c r="F1085" s="9"/>
    </row>
    <row r="1086" spans="6:6">
      <c r="F1086" s="10"/>
    </row>
    <row r="1087" spans="6:6">
      <c r="F1087" s="9"/>
    </row>
    <row r="1088" spans="6:6">
      <c r="F1088" s="10"/>
    </row>
    <row r="1089" spans="6:6">
      <c r="F1089" s="9"/>
    </row>
    <row r="1090" spans="6:6">
      <c r="F1090" s="10"/>
    </row>
    <row r="1091" spans="6:6">
      <c r="F1091" s="9"/>
    </row>
    <row r="1092" spans="6:6">
      <c r="F1092" s="10"/>
    </row>
    <row r="1093" spans="6:6">
      <c r="F1093" s="9"/>
    </row>
    <row r="1094" spans="6:6">
      <c r="F1094" s="10"/>
    </row>
    <row r="1095" spans="6:6">
      <c r="F1095" s="9"/>
    </row>
    <row r="1096" spans="6:6">
      <c r="F1096" s="10"/>
    </row>
    <row r="1097" spans="6:6">
      <c r="F1097" s="9"/>
    </row>
    <row r="1098" spans="6:6">
      <c r="F1098" s="10"/>
    </row>
    <row r="1099" spans="6:6">
      <c r="F1099" s="9"/>
    </row>
    <row r="1100" spans="6:6">
      <c r="F1100" s="10"/>
    </row>
    <row r="1101" spans="6:6">
      <c r="F1101" s="9"/>
    </row>
    <row r="1102" spans="6:6">
      <c r="F1102" s="10"/>
    </row>
    <row r="1103" spans="6:6">
      <c r="F1103" s="10"/>
    </row>
    <row r="1104" spans="6:6">
      <c r="F1104" s="9"/>
    </row>
    <row r="1105" spans="6:6">
      <c r="F1105" s="10"/>
    </row>
    <row r="1106" spans="6:6">
      <c r="F1106" s="9"/>
    </row>
    <row r="1107" spans="6:6">
      <c r="F1107" s="10"/>
    </row>
    <row r="1108" spans="6:6">
      <c r="F1108" s="9"/>
    </row>
    <row r="1109" spans="6:6">
      <c r="F1109" s="10"/>
    </row>
    <row r="1110" spans="6:6">
      <c r="F1110" s="9"/>
    </row>
    <row r="1111" spans="6:6">
      <c r="F1111" s="9"/>
    </row>
    <row r="1112" spans="6:6">
      <c r="F1112" s="10"/>
    </row>
    <row r="1113" spans="6:6">
      <c r="F1113" s="10"/>
    </row>
    <row r="1114" spans="6:6">
      <c r="F1114" s="9"/>
    </row>
    <row r="1115" spans="6:6">
      <c r="F1115" s="10"/>
    </row>
    <row r="1116" spans="6:6">
      <c r="F1116" s="9"/>
    </row>
    <row r="1117" spans="6:6">
      <c r="F1117" s="10"/>
    </row>
    <row r="1118" spans="6:6">
      <c r="F1118" s="9"/>
    </row>
    <row r="1119" spans="6:6">
      <c r="F1119" s="10"/>
    </row>
    <row r="1120" spans="6:6">
      <c r="F1120" s="9"/>
    </row>
    <row r="1121" spans="6:6">
      <c r="F1121" s="10"/>
    </row>
    <row r="1122" spans="6:6">
      <c r="F1122" s="9"/>
    </row>
    <row r="1123" spans="6:6">
      <c r="F1123" s="10"/>
    </row>
    <row r="1124" spans="6:6">
      <c r="F1124" s="9"/>
    </row>
    <row r="1125" spans="6:6">
      <c r="F1125" s="10"/>
    </row>
    <row r="1126" spans="6:6">
      <c r="F1126" s="9"/>
    </row>
    <row r="1127" spans="6:6">
      <c r="F1127" s="10"/>
    </row>
    <row r="1128" spans="6:6">
      <c r="F1128" s="9"/>
    </row>
    <row r="1129" spans="6:6">
      <c r="F1129" s="10"/>
    </row>
    <row r="1130" spans="6:6">
      <c r="F1130" s="9"/>
    </row>
    <row r="1131" spans="6:6">
      <c r="F1131" s="10"/>
    </row>
    <row r="1132" spans="6:6">
      <c r="F1132" s="10"/>
    </row>
    <row r="1133" spans="6:6">
      <c r="F1133" s="9"/>
    </row>
    <row r="1134" spans="6:6">
      <c r="F1134" s="10"/>
    </row>
    <row r="1135" spans="6:6">
      <c r="F1135" s="9"/>
    </row>
    <row r="1136" spans="6:6">
      <c r="F1136" s="10"/>
    </row>
    <row r="1137" spans="6:6">
      <c r="F1137" s="9"/>
    </row>
    <row r="1138" spans="6:6">
      <c r="F1138" s="10"/>
    </row>
    <row r="1139" spans="6:6">
      <c r="F1139" s="9"/>
    </row>
    <row r="1140" spans="6:6">
      <c r="F1140" s="10"/>
    </row>
    <row r="1141" spans="6:6">
      <c r="F1141" s="9"/>
    </row>
    <row r="1142" spans="6:6">
      <c r="F1142" s="10"/>
    </row>
    <row r="1143" spans="6:6">
      <c r="F1143" s="10"/>
    </row>
    <row r="1144" spans="6:6">
      <c r="F1144" s="9"/>
    </row>
    <row r="1145" spans="6:6">
      <c r="F1145" s="10"/>
    </row>
    <row r="1146" spans="6:6">
      <c r="F1146" s="9"/>
    </row>
    <row r="1147" spans="6:6">
      <c r="F1147" s="9"/>
    </row>
    <row r="1148" spans="6:6">
      <c r="F1148" s="10"/>
    </row>
    <row r="1149" spans="6:6">
      <c r="F1149" s="9"/>
    </row>
    <row r="1150" spans="6:6">
      <c r="F1150" s="10"/>
    </row>
    <row r="1151" spans="6:6">
      <c r="F1151" s="9"/>
    </row>
    <row r="1152" spans="6:6">
      <c r="F1152" s="10"/>
    </row>
    <row r="1153" spans="6:6">
      <c r="F1153" s="9"/>
    </row>
    <row r="1154" spans="6:6">
      <c r="F1154" s="10"/>
    </row>
    <row r="1155" spans="6:6">
      <c r="F1155" s="10"/>
    </row>
    <row r="1156" spans="6:6">
      <c r="F1156" s="9"/>
    </row>
    <row r="1157" spans="6:6">
      <c r="F1157" s="10"/>
    </row>
    <row r="1158" spans="6:6">
      <c r="F1158" s="9"/>
    </row>
    <row r="1159" spans="6:6">
      <c r="F1159" s="10"/>
    </row>
    <row r="1160" spans="6:6">
      <c r="F1160" s="9"/>
    </row>
    <row r="1161" spans="6:6">
      <c r="F1161" s="10"/>
    </row>
    <row r="1162" spans="6:6">
      <c r="F1162" s="9"/>
    </row>
    <row r="1163" spans="6:6">
      <c r="F1163" s="10"/>
    </row>
    <row r="1164" spans="6:6">
      <c r="F1164" s="9"/>
    </row>
    <row r="1165" spans="6:6">
      <c r="F1165" s="10"/>
    </row>
    <row r="1166" spans="6:6">
      <c r="F1166" s="9"/>
    </row>
    <row r="1167" spans="6:6">
      <c r="F1167" s="10"/>
    </row>
    <row r="1168" spans="6:6">
      <c r="F1168" s="9"/>
    </row>
    <row r="1169" spans="6:6">
      <c r="F1169" s="10"/>
    </row>
    <row r="1170" spans="6:6">
      <c r="F1170" s="9"/>
    </row>
    <row r="1171" spans="6:6">
      <c r="F1171" s="10"/>
    </row>
    <row r="1172" spans="6:6">
      <c r="F1172" s="10"/>
    </row>
    <row r="1173" spans="6:6">
      <c r="F1173" s="9"/>
    </row>
    <row r="1174" spans="6:6">
      <c r="F1174" s="10"/>
    </row>
    <row r="1175" spans="6:6">
      <c r="F1175" s="9"/>
    </row>
    <row r="1176" spans="6:6">
      <c r="F1176" s="9"/>
    </row>
    <row r="1177" spans="6:6">
      <c r="F1177" s="10"/>
    </row>
    <row r="1178" spans="6:6">
      <c r="F1178" s="9"/>
    </row>
    <row r="1179" spans="6:6">
      <c r="F1179" s="10"/>
    </row>
    <row r="1180" spans="6:6">
      <c r="F1180" s="9"/>
    </row>
    <row r="1181" spans="6:6">
      <c r="F1181" s="10"/>
    </row>
    <row r="1182" spans="6:6">
      <c r="F1182" s="9"/>
    </row>
  </sheetData>
  <conditionalFormatting sqref="B31:B36 B38:B40 B42:B43 B46:B1048576 B29 B1:B24">
    <cfRule type="duplicateValues" dxfId="16" priority="2126"/>
  </conditionalFormatting>
  <conditionalFormatting sqref="F31:F36 F38:F40 F42:F43 F46:F1048576 F29 F1:F24">
    <cfRule type="duplicateValues" dxfId="15" priority="2132"/>
  </conditionalFormatting>
  <conditionalFormatting sqref="F674:F998">
    <cfRule type="duplicateValues" dxfId="14" priority="4"/>
  </conditionalFormatting>
  <conditionalFormatting sqref="F999:F1182">
    <cfRule type="duplicateValues" dxfId="13" priority="3"/>
  </conditionalFormatting>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0AFF-7A58-47BE-A94B-BA527D2BACB9}">
  <dimension ref="A1:J1149"/>
  <sheetViews>
    <sheetView topLeftCell="B1" workbookViewId="0">
      <selection activeCell="B20" sqref="B20"/>
    </sheetView>
  </sheetViews>
  <sheetFormatPr defaultRowHeight="12.75"/>
  <cols>
    <col min="1" max="2" width="81.140625" bestFit="1" customWidth="1"/>
    <col min="3" max="3" width="7.28515625" bestFit="1" customWidth="1"/>
    <col min="4" max="4" width="48.85546875" bestFit="1" customWidth="1"/>
    <col min="5" max="5" width="6.7109375" bestFit="1" customWidth="1"/>
    <col min="6" max="6" width="36.42578125" bestFit="1" customWidth="1"/>
    <col min="7" max="7" width="81.140625" bestFit="1" customWidth="1"/>
    <col min="8" max="8" width="12.7109375" bestFit="1" customWidth="1"/>
    <col min="9" max="9" width="11.85546875" bestFit="1" customWidth="1"/>
  </cols>
  <sheetData>
    <row r="1" spans="1:10">
      <c r="A1" t="s">
        <v>1367</v>
      </c>
      <c r="B1" t="s">
        <v>1368</v>
      </c>
      <c r="C1" t="s">
        <v>1369</v>
      </c>
      <c r="D1" t="s">
        <v>1370</v>
      </c>
      <c r="E1" t="s">
        <v>1371</v>
      </c>
      <c r="F1" t="s">
        <v>1372</v>
      </c>
      <c r="G1" t="s">
        <v>1373</v>
      </c>
      <c r="H1" t="s">
        <v>1374</v>
      </c>
      <c r="I1" t="s">
        <v>1375</v>
      </c>
      <c r="J1" t="s">
        <v>4273</v>
      </c>
    </row>
    <row r="2" spans="1:10">
      <c r="A2" t="s">
        <v>4480</v>
      </c>
      <c r="B2" t="s">
        <v>5489</v>
      </c>
      <c r="C2">
        <v>2020</v>
      </c>
      <c r="D2" t="s">
        <v>5490</v>
      </c>
      <c r="E2" t="s">
        <v>51</v>
      </c>
      <c r="F2" t="s">
        <v>5491</v>
      </c>
      <c r="G2" t="s">
        <v>5492</v>
      </c>
      <c r="I2" t="s">
        <v>51</v>
      </c>
      <c r="J2" t="str">
        <f t="shared" ref="J2:J17" si="0">HYPERLINK($D2,$B2)</f>
        <v>Improving OPC UA Publish-Subscribe Mechanism over UDP with Synchronization Algorithm and Multithreading Broker Application.</v>
      </c>
    </row>
    <row r="3" spans="1:10">
      <c r="A3" t="s">
        <v>5493</v>
      </c>
      <c r="B3" t="s">
        <v>5494</v>
      </c>
      <c r="C3">
        <v>2021</v>
      </c>
      <c r="D3" t="s">
        <v>5495</v>
      </c>
      <c r="E3" t="s">
        <v>51</v>
      </c>
      <c r="F3" t="s">
        <v>5496</v>
      </c>
      <c r="G3" t="s">
        <v>5497</v>
      </c>
      <c r="I3" t="s">
        <v>51</v>
      </c>
      <c r="J3" t="str">
        <f t="shared" si="0"/>
        <v>A Proposal to Improve Interoperability in the Industry 4.0 Based on the Open Platform Communications Unified Architecture Standard</v>
      </c>
    </row>
    <row r="4" spans="1:10">
      <c r="A4" t="s">
        <v>5498</v>
      </c>
      <c r="B4" t="s">
        <v>5499</v>
      </c>
      <c r="C4">
        <v>2017</v>
      </c>
      <c r="D4" t="s">
        <v>5500</v>
      </c>
      <c r="E4" t="s">
        <v>51</v>
      </c>
      <c r="F4" t="s">
        <v>5501</v>
      </c>
      <c r="G4" t="s">
        <v>5502</v>
      </c>
      <c r="H4">
        <v>6</v>
      </c>
      <c r="I4" t="s">
        <v>51</v>
      </c>
      <c r="J4" t="str">
        <f t="shared" si="0"/>
        <v>INDIN - Achieving interoperability using low-cost middleware OPC UA wrapping structure. Case study in the water industry</v>
      </c>
    </row>
    <row r="5" spans="1:10">
      <c r="A5" t="s">
        <v>5503</v>
      </c>
      <c r="B5" t="s">
        <v>5504</v>
      </c>
      <c r="C5">
        <v>2020</v>
      </c>
      <c r="D5" t="s">
        <v>5505</v>
      </c>
      <c r="E5" t="s">
        <v>51</v>
      </c>
      <c r="F5" t="s">
        <v>5506</v>
      </c>
      <c r="G5" t="s">
        <v>5507</v>
      </c>
      <c r="H5">
        <v>6</v>
      </c>
      <c r="I5" t="s">
        <v>51</v>
      </c>
      <c r="J5" t="str">
        <f t="shared" si="0"/>
        <v>SysCon - Performance Study of the Robot Operating System 2 with QoS and Cyber Security Settings</v>
      </c>
    </row>
    <row r="6" spans="1:10">
      <c r="A6" t="s">
        <v>5508</v>
      </c>
      <c r="B6" t="s">
        <v>5509</v>
      </c>
      <c r="C6">
        <v>2018</v>
      </c>
      <c r="D6" t="s">
        <v>5510</v>
      </c>
      <c r="E6" t="s">
        <v>51</v>
      </c>
      <c r="F6" t="s">
        <v>5511</v>
      </c>
      <c r="G6" t="s">
        <v>5512</v>
      </c>
      <c r="H6">
        <v>2</v>
      </c>
      <c r="I6" t="s">
        <v>51</v>
      </c>
      <c r="J6" t="str">
        <f t="shared" si="0"/>
        <v>RTCSA - Dynamic Binding a Proper DDS Implementation for Optimizing Inter-Node Communication in ROS2</v>
      </c>
    </row>
    <row r="7" spans="1:10">
      <c r="A7" t="s">
        <v>5513</v>
      </c>
      <c r="B7" t="s">
        <v>5514</v>
      </c>
      <c r="C7">
        <v>2020</v>
      </c>
      <c r="D7" t="s">
        <v>5515</v>
      </c>
      <c r="E7" t="s">
        <v>51</v>
      </c>
      <c r="F7" t="s">
        <v>5516</v>
      </c>
      <c r="G7" t="s">
        <v>5517</v>
      </c>
      <c r="I7" t="s">
        <v>51</v>
      </c>
      <c r="J7" t="str">
        <f t="shared" si="0"/>
        <v>Information Distribution in Multi-Robot Systems: Utility-Based Evaluation Model</v>
      </c>
    </row>
    <row r="8" spans="1:10">
      <c r="A8" t="s">
        <v>4480</v>
      </c>
      <c r="B8" t="s">
        <v>5518</v>
      </c>
      <c r="C8">
        <v>2020</v>
      </c>
      <c r="D8" t="s">
        <v>5519</v>
      </c>
      <c r="E8" t="s">
        <v>51</v>
      </c>
      <c r="F8" t="s">
        <v>5520</v>
      </c>
      <c r="G8" t="s">
        <v>5521</v>
      </c>
      <c r="I8" t="s">
        <v>51</v>
      </c>
      <c r="J8" t="str">
        <f t="shared" si="0"/>
        <v>OPC UA Publish-Subscribe and VSOME/IP Notify-Subscribe Based Gateway Application in the Context of Car to Infrastructure Communication.</v>
      </c>
    </row>
    <row r="9" spans="1:10">
      <c r="A9" t="s">
        <v>5522</v>
      </c>
      <c r="B9" t="s">
        <v>5523</v>
      </c>
      <c r="C9">
        <v>2017</v>
      </c>
      <c r="D9" t="s">
        <v>5524</v>
      </c>
      <c r="E9" t="s">
        <v>51</v>
      </c>
      <c r="F9" t="s">
        <v>5525</v>
      </c>
      <c r="G9" t="s">
        <v>5526</v>
      </c>
      <c r="I9" t="s">
        <v>51</v>
      </c>
      <c r="J9" t="str">
        <f t="shared" si="0"/>
        <v>An Optimized, Data Distribution Service-Based Solution for Reliable Data Exchange Among Autonomous Underwater Vehicles</v>
      </c>
    </row>
    <row r="10" spans="1:10">
      <c r="A10" t="s">
        <v>5527</v>
      </c>
      <c r="B10" t="s">
        <v>5528</v>
      </c>
      <c r="C10">
        <v>2020</v>
      </c>
      <c r="D10" t="s">
        <v>5529</v>
      </c>
      <c r="E10" t="s">
        <v>51</v>
      </c>
      <c r="F10" t="s">
        <v>5530</v>
      </c>
      <c r="G10" t="s">
        <v>5531</v>
      </c>
      <c r="H10">
        <v>8</v>
      </c>
      <c r="I10" t="s">
        <v>51</v>
      </c>
      <c r="J10" t="str">
        <f t="shared" si="0"/>
        <v>SysCon - Evaluation of the Robot Operating System 2 in Lossy Unmanned Networks</v>
      </c>
    </row>
    <row r="11" spans="1:10">
      <c r="A11" t="s">
        <v>5532</v>
      </c>
      <c r="B11" t="s">
        <v>5533</v>
      </c>
      <c r="C11">
        <v>2018</v>
      </c>
      <c r="D11" t="s">
        <v>5534</v>
      </c>
      <c r="E11" t="s">
        <v>51</v>
      </c>
      <c r="F11" t="s">
        <v>5535</v>
      </c>
      <c r="G11" t="s">
        <v>5536</v>
      </c>
      <c r="I11" t="s">
        <v>51</v>
      </c>
      <c r="J11" t="str">
        <f t="shared" si="0"/>
        <v>More Sustainability in Industry through Industrial Internet of Things</v>
      </c>
    </row>
    <row r="12" spans="1:10">
      <c r="A12" t="s">
        <v>5537</v>
      </c>
      <c r="B12" t="s">
        <v>5538</v>
      </c>
      <c r="C12">
        <v>2021</v>
      </c>
      <c r="D12" t="s">
        <v>5539</v>
      </c>
      <c r="E12" t="s">
        <v>51</v>
      </c>
      <c r="F12" t="s">
        <v>5540</v>
      </c>
      <c r="G12" t="s">
        <v>5541</v>
      </c>
      <c r="I12" t="s">
        <v>51</v>
      </c>
      <c r="J12" t="str">
        <f t="shared" si="0"/>
        <v>Data Distribution Service Converter Based on the Open Platform Communications Unified Architecture Publish–Subscribe Protocol</v>
      </c>
    </row>
    <row r="13" spans="1:10">
      <c r="A13" t="s">
        <v>5542</v>
      </c>
      <c r="B13" t="s">
        <v>5543</v>
      </c>
      <c r="C13">
        <v>2020</v>
      </c>
      <c r="D13" t="s">
        <v>5544</v>
      </c>
      <c r="E13" t="s">
        <v>51</v>
      </c>
      <c r="F13" t="s">
        <v>5545</v>
      </c>
      <c r="G13" t="s">
        <v>5546</v>
      </c>
      <c r="I13" t="s">
        <v>51</v>
      </c>
      <c r="J13" t="str">
        <f t="shared" si="0"/>
        <v>Towards IoT-Aided Human-Robot Interaction Using NEP and ROS: A Platform-Independent, Accessible and Distributed Approach.</v>
      </c>
    </row>
    <row r="14" spans="1:10">
      <c r="A14" t="s">
        <v>4480</v>
      </c>
      <c r="B14" t="s">
        <v>5440</v>
      </c>
      <c r="C14">
        <v>2019</v>
      </c>
      <c r="D14" t="s">
        <v>5441</v>
      </c>
      <c r="E14" t="s">
        <v>51</v>
      </c>
      <c r="F14" t="s">
        <v>5442</v>
      </c>
      <c r="G14" t="s">
        <v>5443</v>
      </c>
      <c r="H14">
        <v>6</v>
      </c>
      <c r="I14" t="s">
        <v>51</v>
      </c>
      <c r="J14" t="str">
        <f t="shared" si="0"/>
        <v>ICE/ITMC - VSOMEIP - OPC UA Gateway Solution for the Automotive Industry</v>
      </c>
    </row>
    <row r="15" spans="1:10">
      <c r="A15" t="s">
        <v>5458</v>
      </c>
      <c r="B15" t="s">
        <v>5459</v>
      </c>
      <c r="C15">
        <v>2018</v>
      </c>
      <c r="D15" t="s">
        <v>5460</v>
      </c>
      <c r="E15" t="s">
        <v>51</v>
      </c>
      <c r="F15" t="s">
        <v>5461</v>
      </c>
      <c r="G15" t="s">
        <v>5462</v>
      </c>
      <c r="H15">
        <v>8</v>
      </c>
      <c r="I15" t="s">
        <v>51</v>
      </c>
      <c r="J15" t="str">
        <f t="shared" si="0"/>
        <v>ETFA - Non-Invasive Control Solution inside Higher-Level OPC UA based Wrapper for Optimizing Groups of Wastewater Systems</v>
      </c>
    </row>
    <row r="16" spans="1:10">
      <c r="A16" t="s">
        <v>5552</v>
      </c>
      <c r="B16" t="s">
        <v>5553</v>
      </c>
      <c r="C16">
        <v>2021</v>
      </c>
      <c r="D16" t="s">
        <v>5554</v>
      </c>
      <c r="E16" t="s">
        <v>51</v>
      </c>
      <c r="F16" t="s">
        <v>5555</v>
      </c>
      <c r="G16" t="s">
        <v>5556</v>
      </c>
      <c r="H16">
        <v>27</v>
      </c>
      <c r="I16" t="s">
        <v>51</v>
      </c>
      <c r="J16" t="str">
        <f t="shared" si="0"/>
        <v>Process Automation in an IoT–Fog–Cloud Ecosystem: A Survey and Taxonomy</v>
      </c>
    </row>
    <row r="17" spans="1:10">
      <c r="A17" t="s">
        <v>5557</v>
      </c>
      <c r="B17" t="s">
        <v>5558</v>
      </c>
      <c r="C17">
        <v>2019</v>
      </c>
      <c r="D17" t="s">
        <v>5559</v>
      </c>
      <c r="E17" t="s">
        <v>51</v>
      </c>
      <c r="F17" t="s">
        <v>5560</v>
      </c>
      <c r="G17" t="s">
        <v>5561</v>
      </c>
      <c r="H17">
        <v>5</v>
      </c>
      <c r="I17" t="s">
        <v>51</v>
      </c>
      <c r="J17" t="str">
        <f t="shared" si="0"/>
        <v>FDDS: An Integrated Conceptual FDDS Framework for DDS Based Middleware</v>
      </c>
    </row>
    <row r="18" spans="1:10">
      <c r="A18" s="51" t="s">
        <v>5226</v>
      </c>
      <c r="B18" s="52" t="s">
        <v>5227</v>
      </c>
      <c r="C18" s="52">
        <v>2020</v>
      </c>
      <c r="D18" s="52" t="s">
        <v>5228</v>
      </c>
      <c r="E18" s="52" t="s">
        <v>51</v>
      </c>
      <c r="F18" s="52" t="s">
        <v>5229</v>
      </c>
      <c r="G18" s="52" t="s">
        <v>5230</v>
      </c>
      <c r="H18" s="52">
        <v>8</v>
      </c>
      <c r="J18" s="47" t="str">
        <f>HYPERLINK($D18,$B18)</f>
        <v>ETFA - Real-time capable OPC-UA Programs over TSN for distributed industrial control</v>
      </c>
    </row>
    <row r="19" spans="1:10">
      <c r="A19" s="44" t="s">
        <v>5693</v>
      </c>
      <c r="B19" s="45" t="s">
        <v>5694</v>
      </c>
      <c r="C19" s="45">
        <v>2021</v>
      </c>
      <c r="D19" s="45" t="s">
        <v>5695</v>
      </c>
      <c r="E19" s="45" t="s">
        <v>51</v>
      </c>
      <c r="F19" s="45" t="s">
        <v>4568</v>
      </c>
      <c r="G19" s="45" t="s">
        <v>5696</v>
      </c>
      <c r="H19" s="45"/>
      <c r="J19" s="47" t="str">
        <f>HYPERLINK($D19,$B19)</f>
        <v>Approaching OPC UA Publish–Subscribe in the Context of UDP-Based Multi-Channel Communication and Image Transmission</v>
      </c>
    </row>
    <row r="20" spans="1:10">
      <c r="A20" s="51" t="s">
        <v>5547</v>
      </c>
      <c r="B20" s="52" t="s">
        <v>5548</v>
      </c>
      <c r="C20" s="52">
        <v>2020</v>
      </c>
      <c r="D20" s="52" t="s">
        <v>5549</v>
      </c>
      <c r="E20" s="52" t="s">
        <v>51</v>
      </c>
      <c r="F20" s="52" t="s">
        <v>5550</v>
      </c>
      <c r="G20" s="52" t="s">
        <v>5551</v>
      </c>
      <c r="H20" s="52">
        <v>4</v>
      </c>
      <c r="J20" s="47" t="str">
        <f>HYPERLINK($D20,$B20)</f>
        <v>ETFA - Real-time Industrial Communication by using OPC UA Field Level Communication</v>
      </c>
    </row>
    <row r="22" spans="1:10">
      <c r="B22" s="9"/>
    </row>
    <row r="23" spans="1:10">
      <c r="I23" s="40" t="s">
        <v>51</v>
      </c>
    </row>
    <row r="25" spans="1:10">
      <c r="I25" s="41" t="s">
        <v>51</v>
      </c>
    </row>
    <row r="28" spans="1:10">
      <c r="I28" s="40" t="s">
        <v>51</v>
      </c>
    </row>
    <row r="31" spans="1:10">
      <c r="B31" s="10"/>
      <c r="F31" s="10"/>
    </row>
    <row r="32" spans="1:10">
      <c r="B32" s="9"/>
      <c r="F32" s="9"/>
    </row>
    <row r="33" spans="6:6">
      <c r="F33" s="10"/>
    </row>
    <row r="34" spans="6:6">
      <c r="F34" s="9"/>
    </row>
    <row r="35" spans="6:6">
      <c r="F35" s="10"/>
    </row>
    <row r="36" spans="6:6">
      <c r="F36" s="9"/>
    </row>
    <row r="37" spans="6:6">
      <c r="F37" s="10"/>
    </row>
    <row r="38" spans="6:6">
      <c r="F38" s="9"/>
    </row>
    <row r="39" spans="6:6">
      <c r="F39" s="10"/>
    </row>
    <row r="40" spans="6:6">
      <c r="F40" s="9"/>
    </row>
    <row r="41" spans="6:6">
      <c r="F41" s="10"/>
    </row>
    <row r="42" spans="6:6">
      <c r="F42" s="9"/>
    </row>
    <row r="43" spans="6:6">
      <c r="F43" s="10"/>
    </row>
    <row r="44" spans="6:6">
      <c r="F44" s="9"/>
    </row>
    <row r="45" spans="6:6">
      <c r="F45" s="10"/>
    </row>
    <row r="46" spans="6:6">
      <c r="F46" s="9"/>
    </row>
    <row r="47" spans="6:6">
      <c r="F47" s="10"/>
    </row>
    <row r="48" spans="6:6">
      <c r="F48" s="9"/>
    </row>
    <row r="49" spans="6:6">
      <c r="F49" s="10"/>
    </row>
    <row r="50" spans="6:6">
      <c r="F50" s="9"/>
    </row>
    <row r="51" spans="6:6">
      <c r="F51" s="10"/>
    </row>
    <row r="52" spans="6:6">
      <c r="F52" s="9"/>
    </row>
    <row r="53" spans="6:6">
      <c r="F53" s="10"/>
    </row>
    <row r="54" spans="6:6">
      <c r="F54" s="9"/>
    </row>
    <row r="55" spans="6:6">
      <c r="F55" s="10"/>
    </row>
    <row r="56" spans="6:6">
      <c r="F56" s="9"/>
    </row>
    <row r="57" spans="6:6">
      <c r="F57" s="10"/>
    </row>
    <row r="58" spans="6:6">
      <c r="F58" s="9"/>
    </row>
    <row r="59" spans="6:6">
      <c r="F59" s="10"/>
    </row>
    <row r="60" spans="6:6">
      <c r="F60" s="9"/>
    </row>
    <row r="61" spans="6:6">
      <c r="F61" s="10"/>
    </row>
    <row r="62" spans="6:6">
      <c r="F62" s="9"/>
    </row>
    <row r="63" spans="6:6">
      <c r="F63" s="10"/>
    </row>
    <row r="64" spans="6:6">
      <c r="F64" s="9"/>
    </row>
    <row r="65" spans="6:6">
      <c r="F65" s="10"/>
    </row>
    <row r="66" spans="6:6">
      <c r="F66" s="9"/>
    </row>
    <row r="67" spans="6:6">
      <c r="F67" s="10"/>
    </row>
    <row r="68" spans="6:6">
      <c r="F68" s="9"/>
    </row>
    <row r="69" spans="6:6">
      <c r="F69" s="10"/>
    </row>
    <row r="70" spans="6:6">
      <c r="F70" s="9"/>
    </row>
    <row r="71" spans="6:6">
      <c r="F71" s="10"/>
    </row>
    <row r="72" spans="6:6">
      <c r="F72" s="9"/>
    </row>
    <row r="73" spans="6:6">
      <c r="F73" s="10"/>
    </row>
    <row r="74" spans="6:6">
      <c r="F74" s="9"/>
    </row>
    <row r="75" spans="6:6">
      <c r="F75" s="10"/>
    </row>
    <row r="76" spans="6:6">
      <c r="F76" s="9"/>
    </row>
    <row r="77" spans="6:6">
      <c r="F77" s="10"/>
    </row>
    <row r="78" spans="6:6">
      <c r="F78" s="9"/>
    </row>
    <row r="79" spans="6:6">
      <c r="F79" s="10"/>
    </row>
    <row r="80" spans="6:6">
      <c r="F80" s="9"/>
    </row>
    <row r="81" spans="6:6">
      <c r="F81" s="10"/>
    </row>
    <row r="82" spans="6:6">
      <c r="F82" s="9"/>
    </row>
    <row r="83" spans="6:6">
      <c r="F83" s="10"/>
    </row>
    <row r="84" spans="6:6">
      <c r="F84" s="9"/>
    </row>
    <row r="85" spans="6:6">
      <c r="F85" s="10"/>
    </row>
    <row r="86" spans="6:6">
      <c r="F86" s="9"/>
    </row>
    <row r="87" spans="6:6">
      <c r="F87" s="10"/>
    </row>
    <row r="88" spans="6:6">
      <c r="F88" s="9"/>
    </row>
    <row r="89" spans="6:6">
      <c r="F89" s="10"/>
    </row>
    <row r="90" spans="6:6">
      <c r="F90" s="9"/>
    </row>
    <row r="91" spans="6:6">
      <c r="F91" s="10"/>
    </row>
    <row r="92" spans="6:6">
      <c r="F92" s="9"/>
    </row>
    <row r="93" spans="6:6">
      <c r="F93" s="10"/>
    </row>
    <row r="94" spans="6:6">
      <c r="F94" s="9"/>
    </row>
    <row r="95" spans="6:6">
      <c r="F95" s="10"/>
    </row>
    <row r="96" spans="6:6">
      <c r="F96" s="9"/>
    </row>
    <row r="97" spans="6:6">
      <c r="F97" s="10"/>
    </row>
    <row r="98" spans="6:6">
      <c r="F98" s="9"/>
    </row>
    <row r="99" spans="6:6">
      <c r="F99" s="10"/>
    </row>
    <row r="100" spans="6:6">
      <c r="F100" s="9"/>
    </row>
    <row r="101" spans="6:6">
      <c r="F101" s="10"/>
    </row>
    <row r="102" spans="6:6">
      <c r="F102" s="9"/>
    </row>
    <row r="103" spans="6:6">
      <c r="F103" s="10"/>
    </row>
    <row r="104" spans="6:6">
      <c r="F104" s="9"/>
    </row>
    <row r="105" spans="6:6">
      <c r="F105" s="10"/>
    </row>
    <row r="106" spans="6:6">
      <c r="F106" s="9"/>
    </row>
    <row r="107" spans="6:6">
      <c r="F107" s="10"/>
    </row>
    <row r="108" spans="6:6">
      <c r="F108" s="9"/>
    </row>
    <row r="109" spans="6:6">
      <c r="F109" s="10"/>
    </row>
    <row r="110" spans="6:6">
      <c r="F110" s="9"/>
    </row>
    <row r="111" spans="6:6">
      <c r="F111" s="10"/>
    </row>
    <row r="112" spans="6:6">
      <c r="F112" s="9"/>
    </row>
    <row r="113" spans="6:6">
      <c r="F113" s="10"/>
    </row>
    <row r="114" spans="6:6">
      <c r="F114" s="9"/>
    </row>
    <row r="115" spans="6:6">
      <c r="F115" s="10"/>
    </row>
    <row r="116" spans="6:6">
      <c r="F116" s="9"/>
    </row>
    <row r="117" spans="6:6">
      <c r="F117" s="10"/>
    </row>
    <row r="118" spans="6:6">
      <c r="F118" s="9"/>
    </row>
    <row r="119" spans="6:6">
      <c r="F119" s="10"/>
    </row>
    <row r="120" spans="6:6">
      <c r="F120" s="9"/>
    </row>
    <row r="121" spans="6:6">
      <c r="F121" s="10"/>
    </row>
    <row r="122" spans="6:6">
      <c r="F122" s="9"/>
    </row>
    <row r="123" spans="6:6">
      <c r="F123" s="10"/>
    </row>
    <row r="124" spans="6:6">
      <c r="F124" s="9"/>
    </row>
    <row r="125" spans="6:6">
      <c r="F125" s="10"/>
    </row>
    <row r="126" spans="6:6">
      <c r="F126" s="9"/>
    </row>
    <row r="127" spans="6:6">
      <c r="F127" s="10"/>
    </row>
    <row r="128" spans="6:6">
      <c r="F128" s="9"/>
    </row>
    <row r="129" spans="6:6">
      <c r="F129" s="10"/>
    </row>
    <row r="130" spans="6:6">
      <c r="F130" s="9"/>
    </row>
    <row r="131" spans="6:6">
      <c r="F131" s="10"/>
    </row>
    <row r="132" spans="6:6">
      <c r="F132" s="9"/>
    </row>
    <row r="133" spans="6:6">
      <c r="F133" s="10"/>
    </row>
    <row r="134" spans="6:6">
      <c r="F134" s="9"/>
    </row>
    <row r="135" spans="6:6">
      <c r="F135" s="10"/>
    </row>
    <row r="136" spans="6:6">
      <c r="F136" s="9"/>
    </row>
    <row r="137" spans="6:6">
      <c r="F137" s="10"/>
    </row>
    <row r="138" spans="6:6">
      <c r="F138" s="9"/>
    </row>
    <row r="139" spans="6:6">
      <c r="F139" s="10"/>
    </row>
    <row r="140" spans="6:6">
      <c r="F140" s="9"/>
    </row>
    <row r="141" spans="6:6">
      <c r="F141" s="10"/>
    </row>
    <row r="142" spans="6:6">
      <c r="F142" s="9"/>
    </row>
    <row r="143" spans="6:6">
      <c r="F143" s="10"/>
    </row>
    <row r="144" spans="6:6">
      <c r="F144" s="9"/>
    </row>
    <row r="145" spans="6:6">
      <c r="F145" s="10"/>
    </row>
    <row r="146" spans="6:6">
      <c r="F146" s="9"/>
    </row>
    <row r="147" spans="6:6">
      <c r="F147" s="10"/>
    </row>
    <row r="148" spans="6:6">
      <c r="F148" s="9"/>
    </row>
    <row r="149" spans="6:6">
      <c r="F149" s="10"/>
    </row>
    <row r="150" spans="6:6">
      <c r="F150" s="9"/>
    </row>
    <row r="151" spans="6:6">
      <c r="F151" s="10"/>
    </row>
    <row r="152" spans="6:6">
      <c r="F152" s="9"/>
    </row>
    <row r="153" spans="6:6">
      <c r="F153" s="10"/>
    </row>
    <row r="154" spans="6:6">
      <c r="F154" s="9"/>
    </row>
    <row r="155" spans="6:6">
      <c r="F155" s="10"/>
    </row>
    <row r="156" spans="6:6">
      <c r="F156" s="9"/>
    </row>
    <row r="157" spans="6:6">
      <c r="F157" s="10"/>
    </row>
    <row r="158" spans="6:6">
      <c r="F158" s="9"/>
    </row>
    <row r="159" spans="6:6">
      <c r="F159" s="10"/>
    </row>
    <row r="160" spans="6:6">
      <c r="F160" s="9"/>
    </row>
    <row r="161" spans="6:6">
      <c r="F161" s="10"/>
    </row>
    <row r="162" spans="6:6">
      <c r="F162" s="9"/>
    </row>
    <row r="163" spans="6:6">
      <c r="F163" s="10"/>
    </row>
    <row r="164" spans="6:6">
      <c r="F164" s="9"/>
    </row>
    <row r="165" spans="6:6">
      <c r="F165" s="10"/>
    </row>
    <row r="166" spans="6:6">
      <c r="F166" s="9"/>
    </row>
    <row r="167" spans="6:6">
      <c r="F167" s="10"/>
    </row>
    <row r="168" spans="6:6">
      <c r="F168" s="9"/>
    </row>
    <row r="169" spans="6:6">
      <c r="F169" s="10"/>
    </row>
    <row r="170" spans="6:6">
      <c r="F170" s="9"/>
    </row>
    <row r="171" spans="6:6">
      <c r="F171" s="10"/>
    </row>
    <row r="172" spans="6:6">
      <c r="F172" s="9"/>
    </row>
    <row r="173" spans="6:6">
      <c r="F173" s="10"/>
    </row>
    <row r="174" spans="6:6">
      <c r="F174" s="9"/>
    </row>
    <row r="175" spans="6:6">
      <c r="F175" s="10"/>
    </row>
    <row r="176" spans="6:6">
      <c r="F176" s="9"/>
    </row>
    <row r="177" spans="6:6">
      <c r="F177" s="10"/>
    </row>
    <row r="178" spans="6:6">
      <c r="F178" s="9"/>
    </row>
    <row r="179" spans="6:6">
      <c r="F179" s="10"/>
    </row>
    <row r="180" spans="6:6">
      <c r="F180" s="9"/>
    </row>
    <row r="181" spans="6:6">
      <c r="F181" s="10"/>
    </row>
    <row r="182" spans="6:6">
      <c r="F182" s="9"/>
    </row>
    <row r="183" spans="6:6">
      <c r="F183" s="10"/>
    </row>
    <row r="184" spans="6:6">
      <c r="F184" s="9"/>
    </row>
    <row r="185" spans="6:6">
      <c r="F185" s="10"/>
    </row>
    <row r="186" spans="6:6">
      <c r="F186" s="9"/>
    </row>
    <row r="187" spans="6:6">
      <c r="F187" s="10"/>
    </row>
    <row r="188" spans="6:6">
      <c r="F188" s="9"/>
    </row>
    <row r="189" spans="6:6">
      <c r="F189" s="10"/>
    </row>
    <row r="190" spans="6:6">
      <c r="F190" s="9"/>
    </row>
    <row r="191" spans="6:6">
      <c r="F191" s="10"/>
    </row>
    <row r="192" spans="6:6">
      <c r="F192" s="9"/>
    </row>
    <row r="193" spans="6:6">
      <c r="F193" s="10"/>
    </row>
    <row r="194" spans="6:6">
      <c r="F194" s="9"/>
    </row>
    <row r="195" spans="6:6">
      <c r="F195" s="10"/>
    </row>
    <row r="196" spans="6:6">
      <c r="F196" s="9"/>
    </row>
    <row r="197" spans="6:6">
      <c r="F197" s="10"/>
    </row>
    <row r="198" spans="6:6">
      <c r="F198" s="9"/>
    </row>
    <row r="199" spans="6:6">
      <c r="F199" s="10"/>
    </row>
    <row r="200" spans="6:6">
      <c r="F200" s="9"/>
    </row>
    <row r="201" spans="6:6">
      <c r="F201" s="10"/>
    </row>
    <row r="202" spans="6:6">
      <c r="F202" s="9"/>
    </row>
    <row r="203" spans="6:6">
      <c r="F203" s="10"/>
    </row>
    <row r="204" spans="6:6">
      <c r="F204" s="9"/>
    </row>
    <row r="205" spans="6:6">
      <c r="F205" s="10"/>
    </row>
    <row r="206" spans="6:6">
      <c r="F206" s="9"/>
    </row>
    <row r="207" spans="6:6">
      <c r="F207" s="10"/>
    </row>
    <row r="208" spans="6:6">
      <c r="F208" s="9"/>
    </row>
    <row r="209" spans="6:6">
      <c r="F209" s="10"/>
    </row>
    <row r="210" spans="6:6">
      <c r="F210" s="9"/>
    </row>
    <row r="211" spans="6:6">
      <c r="F211" s="10"/>
    </row>
    <row r="212" spans="6:6">
      <c r="F212" s="9"/>
    </row>
    <row r="213" spans="6:6">
      <c r="F213" s="10"/>
    </row>
    <row r="214" spans="6:6">
      <c r="F214" s="9"/>
    </row>
    <row r="215" spans="6:6">
      <c r="F215" s="10"/>
    </row>
    <row r="216" spans="6:6">
      <c r="F216" s="9"/>
    </row>
    <row r="217" spans="6:6">
      <c r="F217" s="10"/>
    </row>
    <row r="218" spans="6:6">
      <c r="F218" s="9"/>
    </row>
    <row r="219" spans="6:6">
      <c r="F219" s="10"/>
    </row>
    <row r="220" spans="6:6">
      <c r="F220" s="10"/>
    </row>
    <row r="221" spans="6:6">
      <c r="F221" s="9"/>
    </row>
    <row r="222" spans="6:6">
      <c r="F222" s="10"/>
    </row>
    <row r="223" spans="6:6">
      <c r="F223" s="9"/>
    </row>
    <row r="224" spans="6:6">
      <c r="F224" s="10"/>
    </row>
    <row r="225" spans="6:6">
      <c r="F225" s="9"/>
    </row>
    <row r="226" spans="6:6">
      <c r="F226" s="10"/>
    </row>
    <row r="227" spans="6:6">
      <c r="F227" s="9"/>
    </row>
    <row r="228" spans="6:6">
      <c r="F228" s="10"/>
    </row>
    <row r="229" spans="6:6">
      <c r="F229" s="9"/>
    </row>
    <row r="230" spans="6:6">
      <c r="F230" s="10"/>
    </row>
    <row r="231" spans="6:6">
      <c r="F231" s="9"/>
    </row>
    <row r="232" spans="6:6">
      <c r="F232" s="10"/>
    </row>
    <row r="233" spans="6:6">
      <c r="F233" s="9"/>
    </row>
    <row r="234" spans="6:6">
      <c r="F234" s="10"/>
    </row>
    <row r="235" spans="6:6">
      <c r="F235" s="9"/>
    </row>
    <row r="236" spans="6:6">
      <c r="F236" s="10"/>
    </row>
    <row r="237" spans="6:6">
      <c r="F237" s="9"/>
    </row>
    <row r="238" spans="6:6">
      <c r="F238" s="9"/>
    </row>
    <row r="239" spans="6:6">
      <c r="F239" s="10"/>
    </row>
    <row r="240" spans="6:6">
      <c r="F240" s="9"/>
    </row>
    <row r="241" spans="6:6">
      <c r="F241" s="10"/>
    </row>
    <row r="242" spans="6:6">
      <c r="F242" s="9"/>
    </row>
    <row r="243" spans="6:6">
      <c r="F243" s="10"/>
    </row>
    <row r="244" spans="6:6">
      <c r="F244" s="9"/>
    </row>
    <row r="245" spans="6:6">
      <c r="F245" s="10"/>
    </row>
    <row r="246" spans="6:6">
      <c r="F246" s="9"/>
    </row>
    <row r="247" spans="6:6">
      <c r="F247" s="10"/>
    </row>
    <row r="248" spans="6:6">
      <c r="F248" s="9"/>
    </row>
    <row r="249" spans="6:6">
      <c r="F249" s="10"/>
    </row>
    <row r="250" spans="6:6">
      <c r="F250" s="9"/>
    </row>
    <row r="251" spans="6:6">
      <c r="F251" s="10"/>
    </row>
    <row r="252" spans="6:6">
      <c r="F252" s="9"/>
    </row>
    <row r="253" spans="6:6">
      <c r="F253" s="10"/>
    </row>
    <row r="254" spans="6:6">
      <c r="F254" s="9"/>
    </row>
    <row r="255" spans="6:6">
      <c r="F255" s="10"/>
    </row>
    <row r="256" spans="6:6">
      <c r="F256" s="9"/>
    </row>
    <row r="257" spans="6:6">
      <c r="F257" s="10"/>
    </row>
    <row r="258" spans="6:6">
      <c r="F258" s="9"/>
    </row>
    <row r="259" spans="6:6">
      <c r="F259" s="10"/>
    </row>
    <row r="260" spans="6:6">
      <c r="F260" s="9"/>
    </row>
    <row r="261" spans="6:6">
      <c r="F261" s="10"/>
    </row>
    <row r="262" spans="6:6">
      <c r="F262" s="9"/>
    </row>
    <row r="263" spans="6:6">
      <c r="F263" s="10"/>
    </row>
    <row r="264" spans="6:6">
      <c r="F264" s="9"/>
    </row>
    <row r="265" spans="6:6">
      <c r="F265" s="10"/>
    </row>
    <row r="266" spans="6:6">
      <c r="F266" s="9"/>
    </row>
    <row r="267" spans="6:6">
      <c r="F267" s="10"/>
    </row>
    <row r="268" spans="6:6">
      <c r="F268" s="9"/>
    </row>
    <row r="269" spans="6:6">
      <c r="F269" s="10"/>
    </row>
    <row r="270" spans="6:6">
      <c r="F270" s="9"/>
    </row>
    <row r="271" spans="6:6">
      <c r="F271" s="10"/>
    </row>
    <row r="272" spans="6:6">
      <c r="F272" s="9"/>
    </row>
    <row r="273" spans="6:6">
      <c r="F273" s="10"/>
    </row>
    <row r="274" spans="6:6">
      <c r="F274" s="9"/>
    </row>
    <row r="275" spans="6:6">
      <c r="F275" s="10"/>
    </row>
    <row r="276" spans="6:6">
      <c r="F276" s="9"/>
    </row>
    <row r="277" spans="6:6">
      <c r="F277" s="10"/>
    </row>
    <row r="278" spans="6:6">
      <c r="F278" s="9"/>
    </row>
    <row r="279" spans="6:6">
      <c r="F279" s="10"/>
    </row>
    <row r="280" spans="6:6">
      <c r="F280" s="9"/>
    </row>
    <row r="281" spans="6:6">
      <c r="F281" s="10"/>
    </row>
    <row r="282" spans="6:6">
      <c r="F282" s="9"/>
    </row>
    <row r="283" spans="6:6">
      <c r="F283" s="10"/>
    </row>
    <row r="284" spans="6:6">
      <c r="F284" s="9"/>
    </row>
    <row r="285" spans="6:6">
      <c r="F285" s="10"/>
    </row>
    <row r="286" spans="6:6">
      <c r="F286" s="9"/>
    </row>
    <row r="287" spans="6:6">
      <c r="F287" s="10"/>
    </row>
    <row r="288" spans="6:6">
      <c r="F288" s="9"/>
    </row>
    <row r="289" spans="6:6">
      <c r="F289" s="10"/>
    </row>
    <row r="290" spans="6:6">
      <c r="F290" s="9"/>
    </row>
    <row r="291" spans="6:6">
      <c r="F291" s="10"/>
    </row>
    <row r="292" spans="6:6">
      <c r="F292" s="9"/>
    </row>
    <row r="293" spans="6:6">
      <c r="F293" s="10"/>
    </row>
    <row r="294" spans="6:6">
      <c r="F294" s="9"/>
    </row>
    <row r="295" spans="6:6">
      <c r="F295" s="10"/>
    </row>
    <row r="296" spans="6:6">
      <c r="F296" s="9"/>
    </row>
    <row r="297" spans="6:6">
      <c r="F297" s="10"/>
    </row>
    <row r="298" spans="6:6">
      <c r="F298" s="9"/>
    </row>
    <row r="299" spans="6:6">
      <c r="F299" s="10"/>
    </row>
    <row r="300" spans="6:6">
      <c r="F300" s="9"/>
    </row>
    <row r="301" spans="6:6">
      <c r="F301" s="10"/>
    </row>
    <row r="302" spans="6:6">
      <c r="F302" s="9"/>
    </row>
    <row r="303" spans="6:6">
      <c r="F303" s="10"/>
    </row>
    <row r="304" spans="6:6">
      <c r="F304" s="9"/>
    </row>
    <row r="305" spans="6:6">
      <c r="F305" s="10"/>
    </row>
    <row r="306" spans="6:6">
      <c r="F306" s="9"/>
    </row>
    <row r="307" spans="6:6">
      <c r="F307" s="10"/>
    </row>
    <row r="308" spans="6:6">
      <c r="F308" s="9"/>
    </row>
    <row r="309" spans="6:6">
      <c r="F309" s="10"/>
    </row>
    <row r="310" spans="6:6">
      <c r="F310" s="9"/>
    </row>
    <row r="311" spans="6:6">
      <c r="F311" s="10"/>
    </row>
    <row r="312" spans="6:6">
      <c r="F312" s="9"/>
    </row>
    <row r="313" spans="6:6">
      <c r="F313" s="10"/>
    </row>
    <row r="314" spans="6:6">
      <c r="F314" s="9"/>
    </row>
    <row r="315" spans="6:6">
      <c r="F315" s="10"/>
    </row>
    <row r="316" spans="6:6">
      <c r="F316" s="9"/>
    </row>
    <row r="317" spans="6:6">
      <c r="F317" s="10"/>
    </row>
    <row r="318" spans="6:6">
      <c r="F318" s="9"/>
    </row>
    <row r="319" spans="6:6">
      <c r="F319" s="10"/>
    </row>
    <row r="320" spans="6:6">
      <c r="F320" s="9"/>
    </row>
    <row r="321" spans="6:6">
      <c r="F321" s="10"/>
    </row>
    <row r="322" spans="6:6">
      <c r="F322" s="9"/>
    </row>
    <row r="323" spans="6:6">
      <c r="F323" s="10"/>
    </row>
    <row r="324" spans="6:6">
      <c r="F324" s="9"/>
    </row>
    <row r="325" spans="6:6">
      <c r="F325" s="10"/>
    </row>
    <row r="326" spans="6:6">
      <c r="F326" s="9"/>
    </row>
    <row r="327" spans="6:6">
      <c r="F327" s="10"/>
    </row>
    <row r="328" spans="6:6">
      <c r="F328" s="9"/>
    </row>
    <row r="329" spans="6:6">
      <c r="F329" s="10"/>
    </row>
    <row r="330" spans="6:6">
      <c r="F330" s="9"/>
    </row>
    <row r="331" spans="6:6">
      <c r="F331" s="10"/>
    </row>
    <row r="332" spans="6:6">
      <c r="F332" s="9"/>
    </row>
    <row r="333" spans="6:6">
      <c r="F333" s="10"/>
    </row>
    <row r="334" spans="6:6">
      <c r="F334" s="9"/>
    </row>
    <row r="335" spans="6:6">
      <c r="F335" s="10"/>
    </row>
    <row r="336" spans="6:6">
      <c r="F336" s="9"/>
    </row>
    <row r="337" spans="6:6">
      <c r="F337" s="10"/>
    </row>
    <row r="338" spans="6:6">
      <c r="F338" s="9"/>
    </row>
    <row r="339" spans="6:6">
      <c r="F339" s="10"/>
    </row>
    <row r="340" spans="6:6">
      <c r="F340" s="9"/>
    </row>
    <row r="341" spans="6:6">
      <c r="F341" s="10"/>
    </row>
    <row r="342" spans="6:6">
      <c r="F342" s="9"/>
    </row>
    <row r="343" spans="6:6">
      <c r="F343" s="10"/>
    </row>
    <row r="344" spans="6:6">
      <c r="F344" s="9"/>
    </row>
    <row r="345" spans="6:6">
      <c r="F345" s="10"/>
    </row>
    <row r="346" spans="6:6">
      <c r="F346" s="9"/>
    </row>
    <row r="347" spans="6:6">
      <c r="F347" s="10"/>
    </row>
    <row r="348" spans="6:6">
      <c r="F348" s="9"/>
    </row>
    <row r="349" spans="6:6">
      <c r="F349" s="10"/>
    </row>
    <row r="350" spans="6:6">
      <c r="F350" s="9"/>
    </row>
    <row r="351" spans="6:6">
      <c r="F351" s="10"/>
    </row>
    <row r="352" spans="6:6">
      <c r="F352" s="9"/>
    </row>
    <row r="353" spans="6:6">
      <c r="F353" s="10"/>
    </row>
    <row r="354" spans="6:6">
      <c r="F354" s="9"/>
    </row>
    <row r="355" spans="6:6">
      <c r="F355" s="10"/>
    </row>
    <row r="356" spans="6:6">
      <c r="F356" s="9"/>
    </row>
    <row r="357" spans="6:6">
      <c r="F357" s="10"/>
    </row>
    <row r="358" spans="6:6">
      <c r="F358" s="9"/>
    </row>
    <row r="359" spans="6:6">
      <c r="F359" s="10"/>
    </row>
    <row r="360" spans="6:6">
      <c r="F360" s="9"/>
    </row>
    <row r="361" spans="6:6">
      <c r="F361" s="10"/>
    </row>
    <row r="362" spans="6:6">
      <c r="F362" s="9"/>
    </row>
    <row r="363" spans="6:6">
      <c r="F363" s="10"/>
    </row>
    <row r="364" spans="6:6">
      <c r="F364" s="9"/>
    </row>
    <row r="365" spans="6:6">
      <c r="F365" s="10"/>
    </row>
    <row r="366" spans="6:6">
      <c r="F366" s="9"/>
    </row>
    <row r="367" spans="6:6">
      <c r="F367" s="10"/>
    </row>
    <row r="368" spans="6:6">
      <c r="F368" s="10"/>
    </row>
    <row r="369" spans="6:6">
      <c r="F369" s="9"/>
    </row>
    <row r="370" spans="6:6">
      <c r="F370" s="10"/>
    </row>
    <row r="371" spans="6:6">
      <c r="F371" s="9"/>
    </row>
    <row r="372" spans="6:6">
      <c r="F372" s="10"/>
    </row>
    <row r="373" spans="6:6">
      <c r="F373" s="9"/>
    </row>
    <row r="374" spans="6:6">
      <c r="F374" s="9"/>
    </row>
    <row r="375" spans="6:6">
      <c r="F375" s="10"/>
    </row>
    <row r="376" spans="6:6">
      <c r="F376" s="10"/>
    </row>
    <row r="377" spans="6:6">
      <c r="F377" s="9"/>
    </row>
    <row r="378" spans="6:6">
      <c r="F378" s="10"/>
    </row>
    <row r="379" spans="6:6">
      <c r="F379" s="10"/>
    </row>
    <row r="380" spans="6:6">
      <c r="F380" s="9"/>
    </row>
    <row r="381" spans="6:6">
      <c r="F381" s="10"/>
    </row>
    <row r="382" spans="6:6">
      <c r="F382" s="9"/>
    </row>
    <row r="383" spans="6:6">
      <c r="F383" s="10"/>
    </row>
    <row r="384" spans="6:6">
      <c r="F384" s="9"/>
    </row>
    <row r="385" spans="6:6">
      <c r="F385" s="10"/>
    </row>
    <row r="386" spans="6:6">
      <c r="F386" s="9"/>
    </row>
    <row r="387" spans="6:6">
      <c r="F387" s="10"/>
    </row>
    <row r="388" spans="6:6">
      <c r="F388" s="9"/>
    </row>
    <row r="389" spans="6:6">
      <c r="F389" s="10"/>
    </row>
    <row r="390" spans="6:6">
      <c r="F390" s="9"/>
    </row>
    <row r="391" spans="6:6">
      <c r="F391" s="10"/>
    </row>
    <row r="392" spans="6:6">
      <c r="F392" s="9"/>
    </row>
    <row r="393" spans="6:6">
      <c r="F393" s="10"/>
    </row>
    <row r="394" spans="6:6">
      <c r="F394" s="9"/>
    </row>
    <row r="395" spans="6:6">
      <c r="F395" s="10"/>
    </row>
    <row r="396" spans="6:6">
      <c r="F396" s="9"/>
    </row>
    <row r="397" spans="6:6">
      <c r="F397" s="10"/>
    </row>
    <row r="398" spans="6:6">
      <c r="F398" s="9"/>
    </row>
    <row r="399" spans="6:6">
      <c r="F399" s="10"/>
    </row>
    <row r="400" spans="6:6">
      <c r="F400" s="9"/>
    </row>
    <row r="401" spans="6:6">
      <c r="F401" s="10"/>
    </row>
    <row r="402" spans="6:6">
      <c r="F402" s="9"/>
    </row>
    <row r="403" spans="6:6">
      <c r="F403" s="10"/>
    </row>
    <row r="404" spans="6:6">
      <c r="F404" s="9"/>
    </row>
    <row r="405" spans="6:6">
      <c r="F405" s="10"/>
    </row>
    <row r="406" spans="6:6">
      <c r="F406" s="9"/>
    </row>
    <row r="407" spans="6:6">
      <c r="F407" s="9"/>
    </row>
    <row r="408" spans="6:6">
      <c r="F408" s="10"/>
    </row>
    <row r="409" spans="6:6">
      <c r="F409" s="9"/>
    </row>
    <row r="410" spans="6:6">
      <c r="F410" s="10"/>
    </row>
    <row r="411" spans="6:6">
      <c r="F411" s="9"/>
    </row>
    <row r="412" spans="6:6">
      <c r="F412" s="10"/>
    </row>
    <row r="413" spans="6:6">
      <c r="F413" s="9"/>
    </row>
    <row r="414" spans="6:6">
      <c r="F414" s="10"/>
    </row>
    <row r="415" spans="6:6">
      <c r="F415" s="9"/>
    </row>
    <row r="416" spans="6:6">
      <c r="F416" s="10"/>
    </row>
    <row r="417" spans="6:6">
      <c r="F417" s="9"/>
    </row>
    <row r="418" spans="6:6">
      <c r="F418" s="10"/>
    </row>
    <row r="419" spans="6:6">
      <c r="F419" s="9"/>
    </row>
    <row r="420" spans="6:6">
      <c r="F420" s="10"/>
    </row>
    <row r="421" spans="6:6">
      <c r="F421" s="9"/>
    </row>
    <row r="422" spans="6:6">
      <c r="F422" s="10"/>
    </row>
    <row r="423" spans="6:6">
      <c r="F423" s="9"/>
    </row>
    <row r="424" spans="6:6">
      <c r="F424" s="10"/>
    </row>
    <row r="425" spans="6:6">
      <c r="F425" s="9"/>
    </row>
    <row r="426" spans="6:6">
      <c r="F426" s="9"/>
    </row>
    <row r="427" spans="6:6">
      <c r="F427" s="10"/>
    </row>
    <row r="428" spans="6:6">
      <c r="F428" s="9"/>
    </row>
    <row r="429" spans="6:6">
      <c r="F429" s="10"/>
    </row>
    <row r="430" spans="6:6">
      <c r="F430" s="9"/>
    </row>
    <row r="431" spans="6:6">
      <c r="F431" s="10"/>
    </row>
    <row r="432" spans="6:6">
      <c r="F432" s="9"/>
    </row>
    <row r="433" spans="6:6">
      <c r="F433" s="10"/>
    </row>
    <row r="434" spans="6:6">
      <c r="F434" s="9"/>
    </row>
    <row r="435" spans="6:6">
      <c r="F435" s="10"/>
    </row>
    <row r="436" spans="6:6">
      <c r="F436" s="9"/>
    </row>
    <row r="437" spans="6:6">
      <c r="F437" s="10"/>
    </row>
    <row r="438" spans="6:6">
      <c r="F438" s="9"/>
    </row>
    <row r="439" spans="6:6">
      <c r="F439" s="10"/>
    </row>
    <row r="440" spans="6:6">
      <c r="F440" s="9"/>
    </row>
    <row r="441" spans="6:6">
      <c r="F441" s="10"/>
    </row>
    <row r="442" spans="6:6">
      <c r="F442" s="9"/>
    </row>
    <row r="443" spans="6:6">
      <c r="F443" s="10"/>
    </row>
    <row r="444" spans="6:6">
      <c r="F444" s="9"/>
    </row>
    <row r="445" spans="6:6">
      <c r="F445" s="9"/>
    </row>
    <row r="446" spans="6:6">
      <c r="F446" s="10"/>
    </row>
    <row r="447" spans="6:6">
      <c r="F447" s="9"/>
    </row>
    <row r="448" spans="6:6">
      <c r="F448" s="10"/>
    </row>
    <row r="449" spans="6:6">
      <c r="F449" s="9"/>
    </row>
    <row r="450" spans="6:6">
      <c r="F450" s="10"/>
    </row>
    <row r="451" spans="6:6">
      <c r="F451" s="9"/>
    </row>
    <row r="452" spans="6:6">
      <c r="F452" s="10"/>
    </row>
    <row r="453" spans="6:6">
      <c r="F453" s="9"/>
    </row>
    <row r="454" spans="6:6">
      <c r="F454" s="10"/>
    </row>
    <row r="455" spans="6:6">
      <c r="F455" s="9"/>
    </row>
    <row r="456" spans="6:6">
      <c r="F456" s="10"/>
    </row>
    <row r="457" spans="6:6">
      <c r="F457" s="9"/>
    </row>
    <row r="458" spans="6:6">
      <c r="F458" s="10"/>
    </row>
    <row r="459" spans="6:6">
      <c r="F459" s="9"/>
    </row>
    <row r="460" spans="6:6">
      <c r="F460" s="10"/>
    </row>
    <row r="461" spans="6:6">
      <c r="F461" s="9"/>
    </row>
    <row r="462" spans="6:6">
      <c r="F462" s="10"/>
    </row>
    <row r="463" spans="6:6">
      <c r="F463" s="9"/>
    </row>
    <row r="464" spans="6:6">
      <c r="F464" s="10"/>
    </row>
    <row r="465" spans="6:6">
      <c r="F465" s="9"/>
    </row>
    <row r="466" spans="6:6">
      <c r="F466" s="10"/>
    </row>
    <row r="467" spans="6:6">
      <c r="F467" s="9"/>
    </row>
    <row r="468" spans="6:6">
      <c r="F468" s="10"/>
    </row>
    <row r="469" spans="6:6">
      <c r="F469" s="9"/>
    </row>
    <row r="470" spans="6:6">
      <c r="F470" s="10"/>
    </row>
    <row r="471" spans="6:6">
      <c r="F471" s="9"/>
    </row>
    <row r="472" spans="6:6">
      <c r="F472" s="10"/>
    </row>
    <row r="473" spans="6:6">
      <c r="F473" s="9"/>
    </row>
    <row r="474" spans="6:6">
      <c r="F474" s="10"/>
    </row>
    <row r="475" spans="6:6">
      <c r="F475" s="9"/>
    </row>
    <row r="476" spans="6:6">
      <c r="F476" s="10"/>
    </row>
    <row r="477" spans="6:6">
      <c r="F477" s="9"/>
    </row>
    <row r="478" spans="6:6">
      <c r="F478" s="9"/>
    </row>
    <row r="479" spans="6:6">
      <c r="F479" s="10"/>
    </row>
    <row r="480" spans="6:6">
      <c r="F480" s="9"/>
    </row>
    <row r="481" spans="6:6">
      <c r="F481" s="10"/>
    </row>
    <row r="482" spans="6:6">
      <c r="F482" s="9"/>
    </row>
    <row r="483" spans="6:6">
      <c r="F483" s="10"/>
    </row>
    <row r="484" spans="6:6">
      <c r="F484" s="9"/>
    </row>
    <row r="485" spans="6:6">
      <c r="F485" s="10"/>
    </row>
    <row r="486" spans="6:6">
      <c r="F486" s="10"/>
    </row>
    <row r="487" spans="6:6">
      <c r="F487" s="9"/>
    </row>
    <row r="488" spans="6:6">
      <c r="F488" s="10"/>
    </row>
    <row r="489" spans="6:6">
      <c r="F489" s="9"/>
    </row>
    <row r="490" spans="6:6">
      <c r="F490" s="10"/>
    </row>
    <row r="491" spans="6:6">
      <c r="F491" s="9"/>
    </row>
    <row r="492" spans="6:6">
      <c r="F492" s="10"/>
    </row>
    <row r="493" spans="6:6">
      <c r="F493" s="9"/>
    </row>
    <row r="494" spans="6:6">
      <c r="F494" s="10"/>
    </row>
    <row r="495" spans="6:6">
      <c r="F495" s="9"/>
    </row>
    <row r="496" spans="6:6">
      <c r="F496" s="10"/>
    </row>
    <row r="497" spans="6:6">
      <c r="F497" s="9"/>
    </row>
    <row r="498" spans="6:6">
      <c r="F498" s="10"/>
    </row>
    <row r="499" spans="6:6">
      <c r="F499" s="9"/>
    </row>
    <row r="500" spans="6:6">
      <c r="F500" s="10"/>
    </row>
    <row r="501" spans="6:6">
      <c r="F501" s="9"/>
    </row>
    <row r="502" spans="6:6">
      <c r="F502" s="10"/>
    </row>
    <row r="503" spans="6:6">
      <c r="F503" s="9"/>
    </row>
    <row r="504" spans="6:6">
      <c r="F504" s="10"/>
    </row>
    <row r="505" spans="6:6">
      <c r="F505" s="9"/>
    </row>
    <row r="506" spans="6:6">
      <c r="F506" s="10"/>
    </row>
    <row r="507" spans="6:6">
      <c r="F507" s="9"/>
    </row>
    <row r="508" spans="6:6">
      <c r="F508" s="10"/>
    </row>
    <row r="509" spans="6:6">
      <c r="F509" s="9"/>
    </row>
    <row r="510" spans="6:6">
      <c r="F510" s="9"/>
    </row>
    <row r="511" spans="6:6">
      <c r="F511" s="10"/>
    </row>
    <row r="512" spans="6:6">
      <c r="F512" s="10"/>
    </row>
    <row r="513" spans="6:6">
      <c r="F513" s="9"/>
    </row>
    <row r="514" spans="6:6">
      <c r="F514" s="10"/>
    </row>
    <row r="515" spans="6:6">
      <c r="F515" s="9"/>
    </row>
    <row r="516" spans="6:6">
      <c r="F516" s="10"/>
    </row>
    <row r="517" spans="6:6">
      <c r="F517" s="9"/>
    </row>
    <row r="518" spans="6:6">
      <c r="F518" s="9"/>
    </row>
    <row r="519" spans="6:6">
      <c r="F519" s="10"/>
    </row>
    <row r="520" spans="6:6">
      <c r="F520" s="9"/>
    </row>
    <row r="521" spans="6:6">
      <c r="F521" s="10"/>
    </row>
    <row r="522" spans="6:6">
      <c r="F522" s="9"/>
    </row>
    <row r="523" spans="6:6">
      <c r="F523" s="10"/>
    </row>
    <row r="524" spans="6:6">
      <c r="F524" s="9"/>
    </row>
    <row r="525" spans="6:6">
      <c r="F525" s="10"/>
    </row>
    <row r="526" spans="6:6">
      <c r="F526" s="9"/>
    </row>
    <row r="527" spans="6:6">
      <c r="F527" s="10"/>
    </row>
    <row r="528" spans="6:6">
      <c r="F528" s="9"/>
    </row>
    <row r="529" spans="6:6">
      <c r="F529" s="10"/>
    </row>
    <row r="530" spans="6:6">
      <c r="F530" s="9"/>
    </row>
    <row r="531" spans="6:6">
      <c r="F531" s="10"/>
    </row>
    <row r="532" spans="6:6">
      <c r="F532" s="9"/>
    </row>
    <row r="533" spans="6:6">
      <c r="F533" s="10"/>
    </row>
    <row r="534" spans="6:6">
      <c r="F534" s="9"/>
    </row>
    <row r="535" spans="6:6">
      <c r="F535" s="10"/>
    </row>
    <row r="536" spans="6:6">
      <c r="F536" s="9"/>
    </row>
    <row r="537" spans="6:6">
      <c r="F537" s="10"/>
    </row>
    <row r="538" spans="6:6">
      <c r="F538" s="9"/>
    </row>
    <row r="539" spans="6:6">
      <c r="F539" s="10"/>
    </row>
    <row r="540" spans="6:6">
      <c r="F540" s="9"/>
    </row>
    <row r="541" spans="6:6">
      <c r="F541" s="10"/>
    </row>
    <row r="542" spans="6:6">
      <c r="F542" s="9"/>
    </row>
    <row r="543" spans="6:6">
      <c r="F543" s="10"/>
    </row>
    <row r="544" spans="6:6">
      <c r="F544" s="9"/>
    </row>
    <row r="545" spans="6:6">
      <c r="F545" s="10"/>
    </row>
    <row r="546" spans="6:6">
      <c r="F546" s="9"/>
    </row>
    <row r="547" spans="6:6">
      <c r="F547" s="10"/>
    </row>
    <row r="548" spans="6:6">
      <c r="F548" s="9"/>
    </row>
    <row r="549" spans="6:6">
      <c r="F549" s="10"/>
    </row>
    <row r="550" spans="6:6">
      <c r="F550" s="9"/>
    </row>
    <row r="551" spans="6:6">
      <c r="F551" s="10"/>
    </row>
    <row r="552" spans="6:6">
      <c r="F552" s="9"/>
    </row>
    <row r="553" spans="6:6">
      <c r="F553" s="10"/>
    </row>
    <row r="554" spans="6:6">
      <c r="F554" s="9"/>
    </row>
    <row r="555" spans="6:6">
      <c r="F555" s="10"/>
    </row>
    <row r="556" spans="6:6">
      <c r="F556" s="9"/>
    </row>
    <row r="557" spans="6:6">
      <c r="F557" s="10"/>
    </row>
    <row r="558" spans="6:6">
      <c r="F558" s="9"/>
    </row>
    <row r="559" spans="6:6">
      <c r="F559" s="10"/>
    </row>
    <row r="560" spans="6:6">
      <c r="F560" s="9"/>
    </row>
    <row r="561" spans="6:6">
      <c r="F561" s="10"/>
    </row>
    <row r="562" spans="6:6">
      <c r="F562" s="9"/>
    </row>
    <row r="563" spans="6:6">
      <c r="F563" s="10"/>
    </row>
    <row r="564" spans="6:6">
      <c r="F564" s="9"/>
    </row>
    <row r="565" spans="6:6">
      <c r="F565" s="10"/>
    </row>
    <row r="566" spans="6:6">
      <c r="F566" s="9"/>
    </row>
    <row r="567" spans="6:6">
      <c r="F567" s="10"/>
    </row>
    <row r="568" spans="6:6">
      <c r="F568" s="9"/>
    </row>
    <row r="569" spans="6:6">
      <c r="F569" s="10"/>
    </row>
    <row r="570" spans="6:6">
      <c r="F570" s="9"/>
    </row>
    <row r="571" spans="6:6">
      <c r="F571" s="10"/>
    </row>
    <row r="572" spans="6:6">
      <c r="F572" s="9"/>
    </row>
    <row r="573" spans="6:6">
      <c r="F573" s="10"/>
    </row>
    <row r="574" spans="6:6">
      <c r="F574" s="9"/>
    </row>
    <row r="575" spans="6:6">
      <c r="F575" s="10"/>
    </row>
    <row r="576" spans="6:6">
      <c r="F576" s="9"/>
    </row>
    <row r="577" spans="6:6">
      <c r="F577" s="10"/>
    </row>
    <row r="578" spans="6:6">
      <c r="F578" s="9"/>
    </row>
    <row r="579" spans="6:6">
      <c r="F579" s="10"/>
    </row>
    <row r="580" spans="6:6">
      <c r="F580" s="9"/>
    </row>
    <row r="581" spans="6:6">
      <c r="F581" s="10"/>
    </row>
    <row r="582" spans="6:6">
      <c r="F582" s="9"/>
    </row>
    <row r="583" spans="6:6">
      <c r="F583" s="10"/>
    </row>
    <row r="584" spans="6:6">
      <c r="F584" s="9"/>
    </row>
    <row r="585" spans="6:6">
      <c r="F585" s="10"/>
    </row>
    <row r="586" spans="6:6">
      <c r="F586" s="9"/>
    </row>
    <row r="587" spans="6:6">
      <c r="F587" s="10"/>
    </row>
    <row r="588" spans="6:6">
      <c r="F588" s="10"/>
    </row>
    <row r="589" spans="6:6">
      <c r="F589" s="9"/>
    </row>
    <row r="590" spans="6:6">
      <c r="F590" s="10"/>
    </row>
    <row r="591" spans="6:6">
      <c r="F591" s="9"/>
    </row>
    <row r="592" spans="6:6">
      <c r="F592" s="9"/>
    </row>
    <row r="593" spans="6:6">
      <c r="F593" s="10"/>
    </row>
    <row r="594" spans="6:6">
      <c r="F594" s="9"/>
    </row>
    <row r="595" spans="6:6">
      <c r="F595" s="10"/>
    </row>
    <row r="596" spans="6:6">
      <c r="F596" s="9"/>
    </row>
    <row r="597" spans="6:6">
      <c r="F597" s="9"/>
    </row>
    <row r="598" spans="6:6">
      <c r="F598" s="10"/>
    </row>
    <row r="599" spans="6:6">
      <c r="F599" s="9"/>
    </row>
    <row r="600" spans="6:6">
      <c r="F600" s="9"/>
    </row>
    <row r="601" spans="6:6">
      <c r="F601" s="10"/>
    </row>
    <row r="602" spans="6:6">
      <c r="F602" s="9"/>
    </row>
    <row r="603" spans="6:6">
      <c r="F603" s="10"/>
    </row>
    <row r="604" spans="6:6">
      <c r="F604" s="10"/>
    </row>
    <row r="605" spans="6:6">
      <c r="F605" s="10"/>
    </row>
    <row r="606" spans="6:6">
      <c r="F606" s="9"/>
    </row>
    <row r="607" spans="6:6">
      <c r="F607" s="10"/>
    </row>
    <row r="608" spans="6:6">
      <c r="F608" s="9"/>
    </row>
    <row r="609" spans="6:6">
      <c r="F609" s="9"/>
    </row>
    <row r="610" spans="6:6">
      <c r="F610" s="10"/>
    </row>
    <row r="611" spans="6:6">
      <c r="F611" s="9"/>
    </row>
    <row r="612" spans="6:6">
      <c r="F612" s="10"/>
    </row>
    <row r="613" spans="6:6">
      <c r="F613" s="9"/>
    </row>
    <row r="614" spans="6:6">
      <c r="F614" s="10"/>
    </row>
    <row r="615" spans="6:6">
      <c r="F615" s="10"/>
    </row>
    <row r="616" spans="6:6">
      <c r="F616" s="9"/>
    </row>
    <row r="617" spans="6:6">
      <c r="F617" s="10"/>
    </row>
    <row r="618" spans="6:6">
      <c r="F618" s="9"/>
    </row>
    <row r="619" spans="6:6">
      <c r="F619" s="10"/>
    </row>
    <row r="620" spans="6:6">
      <c r="F620" s="9"/>
    </row>
    <row r="621" spans="6:6">
      <c r="F621" s="10"/>
    </row>
    <row r="622" spans="6:6">
      <c r="F622" s="9"/>
    </row>
    <row r="623" spans="6:6">
      <c r="F623" s="10"/>
    </row>
    <row r="624" spans="6:6">
      <c r="F624" s="9"/>
    </row>
    <row r="625" spans="6:6">
      <c r="F625" s="10"/>
    </row>
    <row r="626" spans="6:6">
      <c r="F626" s="9"/>
    </row>
    <row r="627" spans="6:6">
      <c r="F627" s="10"/>
    </row>
    <row r="628" spans="6:6">
      <c r="F628" s="9"/>
    </row>
    <row r="629" spans="6:6">
      <c r="F629" s="10"/>
    </row>
    <row r="630" spans="6:6">
      <c r="F630" s="10"/>
    </row>
    <row r="631" spans="6:6">
      <c r="F631" s="9"/>
    </row>
    <row r="632" spans="6:6">
      <c r="F632" s="10"/>
    </row>
    <row r="633" spans="6:6">
      <c r="F633" s="9"/>
    </row>
    <row r="634" spans="6:6">
      <c r="F634" s="10"/>
    </row>
    <row r="635" spans="6:6">
      <c r="F635" s="9"/>
    </row>
    <row r="636" spans="6:6">
      <c r="F636" s="10"/>
    </row>
    <row r="637" spans="6:6">
      <c r="F637" s="9"/>
    </row>
    <row r="638" spans="6:6">
      <c r="F638" s="10"/>
    </row>
    <row r="639" spans="6:6">
      <c r="F639" s="9"/>
    </row>
    <row r="640" spans="6:6">
      <c r="F640" s="10"/>
    </row>
    <row r="641" spans="6:6">
      <c r="F641" s="9"/>
    </row>
    <row r="642" spans="6:6">
      <c r="F642" s="10"/>
    </row>
    <row r="643" spans="6:6">
      <c r="F643" s="9"/>
    </row>
    <row r="644" spans="6:6">
      <c r="F644" s="10"/>
    </row>
    <row r="645" spans="6:6">
      <c r="F645" s="9"/>
    </row>
    <row r="646" spans="6:6">
      <c r="F646" s="10"/>
    </row>
    <row r="647" spans="6:6">
      <c r="F647" s="9"/>
    </row>
    <row r="648" spans="6:6">
      <c r="F648" s="10"/>
    </row>
    <row r="649" spans="6:6">
      <c r="F649" s="9"/>
    </row>
    <row r="650" spans="6:6">
      <c r="F650" s="10"/>
    </row>
    <row r="651" spans="6:6">
      <c r="F651" s="9"/>
    </row>
    <row r="652" spans="6:6">
      <c r="F652" s="10"/>
    </row>
    <row r="653" spans="6:6">
      <c r="F653" s="9"/>
    </row>
    <row r="654" spans="6:6">
      <c r="F654" s="10"/>
    </row>
    <row r="655" spans="6:6">
      <c r="F655" s="9"/>
    </row>
    <row r="656" spans="6:6">
      <c r="F656" s="10"/>
    </row>
    <row r="657" spans="6:6">
      <c r="F657" s="9"/>
    </row>
    <row r="658" spans="6:6">
      <c r="F658" s="10"/>
    </row>
    <row r="659" spans="6:6">
      <c r="F659" s="9"/>
    </row>
    <row r="660" spans="6:6">
      <c r="F660" s="10"/>
    </row>
    <row r="661" spans="6:6">
      <c r="F661" s="9"/>
    </row>
    <row r="662" spans="6:6">
      <c r="F662" s="10"/>
    </row>
    <row r="663" spans="6:6">
      <c r="F663" s="9"/>
    </row>
    <row r="664" spans="6:6">
      <c r="F664" s="10"/>
    </row>
    <row r="665" spans="6:6">
      <c r="F665" s="9"/>
    </row>
    <row r="666" spans="6:6">
      <c r="F666" s="10"/>
    </row>
    <row r="667" spans="6:6">
      <c r="F667" s="9"/>
    </row>
    <row r="668" spans="6:6">
      <c r="F668" s="10"/>
    </row>
    <row r="669" spans="6:6">
      <c r="F669" s="9"/>
    </row>
    <row r="670" spans="6:6">
      <c r="F670" s="10"/>
    </row>
    <row r="671" spans="6:6">
      <c r="F671" s="9"/>
    </row>
    <row r="672" spans="6:6">
      <c r="F672" s="10"/>
    </row>
    <row r="673" spans="6:6">
      <c r="F673" s="9"/>
    </row>
    <row r="674" spans="6:6">
      <c r="F674" s="10"/>
    </row>
    <row r="675" spans="6:6">
      <c r="F675" s="9"/>
    </row>
    <row r="676" spans="6:6">
      <c r="F676" s="10"/>
    </row>
    <row r="677" spans="6:6">
      <c r="F677" s="9"/>
    </row>
    <row r="678" spans="6:6">
      <c r="F678" s="10"/>
    </row>
    <row r="679" spans="6:6">
      <c r="F679" s="9"/>
    </row>
    <row r="680" spans="6:6">
      <c r="F680" s="10"/>
    </row>
    <row r="681" spans="6:6">
      <c r="F681" s="9"/>
    </row>
    <row r="682" spans="6:6">
      <c r="F682" s="10"/>
    </row>
    <row r="683" spans="6:6">
      <c r="F683" s="9"/>
    </row>
    <row r="684" spans="6:6">
      <c r="F684" s="10"/>
    </row>
    <row r="685" spans="6:6">
      <c r="F685" s="9"/>
    </row>
    <row r="686" spans="6:6">
      <c r="F686" s="10"/>
    </row>
    <row r="687" spans="6:6">
      <c r="F687" s="9"/>
    </row>
    <row r="688" spans="6:6">
      <c r="F688" s="10"/>
    </row>
    <row r="689" spans="6:6">
      <c r="F689" s="9"/>
    </row>
    <row r="690" spans="6:6">
      <c r="F690" s="10"/>
    </row>
    <row r="691" spans="6:6">
      <c r="F691" s="9"/>
    </row>
    <row r="692" spans="6:6">
      <c r="F692" s="10"/>
    </row>
    <row r="693" spans="6:6">
      <c r="F693" s="9"/>
    </row>
    <row r="694" spans="6:6">
      <c r="F694" s="10"/>
    </row>
    <row r="695" spans="6:6">
      <c r="F695" s="9"/>
    </row>
    <row r="696" spans="6:6">
      <c r="F696" s="10"/>
    </row>
    <row r="697" spans="6:6">
      <c r="F697" s="9"/>
    </row>
    <row r="698" spans="6:6">
      <c r="F698" s="10"/>
    </row>
    <row r="699" spans="6:6">
      <c r="F699" s="9"/>
    </row>
    <row r="700" spans="6:6">
      <c r="F700" s="10"/>
    </row>
    <row r="701" spans="6:6">
      <c r="F701" s="9"/>
    </row>
    <row r="702" spans="6:6">
      <c r="F702" s="10"/>
    </row>
    <row r="703" spans="6:6">
      <c r="F703" s="9"/>
    </row>
    <row r="704" spans="6:6">
      <c r="F704" s="10"/>
    </row>
    <row r="705" spans="6:6">
      <c r="F705" s="9"/>
    </row>
    <row r="706" spans="6:6">
      <c r="F706" s="10"/>
    </row>
    <row r="707" spans="6:6">
      <c r="F707" s="9"/>
    </row>
    <row r="708" spans="6:6">
      <c r="F708" s="10"/>
    </row>
    <row r="709" spans="6:6">
      <c r="F709" s="9"/>
    </row>
    <row r="710" spans="6:6">
      <c r="F710" s="10"/>
    </row>
    <row r="711" spans="6:6">
      <c r="F711" s="9"/>
    </row>
    <row r="712" spans="6:6">
      <c r="F712" s="10"/>
    </row>
    <row r="713" spans="6:6">
      <c r="F713" s="9"/>
    </row>
    <row r="714" spans="6:6">
      <c r="F714" s="10"/>
    </row>
    <row r="715" spans="6:6">
      <c r="F715" s="9"/>
    </row>
    <row r="716" spans="6:6">
      <c r="F716" s="10"/>
    </row>
    <row r="717" spans="6:6">
      <c r="F717" s="9"/>
    </row>
    <row r="718" spans="6:6">
      <c r="F718" s="10"/>
    </row>
    <row r="719" spans="6:6">
      <c r="F719" s="9"/>
    </row>
    <row r="720" spans="6:6">
      <c r="F720" s="10"/>
    </row>
    <row r="721" spans="6:6">
      <c r="F721" s="9"/>
    </row>
    <row r="722" spans="6:6">
      <c r="F722" s="10"/>
    </row>
    <row r="723" spans="6:6">
      <c r="F723" s="9"/>
    </row>
    <row r="724" spans="6:6">
      <c r="F724" s="10"/>
    </row>
    <row r="725" spans="6:6">
      <c r="F725" s="9"/>
    </row>
    <row r="726" spans="6:6">
      <c r="F726" s="10"/>
    </row>
    <row r="727" spans="6:6">
      <c r="F727" s="9"/>
    </row>
    <row r="728" spans="6:6">
      <c r="F728" s="10"/>
    </row>
    <row r="729" spans="6:6">
      <c r="F729" s="9"/>
    </row>
    <row r="730" spans="6:6">
      <c r="F730" s="10"/>
    </row>
    <row r="731" spans="6:6">
      <c r="F731" s="9"/>
    </row>
    <row r="732" spans="6:6">
      <c r="F732" s="10"/>
    </row>
    <row r="733" spans="6:6">
      <c r="F733" s="9"/>
    </row>
    <row r="734" spans="6:6">
      <c r="F734" s="10"/>
    </row>
    <row r="735" spans="6:6">
      <c r="F735" s="9"/>
    </row>
    <row r="736" spans="6:6">
      <c r="F736" s="10"/>
    </row>
    <row r="737" spans="6:6">
      <c r="F737" s="9"/>
    </row>
    <row r="738" spans="6:6">
      <c r="F738" s="10"/>
    </row>
    <row r="739" spans="6:6">
      <c r="F739" s="9"/>
    </row>
    <row r="740" spans="6:6">
      <c r="F740" s="10"/>
    </row>
    <row r="741" spans="6:6">
      <c r="F741" s="9"/>
    </row>
    <row r="742" spans="6:6">
      <c r="F742" s="10"/>
    </row>
    <row r="743" spans="6:6">
      <c r="F743" s="9"/>
    </row>
    <row r="744" spans="6:6">
      <c r="F744" s="10"/>
    </row>
    <row r="745" spans="6:6">
      <c r="F745" s="9"/>
    </row>
    <row r="746" spans="6:6">
      <c r="F746" s="10"/>
    </row>
    <row r="747" spans="6:6">
      <c r="F747" s="9"/>
    </row>
    <row r="748" spans="6:6">
      <c r="F748" s="9"/>
    </row>
    <row r="749" spans="6:6">
      <c r="F749" s="10"/>
    </row>
    <row r="750" spans="6:6">
      <c r="F750" s="9"/>
    </row>
    <row r="751" spans="6:6">
      <c r="F751" s="10"/>
    </row>
    <row r="752" spans="6:6">
      <c r="F752" s="9"/>
    </row>
    <row r="753" spans="6:6">
      <c r="F753" s="10"/>
    </row>
    <row r="754" spans="6:6">
      <c r="F754" s="9"/>
    </row>
    <row r="755" spans="6:6">
      <c r="F755" s="10"/>
    </row>
    <row r="756" spans="6:6">
      <c r="F756" s="9"/>
    </row>
    <row r="757" spans="6:6">
      <c r="F757" s="10"/>
    </row>
    <row r="758" spans="6:6">
      <c r="F758" s="9"/>
    </row>
    <row r="759" spans="6:6">
      <c r="F759" s="10"/>
    </row>
    <row r="760" spans="6:6">
      <c r="F760" s="9"/>
    </row>
    <row r="761" spans="6:6">
      <c r="F761" s="10"/>
    </row>
    <row r="762" spans="6:6">
      <c r="F762" s="9"/>
    </row>
    <row r="763" spans="6:6">
      <c r="F763" s="10"/>
    </row>
    <row r="764" spans="6:6">
      <c r="F764" s="9"/>
    </row>
    <row r="765" spans="6:6">
      <c r="F765" s="10"/>
    </row>
    <row r="766" spans="6:6">
      <c r="F766" s="9"/>
    </row>
    <row r="767" spans="6:6">
      <c r="F767" s="10"/>
    </row>
    <row r="768" spans="6:6">
      <c r="F768" s="9"/>
    </row>
    <row r="769" spans="6:6">
      <c r="F769" s="10"/>
    </row>
    <row r="770" spans="6:6">
      <c r="F770" s="9"/>
    </row>
    <row r="771" spans="6:6">
      <c r="F771" s="10"/>
    </row>
    <row r="772" spans="6:6">
      <c r="F772" s="9"/>
    </row>
    <row r="773" spans="6:6">
      <c r="F773" s="10"/>
    </row>
    <row r="774" spans="6:6">
      <c r="F774" s="9"/>
    </row>
    <row r="775" spans="6:6">
      <c r="F775" s="10"/>
    </row>
    <row r="776" spans="6:6">
      <c r="F776" s="9"/>
    </row>
    <row r="777" spans="6:6">
      <c r="F777" s="10"/>
    </row>
    <row r="778" spans="6:6">
      <c r="F778" s="9"/>
    </row>
    <row r="779" spans="6:6">
      <c r="F779" s="10"/>
    </row>
    <row r="780" spans="6:6">
      <c r="F780" s="9"/>
    </row>
    <row r="781" spans="6:6">
      <c r="F781" s="10"/>
    </row>
    <row r="782" spans="6:6">
      <c r="F782" s="9"/>
    </row>
    <row r="783" spans="6:6">
      <c r="F783" s="10"/>
    </row>
    <row r="784" spans="6:6">
      <c r="F784" s="9"/>
    </row>
    <row r="785" spans="6:6">
      <c r="F785" s="10"/>
    </row>
    <row r="786" spans="6:6">
      <c r="F786" s="10"/>
    </row>
    <row r="787" spans="6:6">
      <c r="F787" s="9"/>
    </row>
    <row r="788" spans="6:6">
      <c r="F788" s="10"/>
    </row>
    <row r="789" spans="6:6">
      <c r="F789" s="9"/>
    </row>
    <row r="790" spans="6:6">
      <c r="F790" s="10"/>
    </row>
    <row r="791" spans="6:6">
      <c r="F791" s="9"/>
    </row>
    <row r="792" spans="6:6">
      <c r="F792" s="10"/>
    </row>
    <row r="793" spans="6:6">
      <c r="F793" s="9"/>
    </row>
    <row r="794" spans="6:6">
      <c r="F794" s="10"/>
    </row>
    <row r="795" spans="6:6">
      <c r="F795" s="9"/>
    </row>
    <row r="796" spans="6:6">
      <c r="F796" s="10"/>
    </row>
    <row r="797" spans="6:6">
      <c r="F797" s="9"/>
    </row>
    <row r="798" spans="6:6">
      <c r="F798" s="10"/>
    </row>
    <row r="799" spans="6:6">
      <c r="F799" s="9"/>
    </row>
    <row r="800" spans="6:6">
      <c r="F800" s="10"/>
    </row>
    <row r="801" spans="6:6">
      <c r="F801" s="9"/>
    </row>
    <row r="802" spans="6:6">
      <c r="F802" s="10"/>
    </row>
    <row r="803" spans="6:6">
      <c r="F803" s="9"/>
    </row>
    <row r="804" spans="6:6">
      <c r="F804" s="10"/>
    </row>
    <row r="805" spans="6:6">
      <c r="F805" s="9"/>
    </row>
    <row r="806" spans="6:6">
      <c r="F806" s="10"/>
    </row>
    <row r="807" spans="6:6">
      <c r="F807" s="9"/>
    </row>
    <row r="808" spans="6:6">
      <c r="F808" s="10"/>
    </row>
    <row r="809" spans="6:6">
      <c r="F809" s="9"/>
    </row>
    <row r="810" spans="6:6">
      <c r="F810" s="10"/>
    </row>
    <row r="811" spans="6:6">
      <c r="F811" s="9"/>
    </row>
    <row r="812" spans="6:6">
      <c r="F812" s="10"/>
    </row>
    <row r="813" spans="6:6">
      <c r="F813" s="9"/>
    </row>
    <row r="814" spans="6:6">
      <c r="F814" s="10"/>
    </row>
    <row r="815" spans="6:6">
      <c r="F815" s="9"/>
    </row>
    <row r="816" spans="6:6">
      <c r="F816" s="10"/>
    </row>
    <row r="817" spans="6:6">
      <c r="F817" s="9"/>
    </row>
    <row r="818" spans="6:6">
      <c r="F818" s="10"/>
    </row>
    <row r="819" spans="6:6">
      <c r="F819" s="9"/>
    </row>
    <row r="820" spans="6:6">
      <c r="F820" s="10"/>
    </row>
    <row r="821" spans="6:6">
      <c r="F821" s="9"/>
    </row>
    <row r="822" spans="6:6">
      <c r="F822" s="10"/>
    </row>
    <row r="823" spans="6:6">
      <c r="F823" s="9"/>
    </row>
    <row r="824" spans="6:6">
      <c r="F824" s="10"/>
    </row>
    <row r="825" spans="6:6">
      <c r="F825" s="9"/>
    </row>
    <row r="826" spans="6:6">
      <c r="F826" s="10"/>
    </row>
    <row r="827" spans="6:6">
      <c r="F827" s="9"/>
    </row>
    <row r="828" spans="6:6">
      <c r="F828" s="10"/>
    </row>
    <row r="829" spans="6:6">
      <c r="F829" s="9"/>
    </row>
    <row r="830" spans="6:6">
      <c r="F830" s="10"/>
    </row>
    <row r="831" spans="6:6">
      <c r="F831" s="9"/>
    </row>
    <row r="832" spans="6:6">
      <c r="F832" s="10"/>
    </row>
    <row r="833" spans="6:6">
      <c r="F833" s="9"/>
    </row>
    <row r="834" spans="6:6">
      <c r="F834" s="10"/>
    </row>
    <row r="835" spans="6:6">
      <c r="F835" s="9"/>
    </row>
    <row r="836" spans="6:6">
      <c r="F836" s="10"/>
    </row>
    <row r="837" spans="6:6">
      <c r="F837" s="9"/>
    </row>
    <row r="838" spans="6:6">
      <c r="F838" s="10"/>
    </row>
    <row r="839" spans="6:6">
      <c r="F839" s="9"/>
    </row>
    <row r="840" spans="6:6">
      <c r="F840" s="10"/>
    </row>
    <row r="841" spans="6:6">
      <c r="F841" s="9"/>
    </row>
    <row r="842" spans="6:6">
      <c r="F842" s="10"/>
    </row>
    <row r="843" spans="6:6">
      <c r="F843" s="9"/>
    </row>
    <row r="844" spans="6:6">
      <c r="F844" s="10"/>
    </row>
    <row r="845" spans="6:6">
      <c r="F845" s="9"/>
    </row>
    <row r="846" spans="6:6">
      <c r="F846" s="10"/>
    </row>
    <row r="847" spans="6:6">
      <c r="F847" s="9"/>
    </row>
    <row r="848" spans="6:6">
      <c r="F848" s="10"/>
    </row>
    <row r="849" spans="6:6">
      <c r="F849" s="9"/>
    </row>
    <row r="850" spans="6:6">
      <c r="F850" s="10"/>
    </row>
    <row r="851" spans="6:6">
      <c r="F851" s="9"/>
    </row>
    <row r="852" spans="6:6">
      <c r="F852" s="10"/>
    </row>
    <row r="853" spans="6:6">
      <c r="F853" s="9"/>
    </row>
    <row r="854" spans="6:6">
      <c r="F854" s="10"/>
    </row>
    <row r="855" spans="6:6">
      <c r="F855" s="9"/>
    </row>
    <row r="856" spans="6:6">
      <c r="F856" s="10"/>
    </row>
    <row r="857" spans="6:6">
      <c r="F857" s="9"/>
    </row>
    <row r="858" spans="6:6">
      <c r="F858" s="10"/>
    </row>
    <row r="859" spans="6:6">
      <c r="F859" s="9"/>
    </row>
    <row r="860" spans="6:6">
      <c r="F860" s="10"/>
    </row>
    <row r="861" spans="6:6">
      <c r="F861" s="9"/>
    </row>
    <row r="862" spans="6:6">
      <c r="F862" s="10"/>
    </row>
    <row r="863" spans="6:6">
      <c r="F863" s="9"/>
    </row>
    <row r="864" spans="6:6">
      <c r="F864" s="10"/>
    </row>
    <row r="865" spans="6:6">
      <c r="F865" s="9"/>
    </row>
    <row r="866" spans="6:6">
      <c r="F866" s="10"/>
    </row>
    <row r="867" spans="6:6">
      <c r="F867" s="9"/>
    </row>
    <row r="868" spans="6:6">
      <c r="F868" s="10"/>
    </row>
    <row r="869" spans="6:6">
      <c r="F869" s="9"/>
    </row>
    <row r="870" spans="6:6">
      <c r="F870" s="10"/>
    </row>
    <row r="871" spans="6:6">
      <c r="F871" s="9"/>
    </row>
    <row r="872" spans="6:6">
      <c r="F872" s="10"/>
    </row>
    <row r="873" spans="6:6">
      <c r="F873" s="9"/>
    </row>
    <row r="874" spans="6:6">
      <c r="F874" s="10"/>
    </row>
    <row r="875" spans="6:6">
      <c r="F875" s="9"/>
    </row>
    <row r="876" spans="6:6">
      <c r="F876" s="10"/>
    </row>
    <row r="877" spans="6:6">
      <c r="F877" s="9"/>
    </row>
    <row r="878" spans="6:6">
      <c r="F878" s="10"/>
    </row>
    <row r="879" spans="6:6">
      <c r="F879" s="9"/>
    </row>
    <row r="880" spans="6:6">
      <c r="F880" s="10"/>
    </row>
    <row r="881" spans="6:6">
      <c r="F881" s="9"/>
    </row>
    <row r="882" spans="6:6">
      <c r="F882" s="10"/>
    </row>
    <row r="883" spans="6:6">
      <c r="F883" s="9"/>
    </row>
    <row r="884" spans="6:6">
      <c r="F884" s="10"/>
    </row>
    <row r="885" spans="6:6">
      <c r="F885" s="10"/>
    </row>
    <row r="886" spans="6:6">
      <c r="F886" s="9"/>
    </row>
    <row r="887" spans="6:6">
      <c r="F887" s="10"/>
    </row>
    <row r="888" spans="6:6">
      <c r="F888" s="9"/>
    </row>
    <row r="889" spans="6:6">
      <c r="F889" s="10"/>
    </row>
    <row r="890" spans="6:6">
      <c r="F890" s="9"/>
    </row>
    <row r="891" spans="6:6">
      <c r="F891" s="10"/>
    </row>
    <row r="892" spans="6:6">
      <c r="F892" s="9"/>
    </row>
    <row r="893" spans="6:6">
      <c r="F893" s="10"/>
    </row>
    <row r="894" spans="6:6">
      <c r="F894" s="9"/>
    </row>
    <row r="895" spans="6:6">
      <c r="F895" s="10"/>
    </row>
    <row r="896" spans="6:6">
      <c r="F896" s="9"/>
    </row>
    <row r="897" spans="6:6">
      <c r="F897" s="10"/>
    </row>
    <row r="898" spans="6:6">
      <c r="F898" s="9"/>
    </row>
    <row r="899" spans="6:6">
      <c r="F899" s="10"/>
    </row>
    <row r="900" spans="6:6">
      <c r="F900" s="9"/>
    </row>
    <row r="901" spans="6:6">
      <c r="F901" s="10"/>
    </row>
    <row r="902" spans="6:6">
      <c r="F902" s="9"/>
    </row>
    <row r="903" spans="6:6">
      <c r="F903" s="10"/>
    </row>
    <row r="904" spans="6:6">
      <c r="F904" s="9"/>
    </row>
    <row r="905" spans="6:6">
      <c r="F905" s="10"/>
    </row>
    <row r="906" spans="6:6">
      <c r="F906" s="9"/>
    </row>
    <row r="907" spans="6:6">
      <c r="F907" s="10"/>
    </row>
    <row r="908" spans="6:6">
      <c r="F908" s="9"/>
    </row>
    <row r="909" spans="6:6">
      <c r="F909" s="10"/>
    </row>
    <row r="910" spans="6:6">
      <c r="F910" s="9"/>
    </row>
    <row r="911" spans="6:6">
      <c r="F911" s="10"/>
    </row>
    <row r="912" spans="6:6">
      <c r="F912" s="9"/>
    </row>
    <row r="913" spans="6:6">
      <c r="F913" s="10"/>
    </row>
    <row r="914" spans="6:6">
      <c r="F914" s="9"/>
    </row>
    <row r="915" spans="6:6">
      <c r="F915" s="10"/>
    </row>
    <row r="916" spans="6:6">
      <c r="F916" s="9"/>
    </row>
    <row r="917" spans="6:6">
      <c r="F917" s="9"/>
    </row>
    <row r="918" spans="6:6">
      <c r="F918" s="10"/>
    </row>
    <row r="919" spans="6:6">
      <c r="F919" s="9"/>
    </row>
    <row r="920" spans="6:6">
      <c r="F920" s="10"/>
    </row>
    <row r="921" spans="6:6">
      <c r="F921" s="9"/>
    </row>
    <row r="922" spans="6:6">
      <c r="F922" s="10"/>
    </row>
    <row r="923" spans="6:6">
      <c r="F923" s="9"/>
    </row>
    <row r="924" spans="6:6">
      <c r="F924" s="10"/>
    </row>
    <row r="925" spans="6:6">
      <c r="F925" s="9"/>
    </row>
    <row r="926" spans="6:6">
      <c r="F926" s="10"/>
    </row>
    <row r="927" spans="6:6">
      <c r="F927" s="9"/>
    </row>
    <row r="928" spans="6:6">
      <c r="F928" s="10"/>
    </row>
    <row r="929" spans="6:6">
      <c r="F929" s="9"/>
    </row>
    <row r="930" spans="6:6">
      <c r="F930" s="10"/>
    </row>
    <row r="931" spans="6:6">
      <c r="F931" s="9"/>
    </row>
    <row r="932" spans="6:6">
      <c r="F932" s="10"/>
    </row>
    <row r="933" spans="6:6">
      <c r="F933" s="9"/>
    </row>
    <row r="934" spans="6:6">
      <c r="F934" s="10"/>
    </row>
    <row r="935" spans="6:6">
      <c r="F935" s="9"/>
    </row>
    <row r="936" spans="6:6">
      <c r="F936" s="10"/>
    </row>
    <row r="937" spans="6:6">
      <c r="F937" s="9"/>
    </row>
    <row r="938" spans="6:6">
      <c r="F938" s="10"/>
    </row>
    <row r="939" spans="6:6">
      <c r="F939" s="9"/>
    </row>
    <row r="940" spans="6:6">
      <c r="F940" s="10"/>
    </row>
    <row r="941" spans="6:6">
      <c r="F941" s="9"/>
    </row>
    <row r="942" spans="6:6">
      <c r="F942" s="9"/>
    </row>
    <row r="943" spans="6:6">
      <c r="F943" s="10"/>
    </row>
    <row r="944" spans="6:6">
      <c r="F944" s="9"/>
    </row>
    <row r="945" spans="6:6">
      <c r="F945" s="10"/>
    </row>
    <row r="946" spans="6:6">
      <c r="F946" s="9"/>
    </row>
    <row r="947" spans="6:6">
      <c r="F947" s="10"/>
    </row>
    <row r="948" spans="6:6">
      <c r="F948" s="9"/>
    </row>
    <row r="949" spans="6:6">
      <c r="F949" s="10"/>
    </row>
    <row r="950" spans="6:6">
      <c r="F950" s="9"/>
    </row>
    <row r="951" spans="6:6">
      <c r="F951" s="10"/>
    </row>
    <row r="952" spans="6:6">
      <c r="F952" s="9"/>
    </row>
    <row r="953" spans="6:6">
      <c r="F953" s="10"/>
    </row>
    <row r="954" spans="6:6">
      <c r="F954" s="9"/>
    </row>
    <row r="955" spans="6:6">
      <c r="F955" s="10"/>
    </row>
    <row r="956" spans="6:6">
      <c r="F956" s="9"/>
    </row>
    <row r="957" spans="6:6">
      <c r="F957" s="10"/>
    </row>
    <row r="958" spans="6:6">
      <c r="F958" s="9"/>
    </row>
    <row r="959" spans="6:6">
      <c r="F959" s="10"/>
    </row>
    <row r="960" spans="6:6">
      <c r="F960" s="9"/>
    </row>
    <row r="961" spans="6:6">
      <c r="F961" s="9"/>
    </row>
    <row r="962" spans="6:6">
      <c r="F962" s="10"/>
    </row>
    <row r="963" spans="6:6">
      <c r="F963" s="9"/>
    </row>
    <row r="964" spans="6:6">
      <c r="F964" s="10"/>
    </row>
    <row r="965" spans="6:6">
      <c r="F965" s="9"/>
    </row>
    <row r="966" spans="6:6">
      <c r="F966" s="10"/>
    </row>
    <row r="967" spans="6:6">
      <c r="F967" s="9"/>
    </row>
    <row r="968" spans="6:6">
      <c r="F968" s="10"/>
    </row>
    <row r="969" spans="6:6">
      <c r="F969" s="9"/>
    </row>
    <row r="970" spans="6:6">
      <c r="F970" s="10"/>
    </row>
    <row r="971" spans="6:6">
      <c r="F971" s="9"/>
    </row>
    <row r="972" spans="6:6">
      <c r="F972" s="10"/>
    </row>
    <row r="973" spans="6:6">
      <c r="F973" s="9"/>
    </row>
    <row r="974" spans="6:6">
      <c r="F974" s="10"/>
    </row>
    <row r="975" spans="6:6">
      <c r="F975" s="9"/>
    </row>
    <row r="976" spans="6:6">
      <c r="F976" s="10"/>
    </row>
    <row r="977" spans="6:6">
      <c r="F977" s="9"/>
    </row>
    <row r="978" spans="6:6">
      <c r="F978" s="10"/>
    </row>
    <row r="979" spans="6:6">
      <c r="F979" s="9"/>
    </row>
    <row r="980" spans="6:6">
      <c r="F980" s="10"/>
    </row>
    <row r="981" spans="6:6">
      <c r="F981" s="9"/>
    </row>
    <row r="982" spans="6:6">
      <c r="F982" s="10"/>
    </row>
    <row r="983" spans="6:6">
      <c r="F983" s="9"/>
    </row>
    <row r="984" spans="6:6">
      <c r="F984" s="10"/>
    </row>
    <row r="985" spans="6:6">
      <c r="F985" s="9"/>
    </row>
    <row r="986" spans="6:6">
      <c r="F986" s="10"/>
    </row>
    <row r="987" spans="6:6">
      <c r="F987" s="9"/>
    </row>
    <row r="988" spans="6:6">
      <c r="F988" s="9"/>
    </row>
    <row r="989" spans="6:6">
      <c r="F989" s="10"/>
    </row>
    <row r="990" spans="6:6">
      <c r="F990" s="9"/>
    </row>
    <row r="991" spans="6:6">
      <c r="F991" s="10"/>
    </row>
    <row r="992" spans="6:6">
      <c r="F992" s="9"/>
    </row>
    <row r="993" spans="6:6">
      <c r="F993" s="10"/>
    </row>
    <row r="994" spans="6:6">
      <c r="F994" s="9"/>
    </row>
    <row r="995" spans="6:6">
      <c r="F995" s="10"/>
    </row>
    <row r="996" spans="6:6">
      <c r="F996" s="9"/>
    </row>
    <row r="997" spans="6:6">
      <c r="F997" s="10"/>
    </row>
    <row r="998" spans="6:6">
      <c r="F998" s="9"/>
    </row>
    <row r="999" spans="6:6">
      <c r="F999" s="10"/>
    </row>
    <row r="1000" spans="6:6">
      <c r="F1000" s="10"/>
    </row>
    <row r="1001" spans="6:6">
      <c r="F1001" s="9"/>
    </row>
    <row r="1002" spans="6:6">
      <c r="F1002" s="10"/>
    </row>
    <row r="1003" spans="6:6">
      <c r="F1003" s="9"/>
    </row>
    <row r="1004" spans="6:6">
      <c r="F1004" s="10"/>
    </row>
    <row r="1005" spans="6:6">
      <c r="F1005" s="9"/>
    </row>
    <row r="1006" spans="6:6">
      <c r="F1006" s="10"/>
    </row>
    <row r="1007" spans="6:6">
      <c r="F1007" s="9"/>
    </row>
    <row r="1008" spans="6:6">
      <c r="F1008" s="10"/>
    </row>
    <row r="1009" spans="6:6">
      <c r="F1009" s="9"/>
    </row>
    <row r="1010" spans="6:6">
      <c r="F1010" s="10"/>
    </row>
    <row r="1011" spans="6:6">
      <c r="F1011" s="10"/>
    </row>
    <row r="1012" spans="6:6">
      <c r="F1012" s="9"/>
    </row>
    <row r="1013" spans="6:6">
      <c r="F1013" s="10"/>
    </row>
    <row r="1014" spans="6:6">
      <c r="F1014" s="9"/>
    </row>
    <row r="1015" spans="6:6">
      <c r="F1015" s="10"/>
    </row>
    <row r="1016" spans="6:6">
      <c r="F1016" s="9"/>
    </row>
    <row r="1017" spans="6:6">
      <c r="F1017" s="10"/>
    </row>
    <row r="1018" spans="6:6">
      <c r="F1018" s="9"/>
    </row>
    <row r="1019" spans="6:6">
      <c r="F1019" s="10"/>
    </row>
    <row r="1020" spans="6:6">
      <c r="F1020" s="9"/>
    </row>
    <row r="1021" spans="6:6">
      <c r="F1021" s="10"/>
    </row>
    <row r="1022" spans="6:6">
      <c r="F1022" s="9"/>
    </row>
    <row r="1023" spans="6:6">
      <c r="F1023" s="10"/>
    </row>
    <row r="1024" spans="6:6">
      <c r="F1024" s="10"/>
    </row>
    <row r="1025" spans="6:6">
      <c r="F1025" s="9"/>
    </row>
    <row r="1026" spans="6:6">
      <c r="F1026" s="10"/>
    </row>
    <row r="1027" spans="6:6">
      <c r="F1027" s="9"/>
    </row>
    <row r="1028" spans="6:6">
      <c r="F1028" s="10"/>
    </row>
    <row r="1029" spans="6:6">
      <c r="F1029" s="9"/>
    </row>
    <row r="1030" spans="6:6">
      <c r="F1030" s="10"/>
    </row>
    <row r="1031" spans="6:6">
      <c r="F1031" s="9"/>
    </row>
    <row r="1032" spans="6:6">
      <c r="F1032" s="9"/>
    </row>
    <row r="1033" spans="6:6">
      <c r="F1033" s="10"/>
    </row>
    <row r="1034" spans="6:6">
      <c r="F1034" s="9"/>
    </row>
    <row r="1035" spans="6:6">
      <c r="F1035" s="10"/>
    </row>
    <row r="1036" spans="6:6">
      <c r="F1036" s="9"/>
    </row>
    <row r="1037" spans="6:6">
      <c r="F1037" s="10"/>
    </row>
    <row r="1038" spans="6:6">
      <c r="F1038" s="9"/>
    </row>
    <row r="1039" spans="6:6">
      <c r="F1039" s="10"/>
    </row>
    <row r="1040" spans="6:6">
      <c r="F1040" s="9"/>
    </row>
    <row r="1041" spans="6:6">
      <c r="F1041" s="10"/>
    </row>
    <row r="1042" spans="6:6">
      <c r="F1042" s="9"/>
    </row>
    <row r="1043" spans="6:6">
      <c r="F1043" s="10"/>
    </row>
    <row r="1044" spans="6:6">
      <c r="F1044" s="9"/>
    </row>
    <row r="1045" spans="6:6">
      <c r="F1045" s="10"/>
    </row>
    <row r="1046" spans="6:6">
      <c r="F1046" s="9"/>
    </row>
    <row r="1047" spans="6:6">
      <c r="F1047" s="10"/>
    </row>
    <row r="1048" spans="6:6">
      <c r="F1048" s="9"/>
    </row>
    <row r="1049" spans="6:6">
      <c r="F1049" s="10"/>
    </row>
    <row r="1050" spans="6:6">
      <c r="F1050" s="9"/>
    </row>
    <row r="1051" spans="6:6">
      <c r="F1051" s="10"/>
    </row>
    <row r="1052" spans="6:6">
      <c r="F1052" s="9"/>
    </row>
    <row r="1053" spans="6:6">
      <c r="F1053" s="10"/>
    </row>
    <row r="1054" spans="6:6">
      <c r="F1054" s="9"/>
    </row>
    <row r="1055" spans="6:6">
      <c r="F1055" s="10"/>
    </row>
    <row r="1056" spans="6:6">
      <c r="F1056" s="9"/>
    </row>
    <row r="1057" spans="6:6">
      <c r="F1057" s="10"/>
    </row>
    <row r="1058" spans="6:6">
      <c r="F1058" s="9"/>
    </row>
    <row r="1059" spans="6:6">
      <c r="F1059" s="10"/>
    </row>
    <row r="1060" spans="6:6">
      <c r="F1060" s="9"/>
    </row>
    <row r="1061" spans="6:6">
      <c r="F1061" s="10"/>
    </row>
    <row r="1062" spans="6:6">
      <c r="F1062" s="9"/>
    </row>
    <row r="1063" spans="6:6">
      <c r="F1063" s="10"/>
    </row>
    <row r="1064" spans="6:6">
      <c r="F1064" s="9"/>
    </row>
    <row r="1065" spans="6:6">
      <c r="F1065" s="10"/>
    </row>
    <row r="1066" spans="6:6">
      <c r="F1066" s="9"/>
    </row>
    <row r="1067" spans="6:6">
      <c r="F1067" s="10"/>
    </row>
    <row r="1068" spans="6:6">
      <c r="F1068" s="9"/>
    </row>
    <row r="1069" spans="6:6">
      <c r="F1069" s="10"/>
    </row>
    <row r="1070" spans="6:6">
      <c r="F1070" s="10"/>
    </row>
    <row r="1071" spans="6:6">
      <c r="F1071" s="9"/>
    </row>
    <row r="1072" spans="6:6">
      <c r="F1072" s="10"/>
    </row>
    <row r="1073" spans="6:6">
      <c r="F1073" s="9"/>
    </row>
    <row r="1074" spans="6:6">
      <c r="F1074" s="10"/>
    </row>
    <row r="1075" spans="6:6">
      <c r="F1075" s="9"/>
    </row>
    <row r="1076" spans="6:6">
      <c r="F1076" s="10"/>
    </row>
    <row r="1077" spans="6:6">
      <c r="F1077" s="9"/>
    </row>
    <row r="1078" spans="6:6">
      <c r="F1078" s="9"/>
    </row>
    <row r="1079" spans="6:6">
      <c r="F1079" s="10"/>
    </row>
    <row r="1080" spans="6:6">
      <c r="F1080" s="10"/>
    </row>
    <row r="1081" spans="6:6">
      <c r="F1081" s="9"/>
    </row>
    <row r="1082" spans="6:6">
      <c r="F1082" s="10"/>
    </row>
    <row r="1083" spans="6:6">
      <c r="F1083" s="9"/>
    </row>
    <row r="1084" spans="6:6">
      <c r="F1084" s="10"/>
    </row>
    <row r="1085" spans="6:6">
      <c r="F1085" s="9"/>
    </row>
    <row r="1086" spans="6:6">
      <c r="F1086" s="10"/>
    </row>
    <row r="1087" spans="6:6">
      <c r="F1087" s="9"/>
    </row>
    <row r="1088" spans="6:6">
      <c r="F1088" s="10"/>
    </row>
    <row r="1089" spans="6:6">
      <c r="F1089" s="9"/>
    </row>
    <row r="1090" spans="6:6">
      <c r="F1090" s="10"/>
    </row>
    <row r="1091" spans="6:6">
      <c r="F1091" s="9"/>
    </row>
    <row r="1092" spans="6:6">
      <c r="F1092" s="10"/>
    </row>
    <row r="1093" spans="6:6">
      <c r="F1093" s="9"/>
    </row>
    <row r="1094" spans="6:6">
      <c r="F1094" s="10"/>
    </row>
    <row r="1095" spans="6:6">
      <c r="F1095" s="9"/>
    </row>
    <row r="1096" spans="6:6">
      <c r="F1096" s="10"/>
    </row>
    <row r="1097" spans="6:6">
      <c r="F1097" s="9"/>
    </row>
    <row r="1098" spans="6:6">
      <c r="F1098" s="10"/>
    </row>
    <row r="1099" spans="6:6">
      <c r="F1099" s="10"/>
    </row>
    <row r="1100" spans="6:6">
      <c r="F1100" s="9"/>
    </row>
    <row r="1101" spans="6:6">
      <c r="F1101" s="10"/>
    </row>
    <row r="1102" spans="6:6">
      <c r="F1102" s="9"/>
    </row>
    <row r="1103" spans="6:6">
      <c r="F1103" s="10"/>
    </row>
    <row r="1104" spans="6:6">
      <c r="F1104" s="9"/>
    </row>
    <row r="1105" spans="6:6">
      <c r="F1105" s="10"/>
    </row>
    <row r="1106" spans="6:6">
      <c r="F1106" s="9"/>
    </row>
    <row r="1107" spans="6:6">
      <c r="F1107" s="10"/>
    </row>
    <row r="1108" spans="6:6">
      <c r="F1108" s="9"/>
    </row>
    <row r="1109" spans="6:6">
      <c r="F1109" s="10"/>
    </row>
    <row r="1110" spans="6:6">
      <c r="F1110" s="10"/>
    </row>
    <row r="1111" spans="6:6">
      <c r="F1111" s="9"/>
    </row>
    <row r="1112" spans="6:6">
      <c r="F1112" s="10"/>
    </row>
    <row r="1113" spans="6:6">
      <c r="F1113" s="9"/>
    </row>
    <row r="1114" spans="6:6">
      <c r="F1114" s="9"/>
    </row>
    <row r="1115" spans="6:6">
      <c r="F1115" s="10"/>
    </row>
    <row r="1116" spans="6:6">
      <c r="F1116" s="9"/>
    </row>
    <row r="1117" spans="6:6">
      <c r="F1117" s="10"/>
    </row>
    <row r="1118" spans="6:6">
      <c r="F1118" s="9"/>
    </row>
    <row r="1119" spans="6:6">
      <c r="F1119" s="10"/>
    </row>
    <row r="1120" spans="6:6">
      <c r="F1120" s="9"/>
    </row>
    <row r="1121" spans="6:6">
      <c r="F1121" s="10"/>
    </row>
    <row r="1122" spans="6:6">
      <c r="F1122" s="10"/>
    </row>
    <row r="1123" spans="6:6">
      <c r="F1123" s="9"/>
    </row>
    <row r="1124" spans="6:6">
      <c r="F1124" s="10"/>
    </row>
    <row r="1125" spans="6:6">
      <c r="F1125" s="9"/>
    </row>
    <row r="1126" spans="6:6">
      <c r="F1126" s="10"/>
    </row>
    <row r="1127" spans="6:6">
      <c r="F1127" s="9"/>
    </row>
    <row r="1128" spans="6:6">
      <c r="F1128" s="10"/>
    </row>
    <row r="1129" spans="6:6">
      <c r="F1129" s="9"/>
    </row>
    <row r="1130" spans="6:6">
      <c r="F1130" s="10"/>
    </row>
    <row r="1131" spans="6:6">
      <c r="F1131" s="9"/>
    </row>
    <row r="1132" spans="6:6">
      <c r="F1132" s="10"/>
    </row>
    <row r="1133" spans="6:6">
      <c r="F1133" s="9"/>
    </row>
    <row r="1134" spans="6:6">
      <c r="F1134" s="10"/>
    </row>
    <row r="1135" spans="6:6">
      <c r="F1135" s="9"/>
    </row>
    <row r="1136" spans="6:6">
      <c r="F1136" s="10"/>
    </row>
    <row r="1137" spans="6:6">
      <c r="F1137" s="9"/>
    </row>
    <row r="1138" spans="6:6">
      <c r="F1138" s="10"/>
    </row>
    <row r="1139" spans="6:6">
      <c r="F1139" s="10"/>
    </row>
    <row r="1140" spans="6:6">
      <c r="F1140" s="9"/>
    </row>
    <row r="1141" spans="6:6">
      <c r="F1141" s="10"/>
    </row>
    <row r="1142" spans="6:6">
      <c r="F1142" s="9"/>
    </row>
    <row r="1143" spans="6:6">
      <c r="F1143" s="9"/>
    </row>
    <row r="1144" spans="6:6">
      <c r="F1144" s="10"/>
    </row>
    <row r="1145" spans="6:6">
      <c r="F1145" s="9"/>
    </row>
    <row r="1146" spans="6:6">
      <c r="F1146" s="10"/>
    </row>
    <row r="1147" spans="6:6">
      <c r="F1147" s="9"/>
    </row>
    <row r="1148" spans="6:6">
      <c r="F1148" s="10"/>
    </row>
    <row r="1149" spans="6:6">
      <c r="F1149" s="9"/>
    </row>
  </sheetData>
  <conditionalFormatting sqref="B1:B22 B31:B1048576">
    <cfRule type="duplicateValues" dxfId="12" priority="2120"/>
  </conditionalFormatting>
  <conditionalFormatting sqref="F1:F22 F31:F1048576">
    <cfRule type="duplicateValues" dxfId="11" priority="2125"/>
  </conditionalFormatting>
  <conditionalFormatting sqref="F641:F965">
    <cfRule type="duplicateValues" dxfId="10" priority="4"/>
  </conditionalFormatting>
  <conditionalFormatting sqref="F966:F1149">
    <cfRule type="duplicateValues" dxfId="9" priority="3"/>
  </conditionalFormatting>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075A-FC4C-4A78-8447-274DB3CD438E}">
  <dimension ref="A1:A759"/>
  <sheetViews>
    <sheetView topLeftCell="A44" workbookViewId="0">
      <selection activeCell="A759" sqref="A759"/>
    </sheetView>
  </sheetViews>
  <sheetFormatPr defaultRowHeight="12.75"/>
  <sheetData>
    <row r="1" spans="1:1">
      <c r="A1" s="9" t="s">
        <v>3343</v>
      </c>
    </row>
    <row r="2" spans="1:1">
      <c r="A2" s="10" t="s">
        <v>3347</v>
      </c>
    </row>
    <row r="3" spans="1:1">
      <c r="A3" s="9" t="s">
        <v>3351</v>
      </c>
    </row>
    <row r="4" spans="1:1">
      <c r="A4" s="10" t="s">
        <v>3356</v>
      </c>
    </row>
    <row r="5" spans="1:1">
      <c r="A5" s="9" t="s">
        <v>3361</v>
      </c>
    </row>
    <row r="6" spans="1:1">
      <c r="A6" s="10" t="s">
        <v>3366</v>
      </c>
    </row>
    <row r="7" spans="1:1">
      <c r="A7" s="9" t="s">
        <v>3371</v>
      </c>
    </row>
    <row r="8" spans="1:1">
      <c r="A8" s="10" t="s">
        <v>3376</v>
      </c>
    </row>
    <row r="9" spans="1:1">
      <c r="A9" s="9" t="s">
        <v>3380</v>
      </c>
    </row>
    <row r="10" spans="1:1">
      <c r="A10" s="10" t="s">
        <v>3385</v>
      </c>
    </row>
    <row r="11" spans="1:1">
      <c r="A11" s="9" t="s">
        <v>3389</v>
      </c>
    </row>
    <row r="12" spans="1:1">
      <c r="A12" s="10" t="s">
        <v>3394</v>
      </c>
    </row>
    <row r="13" spans="1:1">
      <c r="A13" s="9" t="s">
        <v>3398</v>
      </c>
    </row>
    <row r="14" spans="1:1">
      <c r="A14" s="10" t="s">
        <v>3403</v>
      </c>
    </row>
    <row r="15" spans="1:1">
      <c r="A15" s="9" t="s">
        <v>3407</v>
      </c>
    </row>
    <row r="16" spans="1:1">
      <c r="A16" s="10" t="s">
        <v>3412</v>
      </c>
    </row>
    <row r="17" spans="1:1">
      <c r="A17" s="9" t="s">
        <v>3417</v>
      </c>
    </row>
    <row r="18" spans="1:1">
      <c r="A18" s="10" t="s">
        <v>3421</v>
      </c>
    </row>
    <row r="19" spans="1:1">
      <c r="A19" s="9" t="s">
        <v>3425</v>
      </c>
    </row>
    <row r="20" spans="1:1">
      <c r="A20" s="10" t="s">
        <v>3430</v>
      </c>
    </row>
    <row r="21" spans="1:1">
      <c r="A21" s="9" t="s">
        <v>3435</v>
      </c>
    </row>
    <row r="22" spans="1:1">
      <c r="A22" s="10" t="s">
        <v>3440</v>
      </c>
    </row>
    <row r="23" spans="1:1">
      <c r="A23" s="9" t="s">
        <v>3445</v>
      </c>
    </row>
    <row r="24" spans="1:1">
      <c r="A24" s="10" t="s">
        <v>3450</v>
      </c>
    </row>
    <row r="25" spans="1:1">
      <c r="A25" s="9" t="s">
        <v>3455</v>
      </c>
    </row>
    <row r="26" spans="1:1">
      <c r="A26" s="10" t="s">
        <v>3460</v>
      </c>
    </row>
    <row r="27" spans="1:1">
      <c r="A27" s="9" t="s">
        <v>3464</v>
      </c>
    </row>
    <row r="28" spans="1:1">
      <c r="A28" s="10" t="s">
        <v>3469</v>
      </c>
    </row>
    <row r="29" spans="1:1">
      <c r="A29" s="9" t="s">
        <v>3474</v>
      </c>
    </row>
    <row r="30" spans="1:1">
      <c r="A30" s="10" t="s">
        <v>3479</v>
      </c>
    </row>
    <row r="31" spans="1:1">
      <c r="A31" s="9" t="s">
        <v>3483</v>
      </c>
    </row>
    <row r="32" spans="1:1">
      <c r="A32" s="10" t="s">
        <v>3487</v>
      </c>
    </row>
    <row r="33" spans="1:1">
      <c r="A33" s="9" t="s">
        <v>3492</v>
      </c>
    </row>
    <row r="34" spans="1:1">
      <c r="A34" s="10" t="s">
        <v>3494</v>
      </c>
    </row>
    <row r="35" spans="1:1">
      <c r="A35" s="9" t="s">
        <v>3498</v>
      </c>
    </row>
    <row r="36" spans="1:1">
      <c r="A36" s="10" t="s">
        <v>3503</v>
      </c>
    </row>
    <row r="37" spans="1:1">
      <c r="A37" s="9" t="s">
        <v>3507</v>
      </c>
    </row>
    <row r="38" spans="1:1">
      <c r="A38" s="10" t="s">
        <v>3508</v>
      </c>
    </row>
    <row r="39" spans="1:1">
      <c r="A39" s="9" t="s">
        <v>2402</v>
      </c>
    </row>
    <row r="40" spans="1:1">
      <c r="A40" s="10" t="s">
        <v>3512</v>
      </c>
    </row>
    <row r="41" spans="1:1">
      <c r="A41" s="9" t="s">
        <v>3516</v>
      </c>
    </row>
    <row r="42" spans="1:1">
      <c r="A42" s="10" t="s">
        <v>3520</v>
      </c>
    </row>
    <row r="43" spans="1:1">
      <c r="A43" s="9" t="s">
        <v>3522</v>
      </c>
    </row>
    <row r="44" spans="1:1">
      <c r="A44" s="10" t="s">
        <v>3526</v>
      </c>
    </row>
    <row r="45" spans="1:1">
      <c r="A45" s="9" t="s">
        <v>3531</v>
      </c>
    </row>
    <row r="46" spans="1:1">
      <c r="A46" s="10" t="s">
        <v>3536</v>
      </c>
    </row>
    <row r="47" spans="1:1">
      <c r="A47" s="9" t="s">
        <v>3540</v>
      </c>
    </row>
    <row r="48" spans="1:1">
      <c r="A48" s="10" t="s">
        <v>3545</v>
      </c>
    </row>
    <row r="49" spans="1:1">
      <c r="A49" s="9" t="s">
        <v>3550</v>
      </c>
    </row>
    <row r="50" spans="1:1">
      <c r="A50" s="10" t="s">
        <v>3555</v>
      </c>
    </row>
    <row r="51" spans="1:1">
      <c r="A51" s="9" t="s">
        <v>3559</v>
      </c>
    </row>
    <row r="52" spans="1:1">
      <c r="A52" s="10" t="s">
        <v>3563</v>
      </c>
    </row>
    <row r="53" spans="1:1">
      <c r="A53" s="9" t="s">
        <v>3568</v>
      </c>
    </row>
    <row r="54" spans="1:1">
      <c r="A54" s="10" t="s">
        <v>3573</v>
      </c>
    </row>
    <row r="55" spans="1:1">
      <c r="A55" s="9" t="s">
        <v>3578</v>
      </c>
    </row>
    <row r="56" spans="1:1">
      <c r="A56" s="10" t="s">
        <v>3583</v>
      </c>
    </row>
    <row r="57" spans="1:1">
      <c r="A57" s="9" t="s">
        <v>3587</v>
      </c>
    </row>
    <row r="58" spans="1:1">
      <c r="A58" s="10" t="s">
        <v>3591</v>
      </c>
    </row>
    <row r="59" spans="1:1">
      <c r="A59" s="9" t="s">
        <v>3595</v>
      </c>
    </row>
    <row r="60" spans="1:1">
      <c r="A60" s="10" t="s">
        <v>3600</v>
      </c>
    </row>
    <row r="61" spans="1:1">
      <c r="A61" s="9" t="s">
        <v>3603</v>
      </c>
    </row>
    <row r="62" spans="1:1">
      <c r="A62" s="10" t="s">
        <v>3607</v>
      </c>
    </row>
    <row r="63" spans="1:1">
      <c r="A63" s="9" t="s">
        <v>3612</v>
      </c>
    </row>
    <row r="64" spans="1:1">
      <c r="A64" s="10" t="s">
        <v>3617</v>
      </c>
    </row>
    <row r="65" spans="1:1">
      <c r="A65" s="9" t="s">
        <v>3622</v>
      </c>
    </row>
    <row r="66" spans="1:1">
      <c r="A66" s="10" t="s">
        <v>3627</v>
      </c>
    </row>
    <row r="67" spans="1:1">
      <c r="A67" s="9" t="s">
        <v>3632</v>
      </c>
    </row>
    <row r="68" spans="1:1">
      <c r="A68" s="10" t="s">
        <v>3636</v>
      </c>
    </row>
    <row r="69" spans="1:1">
      <c r="A69" s="9" t="s">
        <v>3641</v>
      </c>
    </row>
    <row r="70" spans="1:1">
      <c r="A70" s="10" t="s">
        <v>3646</v>
      </c>
    </row>
    <row r="71" spans="1:1">
      <c r="A71" s="9" t="s">
        <v>3650</v>
      </c>
    </row>
    <row r="72" spans="1:1">
      <c r="A72" s="10" t="s">
        <v>3655</v>
      </c>
    </row>
    <row r="73" spans="1:1">
      <c r="A73" s="9" t="s">
        <v>3660</v>
      </c>
    </row>
    <row r="74" spans="1:1">
      <c r="A74" s="10" t="s">
        <v>3665</v>
      </c>
    </row>
    <row r="75" spans="1:1">
      <c r="A75" s="9" t="s">
        <v>3670</v>
      </c>
    </row>
    <row r="76" spans="1:1">
      <c r="A76" s="10" t="s">
        <v>3675</v>
      </c>
    </row>
    <row r="77" spans="1:1">
      <c r="A77" s="9" t="s">
        <v>3679</v>
      </c>
    </row>
    <row r="78" spans="1:1">
      <c r="A78" s="10" t="s">
        <v>3683</v>
      </c>
    </row>
    <row r="79" spans="1:1">
      <c r="A79" s="9" t="s">
        <v>3688</v>
      </c>
    </row>
    <row r="80" spans="1:1">
      <c r="A80" s="10" t="s">
        <v>3692</v>
      </c>
    </row>
    <row r="81" spans="1:1">
      <c r="A81" s="9" t="s">
        <v>3697</v>
      </c>
    </row>
    <row r="82" spans="1:1">
      <c r="A82" s="10" t="s">
        <v>2882</v>
      </c>
    </row>
    <row r="83" spans="1:1">
      <c r="A83" s="9" t="s">
        <v>3702</v>
      </c>
    </row>
    <row r="84" spans="1:1">
      <c r="A84" s="10" t="s">
        <v>3707</v>
      </c>
    </row>
    <row r="85" spans="1:1">
      <c r="A85" s="9" t="s">
        <v>3711</v>
      </c>
    </row>
    <row r="86" spans="1:1">
      <c r="A86" s="10" t="s">
        <v>3713</v>
      </c>
    </row>
    <row r="87" spans="1:1">
      <c r="A87" s="9" t="s">
        <v>3717</v>
      </c>
    </row>
    <row r="88" spans="1:1">
      <c r="A88" s="10" t="s">
        <v>3721</v>
      </c>
    </row>
    <row r="89" spans="1:1">
      <c r="A89" s="9" t="s">
        <v>3726</v>
      </c>
    </row>
    <row r="90" spans="1:1">
      <c r="A90" s="10" t="s">
        <v>3731</v>
      </c>
    </row>
    <row r="91" spans="1:1">
      <c r="A91" s="9" t="s">
        <v>3735</v>
      </c>
    </row>
    <row r="92" spans="1:1">
      <c r="A92" s="10" t="s">
        <v>3740</v>
      </c>
    </row>
    <row r="93" spans="1:1">
      <c r="A93" s="9" t="s">
        <v>3745</v>
      </c>
    </row>
    <row r="94" spans="1:1">
      <c r="A94" s="10" t="s">
        <v>3749</v>
      </c>
    </row>
    <row r="95" spans="1:1">
      <c r="A95" s="9" t="s">
        <v>3753</v>
      </c>
    </row>
    <row r="96" spans="1:1">
      <c r="A96" s="10" t="s">
        <v>3757</v>
      </c>
    </row>
    <row r="97" spans="1:1">
      <c r="A97" s="9" t="s">
        <v>3760</v>
      </c>
    </row>
    <row r="98" spans="1:1">
      <c r="A98" s="10" t="s">
        <v>3764</v>
      </c>
    </row>
    <row r="99" spans="1:1">
      <c r="A99" s="9" t="s">
        <v>3768</v>
      </c>
    </row>
    <row r="100" spans="1:1">
      <c r="A100" s="10" t="s">
        <v>3773</v>
      </c>
    </row>
    <row r="101" spans="1:1">
      <c r="A101" s="9" t="s">
        <v>3778</v>
      </c>
    </row>
    <row r="102" spans="1:1">
      <c r="A102" s="10" t="s">
        <v>3783</v>
      </c>
    </row>
    <row r="103" spans="1:1">
      <c r="A103" s="9" t="s">
        <v>3787</v>
      </c>
    </row>
    <row r="104" spans="1:1">
      <c r="A104" s="10" t="s">
        <v>3792</v>
      </c>
    </row>
    <row r="105" spans="1:1">
      <c r="A105" s="9" t="s">
        <v>3796</v>
      </c>
    </row>
    <row r="106" spans="1:1">
      <c r="A106" s="10" t="s">
        <v>3800</v>
      </c>
    </row>
    <row r="107" spans="1:1">
      <c r="A107" s="9" t="s">
        <v>3804</v>
      </c>
    </row>
    <row r="108" spans="1:1">
      <c r="A108" s="10" t="s">
        <v>3809</v>
      </c>
    </row>
    <row r="109" spans="1:1">
      <c r="A109" s="9" t="s">
        <v>3814</v>
      </c>
    </row>
    <row r="110" spans="1:1">
      <c r="A110" s="10" t="s">
        <v>3819</v>
      </c>
    </row>
    <row r="111" spans="1:1">
      <c r="A111" s="9" t="s">
        <v>3824</v>
      </c>
    </row>
    <row r="112" spans="1:1">
      <c r="A112" s="10" t="s">
        <v>3829</v>
      </c>
    </row>
    <row r="113" spans="1:1">
      <c r="A113" s="9" t="s">
        <v>3833</v>
      </c>
    </row>
    <row r="114" spans="1:1">
      <c r="A114" s="10" t="s">
        <v>3838</v>
      </c>
    </row>
    <row r="115" spans="1:1">
      <c r="A115" s="9" t="s">
        <v>3843</v>
      </c>
    </row>
    <row r="116" spans="1:1">
      <c r="A116" s="10" t="s">
        <v>3847</v>
      </c>
    </row>
    <row r="117" spans="1:1">
      <c r="A117" s="9" t="s">
        <v>2024</v>
      </c>
    </row>
    <row r="118" spans="1:1">
      <c r="A118" s="10" t="s">
        <v>3853</v>
      </c>
    </row>
    <row r="119" spans="1:1">
      <c r="A119" s="9" t="s">
        <v>3858</v>
      </c>
    </row>
    <row r="120" spans="1:1">
      <c r="A120" s="10" t="s">
        <v>3863</v>
      </c>
    </row>
    <row r="121" spans="1:1">
      <c r="A121" s="9" t="s">
        <v>3868</v>
      </c>
    </row>
    <row r="122" spans="1:1">
      <c r="A122" s="10" t="s">
        <v>3873</v>
      </c>
    </row>
    <row r="123" spans="1:1">
      <c r="A123" s="9" t="s">
        <v>3877</v>
      </c>
    </row>
    <row r="124" spans="1:1">
      <c r="A124" s="10" t="s">
        <v>3882</v>
      </c>
    </row>
    <row r="125" spans="1:1">
      <c r="A125" s="9" t="s">
        <v>3886</v>
      </c>
    </row>
    <row r="126" spans="1:1">
      <c r="A126" s="10" t="s">
        <v>3890</v>
      </c>
    </row>
    <row r="127" spans="1:1">
      <c r="A127" s="9" t="s">
        <v>3895</v>
      </c>
    </row>
    <row r="128" spans="1:1">
      <c r="A128" s="10" t="s">
        <v>3900</v>
      </c>
    </row>
    <row r="129" spans="1:1">
      <c r="A129" s="9" t="s">
        <v>3904</v>
      </c>
    </row>
    <row r="130" spans="1:1">
      <c r="A130" s="10" t="s">
        <v>3908</v>
      </c>
    </row>
    <row r="131" spans="1:1">
      <c r="A131" s="9" t="s">
        <v>3912</v>
      </c>
    </row>
    <row r="132" spans="1:1">
      <c r="A132" s="10" t="s">
        <v>3917</v>
      </c>
    </row>
    <row r="133" spans="1:1">
      <c r="A133" s="9" t="s">
        <v>3922</v>
      </c>
    </row>
    <row r="134" spans="1:1">
      <c r="A134" s="10" t="s">
        <v>3927</v>
      </c>
    </row>
    <row r="135" spans="1:1">
      <c r="A135" s="9" t="s">
        <v>3931</v>
      </c>
    </row>
    <row r="136" spans="1:1">
      <c r="A136" s="10" t="s">
        <v>3935</v>
      </c>
    </row>
    <row r="137" spans="1:1">
      <c r="A137" s="9" t="s">
        <v>3938</v>
      </c>
    </row>
    <row r="138" spans="1:1">
      <c r="A138" s="10" t="s">
        <v>3943</v>
      </c>
    </row>
    <row r="139" spans="1:1">
      <c r="A139" s="9" t="s">
        <v>3948</v>
      </c>
    </row>
    <row r="140" spans="1:1">
      <c r="A140" s="10" t="s">
        <v>3952</v>
      </c>
    </row>
    <row r="141" spans="1:1">
      <c r="A141" s="9" t="s">
        <v>3955</v>
      </c>
    </row>
    <row r="142" spans="1:1">
      <c r="A142" s="10" t="s">
        <v>3960</v>
      </c>
    </row>
    <row r="143" spans="1:1">
      <c r="A143" s="9" t="s">
        <v>3965</v>
      </c>
    </row>
    <row r="144" spans="1:1">
      <c r="A144" s="10" t="s">
        <v>3969</v>
      </c>
    </row>
    <row r="145" spans="1:1">
      <c r="A145" s="9" t="s">
        <v>3974</v>
      </c>
    </row>
    <row r="146" spans="1:1">
      <c r="A146" s="10" t="s">
        <v>3978</v>
      </c>
    </row>
    <row r="147" spans="1:1">
      <c r="A147" s="9" t="s">
        <v>3983</v>
      </c>
    </row>
    <row r="148" spans="1:1">
      <c r="A148" s="10" t="s">
        <v>3988</v>
      </c>
    </row>
    <row r="149" spans="1:1">
      <c r="A149" s="9" t="s">
        <v>3992</v>
      </c>
    </row>
    <row r="150" spans="1:1">
      <c r="A150" s="10" t="s">
        <v>3996</v>
      </c>
    </row>
    <row r="151" spans="1:1">
      <c r="A151" s="9" t="s">
        <v>4001</v>
      </c>
    </row>
    <row r="152" spans="1:1">
      <c r="A152" s="10" t="s">
        <v>4005</v>
      </c>
    </row>
    <row r="153" spans="1:1">
      <c r="A153" s="9" t="s">
        <v>4010</v>
      </c>
    </row>
    <row r="154" spans="1:1">
      <c r="A154" s="10" t="s">
        <v>4014</v>
      </c>
    </row>
    <row r="155" spans="1:1">
      <c r="A155" s="9" t="s">
        <v>4019</v>
      </c>
    </row>
    <row r="156" spans="1:1">
      <c r="A156" s="10" t="s">
        <v>4023</v>
      </c>
    </row>
    <row r="157" spans="1:1">
      <c r="A157" s="9" t="s">
        <v>4027</v>
      </c>
    </row>
    <row r="158" spans="1:1">
      <c r="A158" s="10" t="s">
        <v>4032</v>
      </c>
    </row>
    <row r="159" spans="1:1">
      <c r="A159" s="9" t="s">
        <v>4037</v>
      </c>
    </row>
    <row r="160" spans="1:1">
      <c r="A160" s="10" t="s">
        <v>4041</v>
      </c>
    </row>
    <row r="161" spans="1:1">
      <c r="A161" s="9" t="s">
        <v>4045</v>
      </c>
    </row>
    <row r="162" spans="1:1">
      <c r="A162" s="10" t="s">
        <v>4049</v>
      </c>
    </row>
    <row r="163" spans="1:1">
      <c r="A163" s="9" t="s">
        <v>4053</v>
      </c>
    </row>
    <row r="164" spans="1:1">
      <c r="A164" s="10" t="s">
        <v>4057</v>
      </c>
    </row>
    <row r="165" spans="1:1">
      <c r="A165" s="9" t="s">
        <v>4059</v>
      </c>
    </row>
    <row r="166" spans="1:1">
      <c r="A166" s="10" t="s">
        <v>4063</v>
      </c>
    </row>
    <row r="167" spans="1:1">
      <c r="A167" s="9" t="s">
        <v>4067</v>
      </c>
    </row>
    <row r="168" spans="1:1">
      <c r="A168" s="10" t="s">
        <v>4072</v>
      </c>
    </row>
    <row r="169" spans="1:1">
      <c r="A169" s="9" t="s">
        <v>4077</v>
      </c>
    </row>
    <row r="170" spans="1:1">
      <c r="A170" s="10" t="s">
        <v>4081</v>
      </c>
    </row>
    <row r="171" spans="1:1">
      <c r="A171" s="9" t="s">
        <v>4085</v>
      </c>
    </row>
    <row r="172" spans="1:1">
      <c r="A172" s="10" t="s">
        <v>4090</v>
      </c>
    </row>
    <row r="173" spans="1:1">
      <c r="A173" s="9" t="s">
        <v>4094</v>
      </c>
    </row>
    <row r="174" spans="1:1">
      <c r="A174" s="10" t="s">
        <v>4098</v>
      </c>
    </row>
    <row r="175" spans="1:1">
      <c r="A175" s="9" t="s">
        <v>4102</v>
      </c>
    </row>
    <row r="176" spans="1:1">
      <c r="A176" s="10" t="s">
        <v>2078</v>
      </c>
    </row>
    <row r="177" spans="1:1">
      <c r="A177" s="9" t="s">
        <v>4108</v>
      </c>
    </row>
    <row r="178" spans="1:1">
      <c r="A178" s="10" t="s">
        <v>4113</v>
      </c>
    </row>
    <row r="179" spans="1:1">
      <c r="A179" s="9" t="s">
        <v>4117</v>
      </c>
    </row>
    <row r="180" spans="1:1">
      <c r="A180" s="10" t="s">
        <v>4119</v>
      </c>
    </row>
    <row r="181" spans="1:1">
      <c r="A181" s="9" t="s">
        <v>4123</v>
      </c>
    </row>
    <row r="182" spans="1:1">
      <c r="A182" s="10" t="s">
        <v>4127</v>
      </c>
    </row>
    <row r="183" spans="1:1">
      <c r="A183" s="9" t="s">
        <v>4131</v>
      </c>
    </row>
    <row r="184" spans="1:1">
      <c r="A184" s="10" t="s">
        <v>4135</v>
      </c>
    </row>
    <row r="185" spans="1:1">
      <c r="A185" s="9" t="s">
        <v>4139</v>
      </c>
    </row>
    <row r="186" spans="1:1">
      <c r="A186" s="10" t="s">
        <v>4143</v>
      </c>
    </row>
    <row r="187" spans="1:1">
      <c r="A187" s="9" t="s">
        <v>4148</v>
      </c>
    </row>
    <row r="188" spans="1:1">
      <c r="A188" s="10" t="s">
        <v>4152</v>
      </c>
    </row>
    <row r="189" spans="1:1">
      <c r="A189" s="9" t="s">
        <v>4156</v>
      </c>
    </row>
    <row r="190" spans="1:1">
      <c r="A190" s="10" t="s">
        <v>4160</v>
      </c>
    </row>
    <row r="191" spans="1:1">
      <c r="A191" s="9" t="s">
        <v>2084</v>
      </c>
    </row>
    <row r="192" spans="1:1">
      <c r="A192" s="10" t="s">
        <v>4163</v>
      </c>
    </row>
    <row r="193" spans="1:1">
      <c r="A193" s="9" t="s">
        <v>4167</v>
      </c>
    </row>
    <row r="194" spans="1:1">
      <c r="A194" s="10" t="s">
        <v>4171</v>
      </c>
    </row>
    <row r="195" spans="1:1">
      <c r="A195" s="9" t="s">
        <v>4175</v>
      </c>
    </row>
    <row r="196" spans="1:1">
      <c r="A196" s="10" t="s">
        <v>4179</v>
      </c>
    </row>
    <row r="197" spans="1:1">
      <c r="A197" s="9" t="s">
        <v>4183</v>
      </c>
    </row>
    <row r="198" spans="1:1">
      <c r="A198" s="10" t="s">
        <v>4187</v>
      </c>
    </row>
    <row r="199" spans="1:1">
      <c r="A199" s="9" t="s">
        <v>4192</v>
      </c>
    </row>
    <row r="200" spans="1:1">
      <c r="A200" s="10" t="s">
        <v>2402</v>
      </c>
    </row>
    <row r="201" spans="1:1">
      <c r="A201" s="9" t="s">
        <v>4199</v>
      </c>
    </row>
    <row r="202" spans="1:1">
      <c r="A202" s="10" t="s">
        <v>4203</v>
      </c>
    </row>
    <row r="203" spans="1:1">
      <c r="A203" s="9" t="s">
        <v>4205</v>
      </c>
    </row>
    <row r="204" spans="1:1">
      <c r="A204" s="10" t="s">
        <v>4209</v>
      </c>
    </row>
    <row r="205" spans="1:1">
      <c r="A205" s="9" t="s">
        <v>4214</v>
      </c>
    </row>
    <row r="206" spans="1:1">
      <c r="A206" s="10" t="s">
        <v>4219</v>
      </c>
    </row>
    <row r="207" spans="1:1">
      <c r="A207" s="9" t="s">
        <v>4223</v>
      </c>
    </row>
    <row r="208" spans="1:1">
      <c r="A208" s="10" t="s">
        <v>4228</v>
      </c>
    </row>
    <row r="209" spans="1:1">
      <c r="A209" s="9" t="s">
        <v>4233</v>
      </c>
    </row>
    <row r="210" spans="1:1">
      <c r="A210" s="10" t="s">
        <v>4237</v>
      </c>
    </row>
    <row r="211" spans="1:1">
      <c r="A211" s="9" t="s">
        <v>4242</v>
      </c>
    </row>
    <row r="212" spans="1:1">
      <c r="A212" s="10" t="s">
        <v>4246</v>
      </c>
    </row>
    <row r="213" spans="1:1">
      <c r="A213" s="9" t="s">
        <v>4251</v>
      </c>
    </row>
    <row r="214" spans="1:1">
      <c r="A214" s="10" t="s">
        <v>4256</v>
      </c>
    </row>
    <row r="215" spans="1:1">
      <c r="A215" s="9" t="s">
        <v>4260</v>
      </c>
    </row>
    <row r="216" spans="1:1">
      <c r="A216" s="10" t="s">
        <v>4265</v>
      </c>
    </row>
    <row r="217" spans="1:1">
      <c r="A217" s="9" t="s">
        <v>4270</v>
      </c>
    </row>
    <row r="218" spans="1:1">
      <c r="A218" s="10" t="s">
        <v>4272</v>
      </c>
    </row>
    <row r="219" spans="1:1">
      <c r="A219" s="9" t="s">
        <v>2378</v>
      </c>
    </row>
    <row r="220" spans="1:1">
      <c r="A220" s="10" t="s">
        <v>2379</v>
      </c>
    </row>
    <row r="221" spans="1:1">
      <c r="A221" s="9" t="s">
        <v>2380</v>
      </c>
    </row>
    <row r="222" spans="1:1">
      <c r="A222" s="10" t="s">
        <v>2384</v>
      </c>
    </row>
    <row r="223" spans="1:1">
      <c r="A223" s="9" t="s">
        <v>2389</v>
      </c>
    </row>
    <row r="224" spans="1:1">
      <c r="A224" s="10" t="s">
        <v>2394</v>
      </c>
    </row>
    <row r="225" spans="1:1">
      <c r="A225" s="9" t="s">
        <v>2399</v>
      </c>
    </row>
    <row r="226" spans="1:1">
      <c r="A226" s="10" t="s">
        <v>2401</v>
      </c>
    </row>
    <row r="227" spans="1:1">
      <c r="A227" s="9" t="s">
        <v>2406</v>
      </c>
    </row>
    <row r="228" spans="1:1">
      <c r="A228" s="10" t="s">
        <v>2411</v>
      </c>
    </row>
    <row r="229" spans="1:1">
      <c r="A229" s="9" t="s">
        <v>2416</v>
      </c>
    </row>
    <row r="230" spans="1:1">
      <c r="A230" s="10" t="s">
        <v>2421</v>
      </c>
    </row>
    <row r="231" spans="1:1">
      <c r="A231" s="9" t="s">
        <v>2425</v>
      </c>
    </row>
    <row r="232" spans="1:1">
      <c r="A232" s="10" t="s">
        <v>2429</v>
      </c>
    </row>
    <row r="233" spans="1:1">
      <c r="A233" s="9" t="s">
        <v>2434</v>
      </c>
    </row>
    <row r="234" spans="1:1">
      <c r="A234" s="10" t="s">
        <v>2438</v>
      </c>
    </row>
    <row r="235" spans="1:1">
      <c r="A235" s="9" t="s">
        <v>2443</v>
      </c>
    </row>
    <row r="236" spans="1:1">
      <c r="A236" s="10" t="s">
        <v>2448</v>
      </c>
    </row>
    <row r="237" spans="1:1">
      <c r="A237" s="9" t="s">
        <v>2453</v>
      </c>
    </row>
    <row r="238" spans="1:1">
      <c r="A238" s="10" t="s">
        <v>2458</v>
      </c>
    </row>
    <row r="239" spans="1:1">
      <c r="A239" s="9" t="s">
        <v>2463</v>
      </c>
    </row>
    <row r="240" spans="1:1">
      <c r="A240" s="10" t="s">
        <v>2468</v>
      </c>
    </row>
    <row r="241" spans="1:1">
      <c r="A241" s="9" t="s">
        <v>2473</v>
      </c>
    </row>
    <row r="242" spans="1:1">
      <c r="A242" s="10" t="s">
        <v>2475</v>
      </c>
    </row>
    <row r="243" spans="1:1">
      <c r="A243" s="9" t="s">
        <v>2479</v>
      </c>
    </row>
    <row r="244" spans="1:1">
      <c r="A244" s="10" t="s">
        <v>2483</v>
      </c>
    </row>
    <row r="245" spans="1:1">
      <c r="A245" s="9" t="s">
        <v>2485</v>
      </c>
    </row>
    <row r="246" spans="1:1">
      <c r="A246" s="10" t="s">
        <v>2486</v>
      </c>
    </row>
    <row r="247" spans="1:1">
      <c r="A247" s="9" t="s">
        <v>2487</v>
      </c>
    </row>
    <row r="248" spans="1:1">
      <c r="A248" s="10" t="s">
        <v>2491</v>
      </c>
    </row>
    <row r="249" spans="1:1">
      <c r="A249" s="9" t="s">
        <v>2496</v>
      </c>
    </row>
    <row r="250" spans="1:1">
      <c r="A250" s="10" t="s">
        <v>2498</v>
      </c>
    </row>
    <row r="251" spans="1:1">
      <c r="A251" s="9" t="s">
        <v>2502</v>
      </c>
    </row>
    <row r="252" spans="1:1">
      <c r="A252" s="10" t="s">
        <v>2507</v>
      </c>
    </row>
    <row r="253" spans="1:1">
      <c r="A253" s="9" t="s">
        <v>2512</v>
      </c>
    </row>
    <row r="254" spans="1:1">
      <c r="A254" s="10" t="s">
        <v>2514</v>
      </c>
    </row>
    <row r="255" spans="1:1">
      <c r="A255" s="9" t="s">
        <v>2518</v>
      </c>
    </row>
    <row r="256" spans="1:1">
      <c r="A256" s="10" t="s">
        <v>2523</v>
      </c>
    </row>
    <row r="257" spans="1:1">
      <c r="A257" s="9" t="s">
        <v>2528</v>
      </c>
    </row>
    <row r="258" spans="1:1">
      <c r="A258" s="10" t="s">
        <v>2533</v>
      </c>
    </row>
    <row r="259" spans="1:1">
      <c r="A259" s="9" t="s">
        <v>2537</v>
      </c>
    </row>
    <row r="260" spans="1:1">
      <c r="A260" s="10" t="s">
        <v>2542</v>
      </c>
    </row>
    <row r="261" spans="1:1">
      <c r="A261" s="9" t="s">
        <v>277</v>
      </c>
    </row>
    <row r="262" spans="1:1">
      <c r="A262" s="10" t="s">
        <v>2546</v>
      </c>
    </row>
    <row r="263" spans="1:1">
      <c r="A263" s="9" t="s">
        <v>2550</v>
      </c>
    </row>
    <row r="264" spans="1:1">
      <c r="A264" s="10" t="s">
        <v>2555</v>
      </c>
    </row>
    <row r="265" spans="1:1">
      <c r="A265" s="9" t="s">
        <v>2560</v>
      </c>
    </row>
    <row r="266" spans="1:1">
      <c r="A266" s="10" t="s">
        <v>2565</v>
      </c>
    </row>
    <row r="267" spans="1:1">
      <c r="A267" s="9" t="s">
        <v>2570</v>
      </c>
    </row>
    <row r="268" spans="1:1">
      <c r="A268" s="10" t="s">
        <v>2575</v>
      </c>
    </row>
    <row r="269" spans="1:1">
      <c r="A269" s="9" t="s">
        <v>2580</v>
      </c>
    </row>
    <row r="270" spans="1:1">
      <c r="A270" s="10" t="s">
        <v>2585</v>
      </c>
    </row>
    <row r="271" spans="1:1">
      <c r="A271" s="9" t="s">
        <v>2590</v>
      </c>
    </row>
    <row r="272" spans="1:1">
      <c r="A272" s="10" t="s">
        <v>2595</v>
      </c>
    </row>
    <row r="273" spans="1:1">
      <c r="A273" s="9" t="s">
        <v>2600</v>
      </c>
    </row>
    <row r="274" spans="1:1">
      <c r="A274" s="10" t="s">
        <v>2602</v>
      </c>
    </row>
    <row r="275" spans="1:1">
      <c r="A275" s="9" t="s">
        <v>2606</v>
      </c>
    </row>
    <row r="276" spans="1:1">
      <c r="A276" s="10" t="s">
        <v>2611</v>
      </c>
    </row>
    <row r="277" spans="1:1">
      <c r="A277" s="9" t="s">
        <v>2616</v>
      </c>
    </row>
    <row r="278" spans="1:1">
      <c r="A278" s="10" t="s">
        <v>2621</v>
      </c>
    </row>
    <row r="279" spans="1:1">
      <c r="A279" s="9" t="s">
        <v>2626</v>
      </c>
    </row>
    <row r="280" spans="1:1">
      <c r="A280" s="10" t="s">
        <v>2631</v>
      </c>
    </row>
    <row r="281" spans="1:1">
      <c r="A281" s="9" t="s">
        <v>2636</v>
      </c>
    </row>
    <row r="282" spans="1:1">
      <c r="A282" s="10" t="s">
        <v>2641</v>
      </c>
    </row>
    <row r="283" spans="1:1">
      <c r="A283" s="9" t="s">
        <v>2643</v>
      </c>
    </row>
    <row r="284" spans="1:1">
      <c r="A284" s="10" t="s">
        <v>2647</v>
      </c>
    </row>
    <row r="285" spans="1:1">
      <c r="A285" s="9" t="s">
        <v>2652</v>
      </c>
    </row>
    <row r="286" spans="1:1">
      <c r="A286" s="10" t="s">
        <v>2657</v>
      </c>
    </row>
    <row r="287" spans="1:1">
      <c r="A287" s="9" t="s">
        <v>2662</v>
      </c>
    </row>
    <row r="288" spans="1:1">
      <c r="A288" s="10" t="s">
        <v>2666</v>
      </c>
    </row>
    <row r="289" spans="1:1">
      <c r="A289" s="9" t="s">
        <v>2668</v>
      </c>
    </row>
    <row r="290" spans="1:1">
      <c r="A290" s="10" t="s">
        <v>2669</v>
      </c>
    </row>
    <row r="291" spans="1:1">
      <c r="A291" s="9" t="s">
        <v>2673</v>
      </c>
    </row>
    <row r="292" spans="1:1">
      <c r="A292" s="10" t="s">
        <v>2678</v>
      </c>
    </row>
    <row r="293" spans="1:1">
      <c r="A293" s="9" t="s">
        <v>2683</v>
      </c>
    </row>
    <row r="294" spans="1:1">
      <c r="A294" s="10" t="s">
        <v>2687</v>
      </c>
    </row>
    <row r="295" spans="1:1">
      <c r="A295" s="9" t="s">
        <v>2692</v>
      </c>
    </row>
    <row r="296" spans="1:1">
      <c r="A296" s="10" t="s">
        <v>2694</v>
      </c>
    </row>
    <row r="297" spans="1:1">
      <c r="A297" s="9" t="s">
        <v>2698</v>
      </c>
    </row>
    <row r="298" spans="1:1">
      <c r="A298" s="10" t="s">
        <v>2703</v>
      </c>
    </row>
    <row r="299" spans="1:1">
      <c r="A299" s="9" t="s">
        <v>2708</v>
      </c>
    </row>
    <row r="300" spans="1:1">
      <c r="A300" s="10" t="s">
        <v>2712</v>
      </c>
    </row>
    <row r="301" spans="1:1">
      <c r="A301" s="9" t="s">
        <v>2717</v>
      </c>
    </row>
    <row r="302" spans="1:1">
      <c r="A302" s="10" t="s">
        <v>2719</v>
      </c>
    </row>
    <row r="303" spans="1:1">
      <c r="A303" s="9" t="s">
        <v>2723</v>
      </c>
    </row>
    <row r="304" spans="1:1">
      <c r="A304" s="10" t="s">
        <v>2727</v>
      </c>
    </row>
    <row r="305" spans="1:1">
      <c r="A305" s="9" t="s">
        <v>2731</v>
      </c>
    </row>
    <row r="306" spans="1:1">
      <c r="A306" s="10" t="s">
        <v>2736</v>
      </c>
    </row>
    <row r="307" spans="1:1">
      <c r="A307" s="9" t="s">
        <v>2741</v>
      </c>
    </row>
    <row r="308" spans="1:1">
      <c r="A308" s="10" t="s">
        <v>2745</v>
      </c>
    </row>
    <row r="309" spans="1:1">
      <c r="A309" s="9" t="s">
        <v>2749</v>
      </c>
    </row>
    <row r="310" spans="1:1">
      <c r="A310" s="10" t="s">
        <v>2754</v>
      </c>
    </row>
    <row r="311" spans="1:1">
      <c r="A311" s="9" t="s">
        <v>2759</v>
      </c>
    </row>
    <row r="312" spans="1:1">
      <c r="A312" s="10" t="s">
        <v>2764</v>
      </c>
    </row>
    <row r="313" spans="1:1">
      <c r="A313" s="9" t="s">
        <v>2769</v>
      </c>
    </row>
    <row r="314" spans="1:1">
      <c r="A314" s="10" t="s">
        <v>2774</v>
      </c>
    </row>
    <row r="315" spans="1:1">
      <c r="A315" s="9" t="s">
        <v>2776</v>
      </c>
    </row>
    <row r="316" spans="1:1">
      <c r="A316" s="10" t="s">
        <v>1384</v>
      </c>
    </row>
    <row r="317" spans="1:1">
      <c r="A317" s="9" t="s">
        <v>2783</v>
      </c>
    </row>
    <row r="318" spans="1:1">
      <c r="A318" s="10" t="s">
        <v>2787</v>
      </c>
    </row>
    <row r="319" spans="1:1">
      <c r="A319" s="9" t="s">
        <v>2791</v>
      </c>
    </row>
    <row r="320" spans="1:1">
      <c r="A320" s="10" t="s">
        <v>2796</v>
      </c>
    </row>
    <row r="321" spans="1:1">
      <c r="A321" s="9" t="s">
        <v>2801</v>
      </c>
    </row>
    <row r="322" spans="1:1">
      <c r="A322" s="10" t="s">
        <v>2806</v>
      </c>
    </row>
    <row r="323" spans="1:1">
      <c r="A323" s="9" t="s">
        <v>2811</v>
      </c>
    </row>
    <row r="324" spans="1:1">
      <c r="A324" s="10" t="s">
        <v>2816</v>
      </c>
    </row>
    <row r="325" spans="1:1">
      <c r="A325" s="9" t="s">
        <v>2821</v>
      </c>
    </row>
    <row r="326" spans="1:1">
      <c r="A326" s="10" t="s">
        <v>2826</v>
      </c>
    </row>
    <row r="327" spans="1:1">
      <c r="A327" s="9" t="s">
        <v>2831</v>
      </c>
    </row>
    <row r="328" spans="1:1">
      <c r="A328" s="10" t="s">
        <v>2836</v>
      </c>
    </row>
    <row r="329" spans="1:1">
      <c r="A329" s="9" t="s">
        <v>2402</v>
      </c>
    </row>
    <row r="330" spans="1:1">
      <c r="A330" s="10" t="s">
        <v>2845</v>
      </c>
    </row>
    <row r="331" spans="1:1">
      <c r="A331" s="9" t="s">
        <v>2849</v>
      </c>
    </row>
    <row r="332" spans="1:1">
      <c r="A332" s="10" t="s">
        <v>2854</v>
      </c>
    </row>
    <row r="333" spans="1:1">
      <c r="A333" s="9" t="s">
        <v>2859</v>
      </c>
    </row>
    <row r="334" spans="1:1">
      <c r="A334" s="10" t="s">
        <v>2862</v>
      </c>
    </row>
    <row r="335" spans="1:1">
      <c r="A335" s="9" t="s">
        <v>2867</v>
      </c>
    </row>
    <row r="336" spans="1:1">
      <c r="A336" s="10" t="s">
        <v>2402</v>
      </c>
    </row>
    <row r="337" spans="1:1">
      <c r="A337" s="9" t="s">
        <v>2872</v>
      </c>
    </row>
    <row r="338" spans="1:1">
      <c r="A338" s="10" t="s">
        <v>2877</v>
      </c>
    </row>
    <row r="339" spans="1:1">
      <c r="A339" s="9" t="s">
        <v>2882</v>
      </c>
    </row>
    <row r="340" spans="1:1">
      <c r="A340" s="10" t="s">
        <v>2887</v>
      </c>
    </row>
    <row r="341" spans="1:1">
      <c r="A341" s="9" t="s">
        <v>2892</v>
      </c>
    </row>
    <row r="342" spans="1:1">
      <c r="A342" s="10" t="s">
        <v>2896</v>
      </c>
    </row>
    <row r="343" spans="1:1">
      <c r="A343" s="9" t="s">
        <v>2402</v>
      </c>
    </row>
    <row r="344" spans="1:1">
      <c r="A344" s="10" t="s">
        <v>2900</v>
      </c>
    </row>
    <row r="345" spans="1:1">
      <c r="A345" s="9" t="s">
        <v>2904</v>
      </c>
    </row>
    <row r="346" spans="1:1">
      <c r="A346" s="10" t="s">
        <v>2909</v>
      </c>
    </row>
    <row r="347" spans="1:1">
      <c r="A347" s="9" t="s">
        <v>2914</v>
      </c>
    </row>
    <row r="348" spans="1:1">
      <c r="A348" s="10" t="s">
        <v>2919</v>
      </c>
    </row>
    <row r="349" spans="1:1">
      <c r="A349" s="9" t="s">
        <v>2924</v>
      </c>
    </row>
    <row r="350" spans="1:1">
      <c r="A350" s="10" t="s">
        <v>2926</v>
      </c>
    </row>
    <row r="351" spans="1:1">
      <c r="A351" s="9" t="s">
        <v>2930</v>
      </c>
    </row>
    <row r="352" spans="1:1">
      <c r="A352" s="10" t="s">
        <v>2935</v>
      </c>
    </row>
    <row r="353" spans="1:1">
      <c r="A353" s="9" t="s">
        <v>2940</v>
      </c>
    </row>
    <row r="354" spans="1:1">
      <c r="A354" s="10" t="s">
        <v>2944</v>
      </c>
    </row>
    <row r="355" spans="1:1">
      <c r="A355" s="9" t="s">
        <v>2949</v>
      </c>
    </row>
    <row r="356" spans="1:1">
      <c r="A356" s="10" t="s">
        <v>2954</v>
      </c>
    </row>
    <row r="357" spans="1:1">
      <c r="A357" s="9" t="s">
        <v>2958</v>
      </c>
    </row>
    <row r="358" spans="1:1">
      <c r="A358" s="10" t="s">
        <v>2963</v>
      </c>
    </row>
    <row r="359" spans="1:1">
      <c r="A359" s="9" t="s">
        <v>2968</v>
      </c>
    </row>
    <row r="360" spans="1:1">
      <c r="A360" s="10" t="s">
        <v>2973</v>
      </c>
    </row>
    <row r="361" spans="1:1">
      <c r="A361" s="9" t="s">
        <v>2975</v>
      </c>
    </row>
    <row r="362" spans="1:1">
      <c r="A362" s="10" t="s">
        <v>2976</v>
      </c>
    </row>
    <row r="363" spans="1:1">
      <c r="A363" s="9" t="s">
        <v>2980</v>
      </c>
    </row>
    <row r="364" spans="1:1">
      <c r="A364" s="10" t="s">
        <v>2984</v>
      </c>
    </row>
    <row r="365" spans="1:1">
      <c r="A365" s="9" t="s">
        <v>2989</v>
      </c>
    </row>
    <row r="366" spans="1:1">
      <c r="A366" s="10" t="s">
        <v>2994</v>
      </c>
    </row>
    <row r="367" spans="1:1">
      <c r="A367" s="9" t="s">
        <v>2999</v>
      </c>
    </row>
    <row r="368" spans="1:1">
      <c r="A368" s="10" t="s">
        <v>3004</v>
      </c>
    </row>
    <row r="369" spans="1:1">
      <c r="A369" s="9" t="s">
        <v>2402</v>
      </c>
    </row>
    <row r="370" spans="1:1">
      <c r="A370" s="10" t="s">
        <v>3011</v>
      </c>
    </row>
    <row r="371" spans="1:1">
      <c r="A371" s="9" t="s">
        <v>3016</v>
      </c>
    </row>
    <row r="372" spans="1:1">
      <c r="A372" s="10" t="s">
        <v>3021</v>
      </c>
    </row>
    <row r="373" spans="1:1">
      <c r="A373" s="9" t="s">
        <v>3025</v>
      </c>
    </row>
    <row r="374" spans="1:1">
      <c r="A374" s="10" t="s">
        <v>3027</v>
      </c>
    </row>
    <row r="375" spans="1:1">
      <c r="A375" s="9" t="s">
        <v>3031</v>
      </c>
    </row>
    <row r="376" spans="1:1">
      <c r="A376" s="10" t="s">
        <v>3035</v>
      </c>
    </row>
    <row r="377" spans="1:1">
      <c r="A377" s="9" t="s">
        <v>3040</v>
      </c>
    </row>
    <row r="378" spans="1:1">
      <c r="A378" s="10" t="s">
        <v>3045</v>
      </c>
    </row>
    <row r="379" spans="1:1">
      <c r="A379" s="9" t="s">
        <v>3050</v>
      </c>
    </row>
    <row r="380" spans="1:1">
      <c r="A380" s="10" t="s">
        <v>3054</v>
      </c>
    </row>
    <row r="381" spans="1:1">
      <c r="A381" s="9" t="s">
        <v>3059</v>
      </c>
    </row>
    <row r="382" spans="1:1">
      <c r="A382" s="10" t="s">
        <v>3063</v>
      </c>
    </row>
    <row r="383" spans="1:1">
      <c r="A383" s="9" t="s">
        <v>3068</v>
      </c>
    </row>
    <row r="384" spans="1:1">
      <c r="A384" s="10" t="s">
        <v>3072</v>
      </c>
    </row>
    <row r="385" spans="1:1">
      <c r="A385" s="9" t="s">
        <v>3077</v>
      </c>
    </row>
    <row r="386" spans="1:1">
      <c r="A386" s="10" t="s">
        <v>3082</v>
      </c>
    </row>
    <row r="387" spans="1:1">
      <c r="A387" s="9" t="s">
        <v>2402</v>
      </c>
    </row>
    <row r="388" spans="1:1">
      <c r="A388" s="10" t="s">
        <v>3090</v>
      </c>
    </row>
    <row r="389" spans="1:1">
      <c r="A389" s="9" t="s">
        <v>3094</v>
      </c>
    </row>
    <row r="390" spans="1:1">
      <c r="A390" s="10" t="s">
        <v>3098</v>
      </c>
    </row>
    <row r="391" spans="1:1">
      <c r="A391" s="9" t="s">
        <v>3103</v>
      </c>
    </row>
    <row r="392" spans="1:1">
      <c r="A392" s="10" t="s">
        <v>3108</v>
      </c>
    </row>
    <row r="393" spans="1:1">
      <c r="A393" s="9" t="s">
        <v>3110</v>
      </c>
    </row>
    <row r="394" spans="1:1">
      <c r="A394" s="10" t="s">
        <v>3114</v>
      </c>
    </row>
    <row r="395" spans="1:1">
      <c r="A395" s="9" t="s">
        <v>3116</v>
      </c>
    </row>
    <row r="396" spans="1:1">
      <c r="A396" s="10" t="s">
        <v>3117</v>
      </c>
    </row>
    <row r="397" spans="1:1">
      <c r="A397" s="9" t="s">
        <v>3121</v>
      </c>
    </row>
    <row r="398" spans="1:1">
      <c r="A398" s="10" t="s">
        <v>3125</v>
      </c>
    </row>
    <row r="399" spans="1:1">
      <c r="A399" s="9" t="s">
        <v>3127</v>
      </c>
    </row>
    <row r="400" spans="1:1">
      <c r="A400" s="10" t="s">
        <v>3131</v>
      </c>
    </row>
    <row r="401" spans="1:1">
      <c r="A401" s="9" t="s">
        <v>2402</v>
      </c>
    </row>
    <row r="402" spans="1:1">
      <c r="A402" s="10" t="s">
        <v>3139</v>
      </c>
    </row>
    <row r="403" spans="1:1">
      <c r="A403" s="9" t="s">
        <v>3144</v>
      </c>
    </row>
    <row r="404" spans="1:1">
      <c r="A404" s="10" t="s">
        <v>3149</v>
      </c>
    </row>
    <row r="405" spans="1:1">
      <c r="A405" s="9" t="s">
        <v>3151</v>
      </c>
    </row>
    <row r="406" spans="1:1">
      <c r="A406" s="10" t="s">
        <v>3155</v>
      </c>
    </row>
    <row r="407" spans="1:1">
      <c r="A407" s="9" t="s">
        <v>3160</v>
      </c>
    </row>
    <row r="408" spans="1:1">
      <c r="A408" s="10" t="s">
        <v>3164</v>
      </c>
    </row>
    <row r="409" spans="1:1">
      <c r="A409" s="9" t="s">
        <v>3169</v>
      </c>
    </row>
    <row r="410" spans="1:1">
      <c r="A410" s="10" t="s">
        <v>3174</v>
      </c>
    </row>
    <row r="411" spans="1:1">
      <c r="A411" s="9" t="s">
        <v>3179</v>
      </c>
    </row>
    <row r="412" spans="1:1">
      <c r="A412" s="10" t="s">
        <v>3184</v>
      </c>
    </row>
    <row r="413" spans="1:1">
      <c r="A413" s="9" t="s">
        <v>3189</v>
      </c>
    </row>
    <row r="414" spans="1:1">
      <c r="A414" s="10" t="s">
        <v>3194</v>
      </c>
    </row>
    <row r="415" spans="1:1">
      <c r="A415" s="9" t="s">
        <v>3199</v>
      </c>
    </row>
    <row r="416" spans="1:1">
      <c r="A416" s="10" t="s">
        <v>3204</v>
      </c>
    </row>
    <row r="417" spans="1:1">
      <c r="A417" s="9" t="s">
        <v>3209</v>
      </c>
    </row>
    <row r="418" spans="1:1">
      <c r="A418" s="10" t="s">
        <v>3214</v>
      </c>
    </row>
    <row r="419" spans="1:1">
      <c r="A419" s="9" t="s">
        <v>3218</v>
      </c>
    </row>
    <row r="420" spans="1:1">
      <c r="A420" s="10" t="s">
        <v>3223</v>
      </c>
    </row>
    <row r="421" spans="1:1">
      <c r="A421" s="9" t="s">
        <v>3228</v>
      </c>
    </row>
    <row r="422" spans="1:1">
      <c r="A422" s="10" t="s">
        <v>3233</v>
      </c>
    </row>
    <row r="423" spans="1:1">
      <c r="A423" s="9" t="s">
        <v>3238</v>
      </c>
    </row>
    <row r="424" spans="1:1">
      <c r="A424" s="10" t="s">
        <v>3242</v>
      </c>
    </row>
    <row r="425" spans="1:1">
      <c r="A425" s="9" t="s">
        <v>3247</v>
      </c>
    </row>
    <row r="426" spans="1:1">
      <c r="A426" s="10" t="s">
        <v>3252</v>
      </c>
    </row>
    <row r="427" spans="1:1">
      <c r="A427" s="9" t="s">
        <v>3257</v>
      </c>
    </row>
    <row r="428" spans="1:1">
      <c r="A428" s="10" t="s">
        <v>3264</v>
      </c>
    </row>
    <row r="429" spans="1:1">
      <c r="A429" s="9" t="s">
        <v>3268</v>
      </c>
    </row>
    <row r="430" spans="1:1">
      <c r="A430" s="10" t="s">
        <v>3273</v>
      </c>
    </row>
    <row r="431" spans="1:1">
      <c r="A431" s="9" t="s">
        <v>2402</v>
      </c>
    </row>
    <row r="432" spans="1:1">
      <c r="A432" s="10" t="s">
        <v>3281</v>
      </c>
    </row>
    <row r="433" spans="1:1">
      <c r="A433" s="9" t="s">
        <v>3286</v>
      </c>
    </row>
    <row r="434" spans="1:1">
      <c r="A434" s="10" t="s">
        <v>3291</v>
      </c>
    </row>
    <row r="435" spans="1:1">
      <c r="A435" s="9" t="s">
        <v>3296</v>
      </c>
    </row>
    <row r="436" spans="1:1">
      <c r="A436" s="10" t="s">
        <v>3301</v>
      </c>
    </row>
    <row r="437" spans="1:1">
      <c r="A437" s="9" t="s">
        <v>3306</v>
      </c>
    </row>
    <row r="438" spans="1:1">
      <c r="A438" s="10" t="s">
        <v>2402</v>
      </c>
    </row>
    <row r="439" spans="1:1">
      <c r="A439" s="9" t="s">
        <v>2402</v>
      </c>
    </row>
    <row r="440" spans="1:1">
      <c r="A440" s="10" t="s">
        <v>3315</v>
      </c>
    </row>
    <row r="441" spans="1:1">
      <c r="A441" s="9" t="s">
        <v>2402</v>
      </c>
    </row>
    <row r="442" spans="1:1">
      <c r="A442" s="10" t="s">
        <v>3323</v>
      </c>
    </row>
    <row r="443" spans="1:1">
      <c r="A443" s="9" t="s">
        <v>3328</v>
      </c>
    </row>
    <row r="444" spans="1:1">
      <c r="A444" s="10" t="s">
        <v>3333</v>
      </c>
    </row>
    <row r="445" spans="1:1">
      <c r="A445" s="9" t="s">
        <v>2402</v>
      </c>
    </row>
    <row r="446" spans="1:1">
      <c r="A446" s="10" t="s">
        <v>2402</v>
      </c>
    </row>
    <row r="447" spans="1:1">
      <c r="A447" s="9" t="s">
        <v>4333</v>
      </c>
    </row>
    <row r="448" spans="1:1">
      <c r="A448" s="10" t="s">
        <v>4337</v>
      </c>
    </row>
    <row r="449" spans="1:1">
      <c r="A449" s="9" t="s">
        <v>4342</v>
      </c>
    </row>
    <row r="450" spans="1:1">
      <c r="A450" s="10" t="s">
        <v>4347</v>
      </c>
    </row>
    <row r="451" spans="1:1">
      <c r="A451" s="9" t="s">
        <v>4352</v>
      </c>
    </row>
    <row r="452" spans="1:1">
      <c r="A452" s="10" t="s">
        <v>4357</v>
      </c>
    </row>
    <row r="453" spans="1:1">
      <c r="A453" s="9" t="s">
        <v>4359</v>
      </c>
    </row>
    <row r="454" spans="1:1">
      <c r="A454" s="10" t="s">
        <v>4363</v>
      </c>
    </row>
    <row r="455" spans="1:1">
      <c r="A455" s="9" t="s">
        <v>4367</v>
      </c>
    </row>
    <row r="456" spans="1:1">
      <c r="A456" s="10" t="s">
        <v>4369</v>
      </c>
    </row>
    <row r="457" spans="1:1">
      <c r="A457" s="9" t="s">
        <v>4373</v>
      </c>
    </row>
    <row r="458" spans="1:1">
      <c r="A458" s="10" t="s">
        <v>4378</v>
      </c>
    </row>
    <row r="459" spans="1:1">
      <c r="A459" s="9" t="s">
        <v>4382</v>
      </c>
    </row>
    <row r="460" spans="1:1">
      <c r="A460" s="10" t="s">
        <v>4383</v>
      </c>
    </row>
    <row r="461" spans="1:1">
      <c r="A461" s="9" t="s">
        <v>4387</v>
      </c>
    </row>
    <row r="462" spans="1:1">
      <c r="A462" s="10" t="s">
        <v>4389</v>
      </c>
    </row>
    <row r="463" spans="1:1">
      <c r="A463" s="9" t="s">
        <v>4393</v>
      </c>
    </row>
    <row r="464" spans="1:1">
      <c r="A464" s="10" t="s">
        <v>4398</v>
      </c>
    </row>
    <row r="465" spans="1:1">
      <c r="A465" s="9" t="s">
        <v>4403</v>
      </c>
    </row>
    <row r="466" spans="1:1">
      <c r="A466" s="10" t="s">
        <v>4408</v>
      </c>
    </row>
    <row r="467" spans="1:1">
      <c r="A467" s="9" t="s">
        <v>4409</v>
      </c>
    </row>
    <row r="468" spans="1:1">
      <c r="A468" s="10" t="s">
        <v>4413</v>
      </c>
    </row>
    <row r="469" spans="1:1">
      <c r="A469" s="9" t="s">
        <v>4418</v>
      </c>
    </row>
    <row r="470" spans="1:1">
      <c r="A470" s="10" t="s">
        <v>4423</v>
      </c>
    </row>
    <row r="471" spans="1:1">
      <c r="A471" s="9" t="s">
        <v>4425</v>
      </c>
    </row>
    <row r="472" spans="1:1">
      <c r="A472" s="10" t="s">
        <v>4429</v>
      </c>
    </row>
    <row r="473" spans="1:1">
      <c r="A473" s="9" t="s">
        <v>4433</v>
      </c>
    </row>
    <row r="474" spans="1:1">
      <c r="A474" s="10" t="s">
        <v>4435</v>
      </c>
    </row>
    <row r="475" spans="1:1">
      <c r="A475" s="9" t="s">
        <v>4439</v>
      </c>
    </row>
    <row r="476" spans="1:1">
      <c r="A476" s="10" t="s">
        <v>4444</v>
      </c>
    </row>
    <row r="477" spans="1:1">
      <c r="A477" s="9" t="s">
        <v>4446</v>
      </c>
    </row>
    <row r="478" spans="1:1">
      <c r="A478" s="10" t="s">
        <v>4450</v>
      </c>
    </row>
    <row r="479" spans="1:1">
      <c r="A479" s="9" t="s">
        <v>4455</v>
      </c>
    </row>
    <row r="480" spans="1:1">
      <c r="A480" s="10" t="s">
        <v>4460</v>
      </c>
    </row>
    <row r="481" spans="1:1">
      <c r="A481" s="9" t="s">
        <v>4465</v>
      </c>
    </row>
    <row r="482" spans="1:1">
      <c r="A482" s="10" t="s">
        <v>4466</v>
      </c>
    </row>
    <row r="483" spans="1:1">
      <c r="A483" s="9" t="s">
        <v>4470</v>
      </c>
    </row>
    <row r="484" spans="1:1">
      <c r="A484" s="10" t="s">
        <v>4475</v>
      </c>
    </row>
    <row r="485" spans="1:1">
      <c r="A485" s="9" t="s">
        <v>4479</v>
      </c>
    </row>
    <row r="486" spans="1:1">
      <c r="A486" s="10" t="s">
        <v>4483</v>
      </c>
    </row>
    <row r="487" spans="1:1">
      <c r="A487" s="9" t="s">
        <v>4485</v>
      </c>
    </row>
    <row r="488" spans="1:1">
      <c r="A488" s="10" t="s">
        <v>4489</v>
      </c>
    </row>
    <row r="489" spans="1:1">
      <c r="A489" s="9" t="s">
        <v>4494</v>
      </c>
    </row>
    <row r="490" spans="1:1">
      <c r="A490" s="10" t="s">
        <v>4499</v>
      </c>
    </row>
    <row r="491" spans="1:1">
      <c r="A491" s="9" t="s">
        <v>4501</v>
      </c>
    </row>
    <row r="492" spans="1:1">
      <c r="A492" s="10" t="s">
        <v>4505</v>
      </c>
    </row>
    <row r="493" spans="1:1">
      <c r="A493" s="9" t="s">
        <v>4510</v>
      </c>
    </row>
    <row r="494" spans="1:1">
      <c r="A494" s="10" t="s">
        <v>4515</v>
      </c>
    </row>
    <row r="495" spans="1:1">
      <c r="A495" s="9" t="s">
        <v>4519</v>
      </c>
    </row>
    <row r="496" spans="1:1">
      <c r="A496" s="10" t="s">
        <v>4520</v>
      </c>
    </row>
    <row r="497" spans="1:1">
      <c r="A497" s="9" t="s">
        <v>4524</v>
      </c>
    </row>
    <row r="498" spans="1:1">
      <c r="A498" s="10" t="s">
        <v>4526</v>
      </c>
    </row>
    <row r="499" spans="1:1">
      <c r="A499" s="9" t="s">
        <v>4530</v>
      </c>
    </row>
    <row r="500" spans="1:1">
      <c r="A500" s="10" t="s">
        <v>4535</v>
      </c>
    </row>
    <row r="501" spans="1:1">
      <c r="A501" s="9" t="s">
        <v>4540</v>
      </c>
    </row>
    <row r="502" spans="1:1">
      <c r="A502" s="10" t="s">
        <v>4542</v>
      </c>
    </row>
    <row r="503" spans="1:1">
      <c r="A503" s="9" t="s">
        <v>4546</v>
      </c>
    </row>
    <row r="504" spans="1:1">
      <c r="A504" s="10" t="s">
        <v>4551</v>
      </c>
    </row>
    <row r="505" spans="1:1">
      <c r="A505" s="9" t="s">
        <v>4556</v>
      </c>
    </row>
    <row r="506" spans="1:1">
      <c r="A506" s="10" t="s">
        <v>4558</v>
      </c>
    </row>
    <row r="507" spans="1:1">
      <c r="A507" s="9" t="s">
        <v>4562</v>
      </c>
    </row>
    <row r="508" spans="1:1">
      <c r="A508" s="10" t="s">
        <v>4566</v>
      </c>
    </row>
    <row r="509" spans="1:1">
      <c r="A509" s="9" t="s">
        <v>4569</v>
      </c>
    </row>
    <row r="510" spans="1:1">
      <c r="A510" s="10" t="s">
        <v>4573</v>
      </c>
    </row>
    <row r="511" spans="1:1">
      <c r="A511" s="9" t="s">
        <v>4578</v>
      </c>
    </row>
    <row r="512" spans="1:1">
      <c r="A512" s="10" t="s">
        <v>4583</v>
      </c>
    </row>
    <row r="513" spans="1:1">
      <c r="A513" s="9" t="s">
        <v>4587</v>
      </c>
    </row>
    <row r="514" spans="1:1">
      <c r="A514" s="10" t="s">
        <v>4592</v>
      </c>
    </row>
    <row r="515" spans="1:1">
      <c r="A515" s="9" t="s">
        <v>4597</v>
      </c>
    </row>
    <row r="516" spans="1:1">
      <c r="A516" s="10" t="s">
        <v>4601</v>
      </c>
    </row>
    <row r="517" spans="1:1">
      <c r="A517" s="9" t="s">
        <v>4605</v>
      </c>
    </row>
    <row r="518" spans="1:1">
      <c r="A518" s="10" t="s">
        <v>4610</v>
      </c>
    </row>
    <row r="519" spans="1:1">
      <c r="A519" s="9" t="s">
        <v>4614</v>
      </c>
    </row>
    <row r="520" spans="1:1">
      <c r="A520" s="10" t="s">
        <v>4619</v>
      </c>
    </row>
    <row r="521" spans="1:1">
      <c r="A521" s="9" t="s">
        <v>4624</v>
      </c>
    </row>
    <row r="522" spans="1:1">
      <c r="A522" s="10" t="s">
        <v>4625</v>
      </c>
    </row>
    <row r="523" spans="1:1">
      <c r="A523" s="9" t="s">
        <v>2402</v>
      </c>
    </row>
    <row r="524" spans="1:1">
      <c r="A524" s="10" t="s">
        <v>4631</v>
      </c>
    </row>
    <row r="525" spans="1:1">
      <c r="A525" s="9" t="s">
        <v>4636</v>
      </c>
    </row>
    <row r="526" spans="1:1">
      <c r="A526" s="10" t="s">
        <v>4638</v>
      </c>
    </row>
    <row r="527" spans="1:1">
      <c r="A527" s="9" t="s">
        <v>4639</v>
      </c>
    </row>
    <row r="528" spans="1:1">
      <c r="A528" s="10" t="s">
        <v>4643</v>
      </c>
    </row>
    <row r="529" spans="1:1">
      <c r="A529" s="9" t="s">
        <v>4648</v>
      </c>
    </row>
    <row r="530" spans="1:1">
      <c r="A530" s="10" t="s">
        <v>4653</v>
      </c>
    </row>
    <row r="531" spans="1:1">
      <c r="A531" s="9" t="s">
        <v>4658</v>
      </c>
    </row>
    <row r="532" spans="1:1">
      <c r="A532" s="10" t="s">
        <v>4660</v>
      </c>
    </row>
    <row r="533" spans="1:1">
      <c r="A533" s="9" t="s">
        <v>4661</v>
      </c>
    </row>
    <row r="534" spans="1:1">
      <c r="A534" s="10" t="s">
        <v>4662</v>
      </c>
    </row>
    <row r="535" spans="1:1">
      <c r="A535" s="9" t="s">
        <v>4663</v>
      </c>
    </row>
    <row r="536" spans="1:1">
      <c r="A536" s="10" t="s">
        <v>4667</v>
      </c>
    </row>
    <row r="537" spans="1:1">
      <c r="A537" s="9" t="s">
        <v>4672</v>
      </c>
    </row>
    <row r="538" spans="1:1">
      <c r="A538" s="10" t="s">
        <v>4677</v>
      </c>
    </row>
    <row r="539" spans="1:1">
      <c r="A539" s="9" t="s">
        <v>4682</v>
      </c>
    </row>
    <row r="540" spans="1:1">
      <c r="A540" s="10" t="s">
        <v>4687</v>
      </c>
    </row>
    <row r="541" spans="1:1">
      <c r="A541" s="9" t="s">
        <v>4692</v>
      </c>
    </row>
    <row r="542" spans="1:1">
      <c r="A542" s="10" t="s">
        <v>4697</v>
      </c>
    </row>
    <row r="543" spans="1:1">
      <c r="A543" s="9" t="s">
        <v>4699</v>
      </c>
    </row>
    <row r="544" spans="1:1">
      <c r="A544" s="10" t="s">
        <v>4703</v>
      </c>
    </row>
    <row r="545" spans="1:1">
      <c r="A545" s="9" t="s">
        <v>4707</v>
      </c>
    </row>
    <row r="546" spans="1:1">
      <c r="A546" s="10" t="s">
        <v>4712</v>
      </c>
    </row>
    <row r="547" spans="1:1">
      <c r="A547" s="9" t="s">
        <v>4717</v>
      </c>
    </row>
    <row r="548" spans="1:1">
      <c r="A548" s="10" t="s">
        <v>4722</v>
      </c>
    </row>
    <row r="549" spans="1:1">
      <c r="A549" s="9" t="s">
        <v>2402</v>
      </c>
    </row>
    <row r="550" spans="1:1">
      <c r="A550" s="10" t="s">
        <v>4729</v>
      </c>
    </row>
    <row r="551" spans="1:1">
      <c r="A551" s="9" t="s">
        <v>4733</v>
      </c>
    </row>
    <row r="552" spans="1:1">
      <c r="A552" s="10" t="s">
        <v>4738</v>
      </c>
    </row>
    <row r="553" spans="1:1">
      <c r="A553" s="9" t="s">
        <v>4743</v>
      </c>
    </row>
    <row r="554" spans="1:1">
      <c r="A554" s="10" t="s">
        <v>4747</v>
      </c>
    </row>
    <row r="555" spans="1:1">
      <c r="A555" s="9" t="s">
        <v>4751</v>
      </c>
    </row>
    <row r="556" spans="1:1">
      <c r="A556" s="10" t="s">
        <v>4756</v>
      </c>
    </row>
    <row r="557" spans="1:1">
      <c r="A557" s="9" t="s">
        <v>4758</v>
      </c>
    </row>
    <row r="558" spans="1:1">
      <c r="A558" s="10" t="s">
        <v>4762</v>
      </c>
    </row>
    <row r="559" spans="1:1">
      <c r="A559" s="9" t="s">
        <v>4767</v>
      </c>
    </row>
    <row r="560" spans="1:1">
      <c r="A560" s="10" t="s">
        <v>4772</v>
      </c>
    </row>
    <row r="561" spans="1:1">
      <c r="A561" s="9" t="s">
        <v>4777</v>
      </c>
    </row>
    <row r="562" spans="1:1">
      <c r="A562" s="10" t="s">
        <v>4781</v>
      </c>
    </row>
    <row r="563" spans="1:1">
      <c r="A563" s="9" t="s">
        <v>4786</v>
      </c>
    </row>
    <row r="564" spans="1:1">
      <c r="A564" s="10" t="s">
        <v>4787</v>
      </c>
    </row>
    <row r="565" spans="1:1">
      <c r="A565" s="9" t="s">
        <v>4788</v>
      </c>
    </row>
    <row r="566" spans="1:1">
      <c r="A566" s="10" t="s">
        <v>4792</v>
      </c>
    </row>
    <row r="567" spans="1:1">
      <c r="A567" s="9" t="s">
        <v>4796</v>
      </c>
    </row>
    <row r="568" spans="1:1">
      <c r="A568" s="10" t="s">
        <v>4801</v>
      </c>
    </row>
    <row r="569" spans="1:1">
      <c r="A569" s="9" t="s">
        <v>4805</v>
      </c>
    </row>
    <row r="570" spans="1:1">
      <c r="A570" s="10" t="s">
        <v>4809</v>
      </c>
    </row>
    <row r="571" spans="1:1">
      <c r="A571" s="9" t="s">
        <v>4814</v>
      </c>
    </row>
    <row r="572" spans="1:1">
      <c r="A572" s="10" t="s">
        <v>4819</v>
      </c>
    </row>
    <row r="573" spans="1:1">
      <c r="A573" s="9" t="s">
        <v>4823</v>
      </c>
    </row>
    <row r="574" spans="1:1">
      <c r="A574" s="10" t="s">
        <v>4828</v>
      </c>
    </row>
    <row r="575" spans="1:1">
      <c r="A575" s="9" t="s">
        <v>4832</v>
      </c>
    </row>
    <row r="576" spans="1:1">
      <c r="A576" s="10" t="s">
        <v>4837</v>
      </c>
    </row>
    <row r="577" spans="1:1">
      <c r="A577" s="9" t="s">
        <v>4841</v>
      </c>
    </row>
    <row r="578" spans="1:1">
      <c r="A578" s="10" t="s">
        <v>4843</v>
      </c>
    </row>
    <row r="579" spans="1:1">
      <c r="A579" s="9" t="s">
        <v>4844</v>
      </c>
    </row>
    <row r="580" spans="1:1">
      <c r="A580" s="10" t="s">
        <v>4848</v>
      </c>
    </row>
    <row r="581" spans="1:1">
      <c r="A581" s="9" t="s">
        <v>4853</v>
      </c>
    </row>
    <row r="582" spans="1:1">
      <c r="A582" s="10" t="s">
        <v>4858</v>
      </c>
    </row>
    <row r="583" spans="1:1">
      <c r="A583" s="9" t="s">
        <v>4862</v>
      </c>
    </row>
    <row r="584" spans="1:1">
      <c r="A584" s="10" t="s">
        <v>4867</v>
      </c>
    </row>
    <row r="585" spans="1:1">
      <c r="A585" s="9" t="s">
        <v>4872</v>
      </c>
    </row>
    <row r="586" spans="1:1">
      <c r="A586" s="10" t="s">
        <v>4877</v>
      </c>
    </row>
    <row r="587" spans="1:1">
      <c r="A587" s="9" t="s">
        <v>4882</v>
      </c>
    </row>
    <row r="588" spans="1:1">
      <c r="A588" s="10" t="s">
        <v>4884</v>
      </c>
    </row>
    <row r="589" spans="1:1">
      <c r="A589" s="9" t="s">
        <v>4888</v>
      </c>
    </row>
    <row r="590" spans="1:1">
      <c r="A590" s="10" t="s">
        <v>4893</v>
      </c>
    </row>
    <row r="591" spans="1:1">
      <c r="A591" s="9" t="s">
        <v>4895</v>
      </c>
    </row>
    <row r="592" spans="1:1">
      <c r="A592" s="10" t="s">
        <v>4896</v>
      </c>
    </row>
    <row r="593" spans="1:1">
      <c r="A593" s="9" t="s">
        <v>4897</v>
      </c>
    </row>
    <row r="594" spans="1:1">
      <c r="A594" s="10" t="s">
        <v>4901</v>
      </c>
    </row>
    <row r="595" spans="1:1">
      <c r="A595" s="9" t="s">
        <v>4906</v>
      </c>
    </row>
    <row r="596" spans="1:1">
      <c r="A596" s="10" t="s">
        <v>4911</v>
      </c>
    </row>
    <row r="597" spans="1:1">
      <c r="A597" s="9" t="s">
        <v>4915</v>
      </c>
    </row>
    <row r="598" spans="1:1">
      <c r="A598" s="10" t="s">
        <v>4919</v>
      </c>
    </row>
    <row r="599" spans="1:1">
      <c r="A599" s="9" t="s">
        <v>4923</v>
      </c>
    </row>
    <row r="600" spans="1:1">
      <c r="A600" s="10" t="s">
        <v>4928</v>
      </c>
    </row>
    <row r="601" spans="1:1">
      <c r="A601" s="9" t="s">
        <v>4930</v>
      </c>
    </row>
    <row r="602" spans="1:1">
      <c r="A602" s="10" t="s">
        <v>4934</v>
      </c>
    </row>
    <row r="603" spans="1:1">
      <c r="A603" s="9" t="s">
        <v>4936</v>
      </c>
    </row>
    <row r="604" spans="1:1">
      <c r="A604" s="10" t="s">
        <v>4940</v>
      </c>
    </row>
    <row r="605" spans="1:1">
      <c r="A605" s="9" t="s">
        <v>4944</v>
      </c>
    </row>
    <row r="606" spans="1:1">
      <c r="A606" s="10" t="s">
        <v>4948</v>
      </c>
    </row>
    <row r="607" spans="1:1">
      <c r="A607" s="9" t="s">
        <v>4949</v>
      </c>
    </row>
    <row r="608" spans="1:1">
      <c r="A608" s="10" t="s">
        <v>4953</v>
      </c>
    </row>
    <row r="609" spans="1:1">
      <c r="A609" s="9" t="s">
        <v>4958</v>
      </c>
    </row>
    <row r="610" spans="1:1">
      <c r="A610" s="10" t="s">
        <v>4963</v>
      </c>
    </row>
    <row r="611" spans="1:1">
      <c r="A611" s="9" t="s">
        <v>4968</v>
      </c>
    </row>
    <row r="612" spans="1:1">
      <c r="A612" s="10" t="s">
        <v>4973</v>
      </c>
    </row>
    <row r="613" spans="1:1">
      <c r="A613" s="9" t="s">
        <v>4978</v>
      </c>
    </row>
    <row r="614" spans="1:1">
      <c r="A614" s="10" t="s">
        <v>4983</v>
      </c>
    </row>
    <row r="615" spans="1:1">
      <c r="A615" s="9" t="s">
        <v>2402</v>
      </c>
    </row>
    <row r="616" spans="1:1">
      <c r="A616" s="10" t="s">
        <v>4985</v>
      </c>
    </row>
    <row r="617" spans="1:1">
      <c r="A617" s="9" t="s">
        <v>4989</v>
      </c>
    </row>
    <row r="618" spans="1:1">
      <c r="A618" s="10" t="s">
        <v>4994</v>
      </c>
    </row>
    <row r="619" spans="1:1">
      <c r="A619" s="9" t="s">
        <v>4996</v>
      </c>
    </row>
    <row r="620" spans="1:1">
      <c r="A620" s="10" t="s">
        <v>5000</v>
      </c>
    </row>
    <row r="621" spans="1:1">
      <c r="A621" s="9" t="s">
        <v>5005</v>
      </c>
    </row>
    <row r="622" spans="1:1">
      <c r="A622" s="10" t="s">
        <v>5009</v>
      </c>
    </row>
    <row r="623" spans="1:1">
      <c r="A623" s="9" t="s">
        <v>5014</v>
      </c>
    </row>
    <row r="624" spans="1:1">
      <c r="A624" s="10" t="s">
        <v>5015</v>
      </c>
    </row>
    <row r="625" spans="1:1">
      <c r="A625" s="9" t="s">
        <v>5019</v>
      </c>
    </row>
    <row r="626" spans="1:1">
      <c r="A626" s="10" t="s">
        <v>5021</v>
      </c>
    </row>
    <row r="627" spans="1:1">
      <c r="A627" s="9" t="s">
        <v>5025</v>
      </c>
    </row>
    <row r="628" spans="1:1">
      <c r="A628" s="10" t="s">
        <v>5030</v>
      </c>
    </row>
    <row r="629" spans="1:1">
      <c r="A629" s="9" t="s">
        <v>5035</v>
      </c>
    </row>
    <row r="630" spans="1:1">
      <c r="A630" s="10" t="s">
        <v>5037</v>
      </c>
    </row>
    <row r="631" spans="1:1">
      <c r="A631" s="9" t="s">
        <v>5041</v>
      </c>
    </row>
    <row r="632" spans="1:1">
      <c r="A632" s="10" t="s">
        <v>5045</v>
      </c>
    </row>
    <row r="633" spans="1:1">
      <c r="A633" s="9" t="s">
        <v>5047</v>
      </c>
    </row>
    <row r="634" spans="1:1">
      <c r="A634" s="10" t="s">
        <v>5051</v>
      </c>
    </row>
    <row r="635" spans="1:1">
      <c r="A635" s="9" t="s">
        <v>5056</v>
      </c>
    </row>
    <row r="636" spans="1:1">
      <c r="A636" s="10" t="s">
        <v>5061</v>
      </c>
    </row>
    <row r="637" spans="1:1">
      <c r="A637" s="9" t="s">
        <v>2402</v>
      </c>
    </row>
    <row r="638" spans="1:1">
      <c r="A638" s="10" t="s">
        <v>5064</v>
      </c>
    </row>
    <row r="639" spans="1:1">
      <c r="A639" s="9" t="s">
        <v>5065</v>
      </c>
    </row>
    <row r="640" spans="1:1">
      <c r="A640" s="10" t="s">
        <v>5069</v>
      </c>
    </row>
    <row r="641" spans="1:1">
      <c r="A641" s="9" t="s">
        <v>5072</v>
      </c>
    </row>
    <row r="642" spans="1:1">
      <c r="A642" s="10" t="s">
        <v>5077</v>
      </c>
    </row>
    <row r="643" spans="1:1">
      <c r="A643" s="9" t="s">
        <v>5082</v>
      </c>
    </row>
    <row r="644" spans="1:1">
      <c r="A644" s="10" t="s">
        <v>5087</v>
      </c>
    </row>
    <row r="645" spans="1:1">
      <c r="A645" s="9" t="s">
        <v>5091</v>
      </c>
    </row>
    <row r="646" spans="1:1">
      <c r="A646" s="10" t="s">
        <v>5096</v>
      </c>
    </row>
    <row r="647" spans="1:1">
      <c r="A647" s="9" t="s">
        <v>5101</v>
      </c>
    </row>
    <row r="648" spans="1:1">
      <c r="A648" s="10" t="s">
        <v>5106</v>
      </c>
    </row>
    <row r="649" spans="1:1">
      <c r="A649" s="9" t="s">
        <v>5108</v>
      </c>
    </row>
    <row r="650" spans="1:1">
      <c r="A650" s="10" t="s">
        <v>5109</v>
      </c>
    </row>
    <row r="651" spans="1:1">
      <c r="A651" s="9" t="s">
        <v>5110</v>
      </c>
    </row>
    <row r="652" spans="1:1">
      <c r="A652" s="10" t="s">
        <v>2402</v>
      </c>
    </row>
    <row r="653" spans="1:1">
      <c r="A653" s="9" t="s">
        <v>5113</v>
      </c>
    </row>
    <row r="654" spans="1:1">
      <c r="A654" s="10" t="s">
        <v>5117</v>
      </c>
    </row>
    <row r="655" spans="1:1">
      <c r="A655" s="9" t="s">
        <v>5119</v>
      </c>
    </row>
    <row r="656" spans="1:1">
      <c r="A656" s="10" t="s">
        <v>5123</v>
      </c>
    </row>
    <row r="657" spans="1:1">
      <c r="A657" s="9" t="s">
        <v>5128</v>
      </c>
    </row>
    <row r="658" spans="1:1">
      <c r="A658" s="10" t="s">
        <v>5133</v>
      </c>
    </row>
    <row r="659" spans="1:1">
      <c r="A659" s="9" t="s">
        <v>5135</v>
      </c>
    </row>
    <row r="660" spans="1:1">
      <c r="A660" s="10" t="s">
        <v>5139</v>
      </c>
    </row>
    <row r="661" spans="1:1">
      <c r="A661" s="9" t="s">
        <v>5143</v>
      </c>
    </row>
    <row r="662" spans="1:1">
      <c r="A662" s="10" t="s">
        <v>5145</v>
      </c>
    </row>
    <row r="663" spans="1:1">
      <c r="A663" s="9" t="s">
        <v>5149</v>
      </c>
    </row>
    <row r="664" spans="1:1">
      <c r="A664" s="10" t="s">
        <v>5151</v>
      </c>
    </row>
    <row r="665" spans="1:1">
      <c r="A665" s="9" t="s">
        <v>5155</v>
      </c>
    </row>
    <row r="666" spans="1:1">
      <c r="A666" s="10" t="s">
        <v>5159</v>
      </c>
    </row>
    <row r="667" spans="1:1">
      <c r="A667" s="9" t="s">
        <v>5164</v>
      </c>
    </row>
    <row r="668" spans="1:1">
      <c r="A668" s="9" t="s">
        <v>5579</v>
      </c>
    </row>
    <row r="669" spans="1:1">
      <c r="A669" s="9" t="s">
        <v>5584</v>
      </c>
    </row>
    <row r="670" spans="1:1">
      <c r="A670" s="9" t="s">
        <v>5589</v>
      </c>
    </row>
    <row r="671" spans="1:1">
      <c r="A671" s="9" t="s">
        <v>5594</v>
      </c>
    </row>
    <row r="672" spans="1:1">
      <c r="A672" s="9" t="s">
        <v>5598</v>
      </c>
    </row>
    <row r="673" spans="1:1">
      <c r="A673" s="9" t="s">
        <v>5602</v>
      </c>
    </row>
    <row r="674" spans="1:1">
      <c r="A674" s="9" t="s">
        <v>5607</v>
      </c>
    </row>
    <row r="675" spans="1:1">
      <c r="A675" s="9" t="s">
        <v>5612</v>
      </c>
    </row>
    <row r="676" spans="1:1">
      <c r="A676" s="9" t="s">
        <v>5616</v>
      </c>
    </row>
    <row r="677" spans="1:1">
      <c r="A677" s="9" t="s">
        <v>5169</v>
      </c>
    </row>
    <row r="678" spans="1:1">
      <c r="A678" s="10" t="s">
        <v>5171</v>
      </c>
    </row>
    <row r="679" spans="1:1">
      <c r="A679" s="9" t="s">
        <v>5172</v>
      </c>
    </row>
    <row r="680" spans="1:1">
      <c r="A680" s="10" t="s">
        <v>5173</v>
      </c>
    </row>
    <row r="681" spans="1:1">
      <c r="A681" s="9" t="s">
        <v>5174</v>
      </c>
    </row>
    <row r="682" spans="1:1">
      <c r="A682" s="10" t="s">
        <v>5175</v>
      </c>
    </row>
    <row r="683" spans="1:1">
      <c r="A683" s="9" t="s">
        <v>5176</v>
      </c>
    </row>
    <row r="684" spans="1:1">
      <c r="A684" s="10" t="s">
        <v>5180</v>
      </c>
    </row>
    <row r="685" spans="1:1">
      <c r="A685" s="9" t="s">
        <v>5182</v>
      </c>
    </row>
    <row r="686" spans="1:1">
      <c r="A686" s="10" t="s">
        <v>5186</v>
      </c>
    </row>
    <row r="687" spans="1:1">
      <c r="A687" s="9" t="s">
        <v>2402</v>
      </c>
    </row>
    <row r="688" spans="1:1">
      <c r="A688" s="10" t="s">
        <v>5191</v>
      </c>
    </row>
    <row r="689" spans="1:1">
      <c r="A689" s="9" t="s">
        <v>5195</v>
      </c>
    </row>
    <row r="690" spans="1:1">
      <c r="A690" s="10" t="s">
        <v>2402</v>
      </c>
    </row>
    <row r="691" spans="1:1">
      <c r="A691" s="9" t="s">
        <v>5200</v>
      </c>
    </row>
    <row r="692" spans="1:1">
      <c r="A692" s="10" t="s">
        <v>5202</v>
      </c>
    </row>
    <row r="693" spans="1:1">
      <c r="A693" s="9" t="s">
        <v>5206</v>
      </c>
    </row>
    <row r="694" spans="1:1">
      <c r="A694" s="10" t="s">
        <v>2402</v>
      </c>
    </row>
    <row r="695" spans="1:1">
      <c r="A695" s="9" t="s">
        <v>5214</v>
      </c>
    </row>
    <row r="696" spans="1:1">
      <c r="A696" s="10" t="s">
        <v>5219</v>
      </c>
    </row>
    <row r="697" spans="1:1">
      <c r="A697" s="9" t="s">
        <v>5224</v>
      </c>
    </row>
    <row r="698" spans="1:1">
      <c r="A698" s="10" t="s">
        <v>2402</v>
      </c>
    </row>
    <row r="699" spans="1:1">
      <c r="A699" s="9" t="s">
        <v>5234</v>
      </c>
    </row>
    <row r="700" spans="1:1">
      <c r="A700" s="10" t="s">
        <v>5236</v>
      </c>
    </row>
    <row r="701" spans="1:1">
      <c r="A701" s="9" t="s">
        <v>5240</v>
      </c>
    </row>
    <row r="702" spans="1:1">
      <c r="A702" s="10" t="s">
        <v>5245</v>
      </c>
    </row>
    <row r="703" spans="1:1">
      <c r="A703" s="9" t="s">
        <v>5247</v>
      </c>
    </row>
    <row r="704" spans="1:1">
      <c r="A704" s="10" t="s">
        <v>5248</v>
      </c>
    </row>
    <row r="705" spans="1:1">
      <c r="A705" s="9" t="s">
        <v>5252</v>
      </c>
    </row>
    <row r="706" spans="1:1">
      <c r="A706" s="10" t="s">
        <v>5257</v>
      </c>
    </row>
    <row r="707" spans="1:1">
      <c r="A707" s="9" t="s">
        <v>5261</v>
      </c>
    </row>
    <row r="708" spans="1:1">
      <c r="A708" s="10" t="s">
        <v>5266</v>
      </c>
    </row>
    <row r="709" spans="1:1">
      <c r="A709" s="9" t="s">
        <v>5269</v>
      </c>
    </row>
    <row r="710" spans="1:1">
      <c r="A710" s="10" t="s">
        <v>5274</v>
      </c>
    </row>
    <row r="711" spans="1:1">
      <c r="A711" s="9" t="s">
        <v>5278</v>
      </c>
    </row>
    <row r="712" spans="1:1">
      <c r="A712" s="10" t="s">
        <v>5283</v>
      </c>
    </row>
    <row r="713" spans="1:1">
      <c r="A713" s="9" t="s">
        <v>5287</v>
      </c>
    </row>
    <row r="714" spans="1:1">
      <c r="A714" s="10" t="s">
        <v>5289</v>
      </c>
    </row>
    <row r="715" spans="1:1">
      <c r="A715" s="9" t="s">
        <v>5290</v>
      </c>
    </row>
    <row r="716" spans="1:1">
      <c r="A716" s="10" t="s">
        <v>5294</v>
      </c>
    </row>
    <row r="717" spans="1:1">
      <c r="A717" s="9" t="s">
        <v>5299</v>
      </c>
    </row>
    <row r="718" spans="1:1">
      <c r="A718" s="10" t="s">
        <v>5301</v>
      </c>
    </row>
    <row r="719" spans="1:1">
      <c r="A719" s="9" t="s">
        <v>5302</v>
      </c>
    </row>
    <row r="720" spans="1:1">
      <c r="A720" s="10" t="s">
        <v>5306</v>
      </c>
    </row>
    <row r="721" spans="1:1">
      <c r="A721" s="9" t="s">
        <v>2402</v>
      </c>
    </row>
    <row r="722" spans="1:1">
      <c r="A722" s="10" t="s">
        <v>5308</v>
      </c>
    </row>
    <row r="723" spans="1:1">
      <c r="A723" s="9" t="s">
        <v>5312</v>
      </c>
    </row>
    <row r="724" spans="1:1">
      <c r="A724" s="10" t="s">
        <v>5314</v>
      </c>
    </row>
    <row r="725" spans="1:1">
      <c r="A725" s="9" t="s">
        <v>5315</v>
      </c>
    </row>
    <row r="726" spans="1:1">
      <c r="A726" s="10" t="s">
        <v>5319</v>
      </c>
    </row>
    <row r="727" spans="1:1">
      <c r="A727" s="9" t="s">
        <v>5321</v>
      </c>
    </row>
    <row r="728" spans="1:1">
      <c r="A728" s="10" t="s">
        <v>5325</v>
      </c>
    </row>
    <row r="729" spans="1:1">
      <c r="A729" s="9" t="s">
        <v>5330</v>
      </c>
    </row>
    <row r="730" spans="1:1">
      <c r="A730" s="10" t="s">
        <v>5335</v>
      </c>
    </row>
    <row r="731" spans="1:1">
      <c r="A731" s="9" t="s">
        <v>5340</v>
      </c>
    </row>
    <row r="732" spans="1:1">
      <c r="A732" s="10" t="s">
        <v>5342</v>
      </c>
    </row>
    <row r="733" spans="1:1">
      <c r="A733" s="9" t="s">
        <v>5346</v>
      </c>
    </row>
    <row r="734" spans="1:1">
      <c r="A734" s="10" t="s">
        <v>5351</v>
      </c>
    </row>
    <row r="735" spans="1:1">
      <c r="A735" s="9" t="s">
        <v>5352</v>
      </c>
    </row>
    <row r="736" spans="1:1">
      <c r="A736" s="10" t="s">
        <v>5356</v>
      </c>
    </row>
    <row r="737" spans="1:1">
      <c r="A737" s="9" t="s">
        <v>5361</v>
      </c>
    </row>
    <row r="738" spans="1:1">
      <c r="A738" s="10" t="s">
        <v>5363</v>
      </c>
    </row>
    <row r="739" spans="1:1">
      <c r="A739" s="9" t="s">
        <v>5364</v>
      </c>
    </row>
    <row r="740" spans="1:1">
      <c r="A740" s="10" t="s">
        <v>5368</v>
      </c>
    </row>
    <row r="741" spans="1:1">
      <c r="A741" s="9" t="s">
        <v>5370</v>
      </c>
    </row>
    <row r="742" spans="1:1">
      <c r="A742" s="10" t="s">
        <v>2402</v>
      </c>
    </row>
    <row r="743" spans="1:1">
      <c r="A743" s="9" t="s">
        <v>5374</v>
      </c>
    </row>
    <row r="744" spans="1:1">
      <c r="A744" s="10" t="s">
        <v>5376</v>
      </c>
    </row>
    <row r="745" spans="1:1">
      <c r="A745" s="9" t="s">
        <v>2402</v>
      </c>
    </row>
    <row r="746" spans="1:1">
      <c r="A746" s="10" t="s">
        <v>2402</v>
      </c>
    </row>
    <row r="747" spans="1:1">
      <c r="A747" s="9" t="s">
        <v>2463</v>
      </c>
    </row>
    <row r="752" spans="1:1">
      <c r="A752" s="10"/>
    </row>
    <row r="753" spans="1:1">
      <c r="A753" s="10"/>
    </row>
    <row r="754" spans="1:1">
      <c r="A754" s="9"/>
    </row>
    <row r="755" spans="1:1">
      <c r="A755" s="10"/>
    </row>
    <row r="756" spans="1:1">
      <c r="A756" s="10"/>
    </row>
    <row r="757" spans="1:1">
      <c r="A757" s="10"/>
    </row>
    <row r="758" spans="1:1">
      <c r="A758" s="9"/>
    </row>
    <row r="759" spans="1:1">
      <c r="A759" s="10"/>
    </row>
  </sheetData>
  <conditionalFormatting sqref="A1:A1048576">
    <cfRule type="duplicateValues" dxfId="8" priority="1"/>
  </conditionalFormatting>
  <conditionalFormatting sqref="A447:A676">
    <cfRule type="duplicateValues" dxfId="7" priority="7"/>
  </conditionalFormatting>
  <conditionalFormatting sqref="A668:A676">
    <cfRule type="duplicateValues" dxfId="6" priority="6"/>
  </conditionalFormatting>
  <conditionalFormatting sqref="A677:A747">
    <cfRule type="duplicateValues" dxfId="5" priority="3"/>
    <cfRule type="duplicateValues" dxfId="4" priority="4"/>
  </conditionalFormatting>
  <conditionalFormatting sqref="A747">
    <cfRule type="duplicateValues" dxfId="3" priority="5"/>
  </conditionalFormatting>
  <conditionalFormatting sqref="A752:A759">
    <cfRule type="duplicateValues" dxfId="2" priority="2"/>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8E9E2-306F-4542-A751-13A84F7E37C4}">
  <dimension ref="A1:AE108"/>
  <sheetViews>
    <sheetView workbookViewId="0"/>
  </sheetViews>
  <sheetFormatPr defaultRowHeight="12.75"/>
  <cols>
    <col min="1" max="4" width="81.140625" bestFit="1" customWidth="1"/>
    <col min="5" max="5" width="23.7109375" bestFit="1" customWidth="1"/>
    <col min="6" max="6" width="18.42578125" bestFit="1" customWidth="1"/>
    <col min="7" max="7" width="10.28515625" bestFit="1" customWidth="1"/>
    <col min="8" max="8" width="7.85546875" bestFit="1" customWidth="1"/>
    <col min="9" max="9" width="12.85546875" bestFit="1" customWidth="1"/>
    <col min="10" max="10" width="12" bestFit="1" customWidth="1"/>
    <col min="11" max="11" width="81.140625" bestFit="1" customWidth="1"/>
    <col min="12" max="12" width="9.5703125" bestFit="1" customWidth="1"/>
    <col min="13" max="13" width="16.42578125" bestFit="1" customWidth="1"/>
    <col min="14" max="14" width="57.28515625" bestFit="1" customWidth="1"/>
    <col min="15" max="15" width="81.140625" bestFit="1" customWidth="1"/>
    <col min="16" max="16" width="56.28515625" bestFit="1" customWidth="1"/>
    <col min="17" max="18" width="81.140625" bestFit="1" customWidth="1"/>
    <col min="19" max="19" width="14.5703125" bestFit="1" customWidth="1"/>
    <col min="20" max="21" width="22.85546875" bestFit="1" customWidth="1"/>
    <col min="22" max="22" width="18.5703125" bestFit="1" customWidth="1"/>
    <col min="23" max="23" width="11.28515625" bestFit="1" customWidth="1"/>
    <col min="24" max="24" width="14" bestFit="1" customWidth="1"/>
    <col min="25" max="26" width="18.85546875" bestFit="1" customWidth="1"/>
    <col min="27" max="27" width="11.85546875" bestFit="1" customWidth="1"/>
    <col min="28" max="28" width="24.28515625" bestFit="1" customWidth="1"/>
  </cols>
  <sheetData>
    <row r="1" spans="1:31">
      <c r="A1" t="s">
        <v>333</v>
      </c>
      <c r="B1" t="s">
        <v>29</v>
      </c>
      <c r="C1" t="s">
        <v>334</v>
      </c>
      <c r="D1" t="s">
        <v>335</v>
      </c>
      <c r="E1" t="s">
        <v>336</v>
      </c>
      <c r="F1" t="s">
        <v>337</v>
      </c>
      <c r="G1" t="s">
        <v>34</v>
      </c>
      <c r="H1" t="s">
        <v>35</v>
      </c>
      <c r="I1" t="s">
        <v>338</v>
      </c>
      <c r="J1" t="s">
        <v>339</v>
      </c>
      <c r="K1" t="s">
        <v>42</v>
      </c>
      <c r="L1" t="s">
        <v>340</v>
      </c>
      <c r="M1" t="s">
        <v>341</v>
      </c>
      <c r="N1" t="s">
        <v>40</v>
      </c>
      <c r="O1" t="s">
        <v>342</v>
      </c>
      <c r="P1" t="s">
        <v>343</v>
      </c>
      <c r="Q1" t="s">
        <v>344</v>
      </c>
      <c r="R1" t="s">
        <v>345</v>
      </c>
      <c r="S1" t="s">
        <v>346</v>
      </c>
      <c r="T1" t="s">
        <v>347</v>
      </c>
      <c r="U1" t="s">
        <v>348</v>
      </c>
      <c r="V1" t="s">
        <v>349</v>
      </c>
      <c r="W1" t="s">
        <v>350</v>
      </c>
      <c r="X1" t="s">
        <v>351</v>
      </c>
      <c r="Y1" t="s">
        <v>352</v>
      </c>
      <c r="Z1" t="s">
        <v>353</v>
      </c>
      <c r="AA1" t="s">
        <v>43</v>
      </c>
      <c r="AB1" t="s">
        <v>354</v>
      </c>
      <c r="AC1" t="s">
        <v>1165</v>
      </c>
      <c r="AD1" t="s">
        <v>2180</v>
      </c>
      <c r="AE1" t="s">
        <v>1400</v>
      </c>
    </row>
    <row r="2" spans="1:31">
      <c r="A2" t="s">
        <v>356</v>
      </c>
      <c r="B2" t="s">
        <v>357</v>
      </c>
      <c r="C2" t="s">
        <v>358</v>
      </c>
      <c r="D2" t="s">
        <v>359</v>
      </c>
      <c r="E2" s="8">
        <v>43108</v>
      </c>
      <c r="F2">
        <v>2017</v>
      </c>
      <c r="G2" t="s">
        <v>51</v>
      </c>
      <c r="I2" t="s">
        <v>300</v>
      </c>
      <c r="J2" t="s">
        <v>53</v>
      </c>
      <c r="K2" t="s">
        <v>360</v>
      </c>
      <c r="L2" t="s">
        <v>361</v>
      </c>
      <c r="M2" t="s">
        <v>362</v>
      </c>
      <c r="N2" t="s">
        <v>363</v>
      </c>
      <c r="O2" t="s">
        <v>51</v>
      </c>
      <c r="P2" t="s">
        <v>364</v>
      </c>
      <c r="Q2" t="s">
        <v>51</v>
      </c>
      <c r="R2" t="s">
        <v>365</v>
      </c>
      <c r="S2" t="s">
        <v>51</v>
      </c>
      <c r="T2">
        <v>7</v>
      </c>
      <c r="U2" t="s">
        <v>51</v>
      </c>
      <c r="V2">
        <v>12</v>
      </c>
      <c r="W2" t="s">
        <v>19</v>
      </c>
      <c r="X2" s="8">
        <v>43108</v>
      </c>
      <c r="Y2" t="s">
        <v>366</v>
      </c>
      <c r="Z2" t="s">
        <v>366</v>
      </c>
      <c r="AA2" t="s">
        <v>19</v>
      </c>
      <c r="AB2" t="s">
        <v>355</v>
      </c>
      <c r="AC2">
        <f t="shared" ref="AC2:AC33" si="0">($J2-$I2)+1</f>
        <v>5</v>
      </c>
      <c r="AE2" s="32" t="str">
        <f t="shared" ref="AE2:AE33" si="1">HYPERLINK($P2,$A2)</f>
        <v>Towards a modular security testing framework for industrial automation and control systems: ISuTest</v>
      </c>
    </row>
    <row r="3" spans="1:31">
      <c r="A3" t="s">
        <v>414</v>
      </c>
      <c r="B3" t="s">
        <v>415</v>
      </c>
      <c r="C3" t="s">
        <v>416</v>
      </c>
      <c r="D3" t="s">
        <v>417</v>
      </c>
      <c r="E3" s="8">
        <v>43440</v>
      </c>
      <c r="F3">
        <v>2018</v>
      </c>
      <c r="G3" t="s">
        <v>51</v>
      </c>
      <c r="I3" t="s">
        <v>300</v>
      </c>
      <c r="J3" t="s">
        <v>301</v>
      </c>
      <c r="K3" t="s">
        <v>418</v>
      </c>
      <c r="L3" t="s">
        <v>51</v>
      </c>
      <c r="M3" t="s">
        <v>419</v>
      </c>
      <c r="N3" t="s">
        <v>420</v>
      </c>
      <c r="O3" t="s">
        <v>51</v>
      </c>
      <c r="P3" t="s">
        <v>421</v>
      </c>
      <c r="Q3" t="s">
        <v>422</v>
      </c>
      <c r="R3" t="s">
        <v>423</v>
      </c>
      <c r="S3" t="s">
        <v>51</v>
      </c>
      <c r="T3">
        <v>7</v>
      </c>
      <c r="U3" t="s">
        <v>51</v>
      </c>
      <c r="V3">
        <v>16</v>
      </c>
      <c r="W3" t="s">
        <v>19</v>
      </c>
      <c r="X3" s="8">
        <v>43440</v>
      </c>
      <c r="Y3" t="s">
        <v>424</v>
      </c>
      <c r="Z3" t="s">
        <v>424</v>
      </c>
      <c r="AA3" t="s">
        <v>19</v>
      </c>
      <c r="AB3" t="s">
        <v>355</v>
      </c>
      <c r="AC3">
        <f t="shared" si="0"/>
        <v>7</v>
      </c>
      <c r="AE3" t="str">
        <f t="shared" si="1"/>
        <v>VTET: A Virtual Industrial Control System Testbed for Cyber Security Research</v>
      </c>
    </row>
    <row r="4" spans="1:31">
      <c r="A4" t="s">
        <v>225</v>
      </c>
      <c r="B4" t="s">
        <v>402</v>
      </c>
      <c r="C4" t="s">
        <v>403</v>
      </c>
      <c r="D4" t="s">
        <v>226</v>
      </c>
      <c r="E4" s="8">
        <v>44965</v>
      </c>
      <c r="F4">
        <v>2023</v>
      </c>
      <c r="G4" t="s">
        <v>227</v>
      </c>
      <c r="H4">
        <v>2</v>
      </c>
      <c r="I4" t="s">
        <v>404</v>
      </c>
      <c r="J4" t="s">
        <v>405</v>
      </c>
      <c r="K4" t="s">
        <v>406</v>
      </c>
      <c r="L4" t="s">
        <v>407</v>
      </c>
      <c r="M4" t="s">
        <v>51</v>
      </c>
      <c r="N4" t="s">
        <v>228</v>
      </c>
      <c r="O4" t="s">
        <v>408</v>
      </c>
      <c r="P4" t="s">
        <v>409</v>
      </c>
      <c r="Q4" t="s">
        <v>410</v>
      </c>
      <c r="R4" t="s">
        <v>411</v>
      </c>
      <c r="S4" t="s">
        <v>51</v>
      </c>
      <c r="T4">
        <v>33</v>
      </c>
      <c r="U4" t="s">
        <v>51</v>
      </c>
      <c r="V4">
        <v>38</v>
      </c>
      <c r="W4" t="s">
        <v>19</v>
      </c>
      <c r="X4" s="8">
        <v>44438</v>
      </c>
      <c r="Y4" t="s">
        <v>412</v>
      </c>
      <c r="Z4" t="s">
        <v>51</v>
      </c>
      <c r="AA4" t="s">
        <v>19</v>
      </c>
      <c r="AB4" t="s">
        <v>413</v>
      </c>
      <c r="AC4">
        <f t="shared" si="0"/>
        <v>14</v>
      </c>
      <c r="AE4" t="str">
        <f t="shared" si="1"/>
        <v>The SAir-IIoT Cyber Testbed as a Service: A Novel Cybertwins Architecture in IIoT-Based Smart Airports</v>
      </c>
    </row>
    <row r="5" spans="1:31">
      <c r="A5" t="s">
        <v>437</v>
      </c>
      <c r="B5" t="s">
        <v>438</v>
      </c>
      <c r="C5" t="s">
        <v>439</v>
      </c>
      <c r="D5" t="s">
        <v>440</v>
      </c>
      <c r="E5" s="8">
        <v>43895</v>
      </c>
      <c r="F5">
        <v>2019</v>
      </c>
      <c r="G5" t="s">
        <v>51</v>
      </c>
      <c r="I5" t="s">
        <v>300</v>
      </c>
      <c r="J5" t="s">
        <v>53</v>
      </c>
      <c r="K5" t="s">
        <v>441</v>
      </c>
      <c r="L5" t="s">
        <v>442</v>
      </c>
      <c r="M5" t="s">
        <v>443</v>
      </c>
      <c r="N5" t="s">
        <v>444</v>
      </c>
      <c r="O5" t="s">
        <v>51</v>
      </c>
      <c r="P5" t="s">
        <v>445</v>
      </c>
      <c r="Q5" t="s">
        <v>446</v>
      </c>
      <c r="R5" t="s">
        <v>447</v>
      </c>
      <c r="S5" t="s">
        <v>51</v>
      </c>
      <c r="U5" t="s">
        <v>51</v>
      </c>
      <c r="V5">
        <v>9</v>
      </c>
      <c r="W5" t="s">
        <v>19</v>
      </c>
      <c r="X5" s="8">
        <v>43895</v>
      </c>
      <c r="Y5" t="s">
        <v>448</v>
      </c>
      <c r="Z5" t="s">
        <v>448</v>
      </c>
      <c r="AA5" t="s">
        <v>19</v>
      </c>
      <c r="AB5" t="s">
        <v>355</v>
      </c>
      <c r="AC5">
        <f t="shared" si="0"/>
        <v>5</v>
      </c>
      <c r="AE5" t="str">
        <f t="shared" si="1"/>
        <v>Test Bed Development for a Security Engineered SCADA Laboratory</v>
      </c>
    </row>
    <row r="6" spans="1:31">
      <c r="A6" t="s">
        <v>1525</v>
      </c>
      <c r="B6" t="s">
        <v>1526</v>
      </c>
      <c r="C6" t="s">
        <v>1527</v>
      </c>
      <c r="D6" t="s">
        <v>1528</v>
      </c>
      <c r="E6" s="8">
        <v>45022</v>
      </c>
      <c r="F6">
        <v>2022</v>
      </c>
      <c r="G6" t="s">
        <v>51</v>
      </c>
      <c r="I6" t="s">
        <v>300</v>
      </c>
      <c r="J6" t="s">
        <v>1529</v>
      </c>
      <c r="K6" t="s">
        <v>1530</v>
      </c>
      <c r="L6" t="s">
        <v>51</v>
      </c>
      <c r="M6" t="s">
        <v>1531</v>
      </c>
      <c r="N6" t="s">
        <v>1532</v>
      </c>
      <c r="O6" t="s">
        <v>51</v>
      </c>
      <c r="P6" t="s">
        <v>1533</v>
      </c>
      <c r="Q6" t="s">
        <v>1534</v>
      </c>
      <c r="R6" t="s">
        <v>1535</v>
      </c>
      <c r="S6" t="s">
        <v>51</v>
      </c>
      <c r="U6" t="s">
        <v>51</v>
      </c>
      <c r="V6">
        <v>25</v>
      </c>
      <c r="W6" t="s">
        <v>19</v>
      </c>
      <c r="X6" s="8">
        <v>45022</v>
      </c>
      <c r="Y6" t="s">
        <v>1536</v>
      </c>
      <c r="Z6" t="s">
        <v>1536</v>
      </c>
      <c r="AA6" t="s">
        <v>19</v>
      </c>
      <c r="AB6" t="s">
        <v>355</v>
      </c>
      <c r="AC6">
        <f t="shared" si="0"/>
        <v>10</v>
      </c>
      <c r="AE6" t="str">
        <f t="shared" si="1"/>
        <v>Industrial Internet of Things (IIoT): Testbed and Datasets for CyberSecurity and Digital Forensics</v>
      </c>
    </row>
    <row r="7" spans="1:31">
      <c r="A7" t="s">
        <v>671</v>
      </c>
      <c r="B7" t="s">
        <v>672</v>
      </c>
      <c r="C7" t="s">
        <v>673</v>
      </c>
      <c r="D7" t="s">
        <v>674</v>
      </c>
      <c r="E7" s="8">
        <v>45468</v>
      </c>
      <c r="F7">
        <v>2024</v>
      </c>
      <c r="G7" t="s">
        <v>51</v>
      </c>
      <c r="I7" t="s">
        <v>675</v>
      </c>
      <c r="J7" t="s">
        <v>676</v>
      </c>
      <c r="K7" t="s">
        <v>677</v>
      </c>
      <c r="L7" t="s">
        <v>51</v>
      </c>
      <c r="M7" t="s">
        <v>678</v>
      </c>
      <c r="N7" t="s">
        <v>679</v>
      </c>
      <c r="O7" t="s">
        <v>51</v>
      </c>
      <c r="P7" t="s">
        <v>680</v>
      </c>
      <c r="Q7" t="s">
        <v>681</v>
      </c>
      <c r="R7" t="s">
        <v>682</v>
      </c>
      <c r="S7" t="s">
        <v>51</v>
      </c>
      <c r="T7">
        <v>2</v>
      </c>
      <c r="U7" t="s">
        <v>51</v>
      </c>
      <c r="V7">
        <v>28</v>
      </c>
      <c r="W7" t="s">
        <v>19</v>
      </c>
      <c r="X7" s="8">
        <v>45468</v>
      </c>
      <c r="Y7" t="s">
        <v>683</v>
      </c>
      <c r="Z7" t="s">
        <v>683</v>
      </c>
      <c r="AA7" t="s">
        <v>19</v>
      </c>
      <c r="AB7" t="s">
        <v>355</v>
      </c>
      <c r="AC7">
        <f t="shared" si="0"/>
        <v>6</v>
      </c>
      <c r="AE7" t="str">
        <f t="shared" si="1"/>
        <v>Improving Substation Network Security with DevSecOps and AIOps</v>
      </c>
    </row>
    <row r="8" spans="1:31">
      <c r="A8" t="s">
        <v>367</v>
      </c>
      <c r="B8" t="s">
        <v>368</v>
      </c>
      <c r="C8" t="s">
        <v>369</v>
      </c>
      <c r="D8" t="s">
        <v>370</v>
      </c>
      <c r="E8" s="8">
        <v>45293</v>
      </c>
      <c r="F8">
        <v>2023</v>
      </c>
      <c r="G8" t="s">
        <v>51</v>
      </c>
      <c r="I8" t="s">
        <v>371</v>
      </c>
      <c r="J8" t="s">
        <v>372</v>
      </c>
      <c r="K8" t="s">
        <v>373</v>
      </c>
      <c r="L8" t="s">
        <v>374</v>
      </c>
      <c r="M8" t="s">
        <v>375</v>
      </c>
      <c r="N8" t="s">
        <v>244</v>
      </c>
      <c r="O8" t="s">
        <v>51</v>
      </c>
      <c r="P8" t="s">
        <v>376</v>
      </c>
      <c r="Q8" t="s">
        <v>377</v>
      </c>
      <c r="R8" t="s">
        <v>378</v>
      </c>
      <c r="S8" t="s">
        <v>51</v>
      </c>
      <c r="T8">
        <v>2</v>
      </c>
      <c r="U8" t="s">
        <v>51</v>
      </c>
      <c r="V8">
        <v>21</v>
      </c>
      <c r="W8" t="s">
        <v>19</v>
      </c>
      <c r="X8" s="8">
        <v>45293</v>
      </c>
      <c r="Y8" t="s">
        <v>379</v>
      </c>
      <c r="Z8" t="s">
        <v>379</v>
      </c>
      <c r="AA8" t="s">
        <v>19</v>
      </c>
      <c r="AB8" t="s">
        <v>355</v>
      </c>
      <c r="AC8">
        <f t="shared" si="0"/>
        <v>6</v>
      </c>
      <c r="AE8" t="str">
        <f t="shared" si="1"/>
        <v>Performance Evaluation of MQTT and CoAP Communication Protocols in IIoT for Electrical Substations Based on the IEC 61850 Standard</v>
      </c>
    </row>
    <row r="9" spans="1:31">
      <c r="A9" t="s">
        <v>485</v>
      </c>
      <c r="B9" t="s">
        <v>486</v>
      </c>
      <c r="C9" t="s">
        <v>487</v>
      </c>
      <c r="D9" t="s">
        <v>303</v>
      </c>
      <c r="E9" s="8">
        <v>43340</v>
      </c>
      <c r="F9">
        <v>2018</v>
      </c>
      <c r="G9" t="s">
        <v>145</v>
      </c>
      <c r="I9" t="s">
        <v>488</v>
      </c>
      <c r="J9" t="s">
        <v>489</v>
      </c>
      <c r="K9" t="s">
        <v>490</v>
      </c>
      <c r="L9" t="s">
        <v>459</v>
      </c>
      <c r="M9" t="s">
        <v>51</v>
      </c>
      <c r="N9" t="s">
        <v>491</v>
      </c>
      <c r="O9" t="s">
        <v>492</v>
      </c>
      <c r="P9" t="s">
        <v>493</v>
      </c>
      <c r="Q9" t="s">
        <v>494</v>
      </c>
      <c r="R9" t="s">
        <v>495</v>
      </c>
      <c r="S9" t="s">
        <v>51</v>
      </c>
      <c r="T9">
        <v>55</v>
      </c>
      <c r="U9" t="s">
        <v>51</v>
      </c>
      <c r="V9">
        <v>35</v>
      </c>
      <c r="W9" t="s">
        <v>496</v>
      </c>
      <c r="X9" s="8">
        <v>43297</v>
      </c>
      <c r="Y9" t="s">
        <v>497</v>
      </c>
      <c r="Z9" t="s">
        <v>51</v>
      </c>
      <c r="AA9" t="s">
        <v>19</v>
      </c>
      <c r="AB9" t="s">
        <v>413</v>
      </c>
      <c r="AC9">
        <f t="shared" si="0"/>
        <v>16</v>
      </c>
      <c r="AE9" t="str">
        <f t="shared" si="1"/>
        <v>Behavior and Vulnerability Assessment of Drones-Enabled Industrial Internet of Things (IIoT)</v>
      </c>
    </row>
    <row r="10" spans="1:31">
      <c r="A10" t="s">
        <v>555</v>
      </c>
      <c r="B10" t="s">
        <v>556</v>
      </c>
      <c r="C10" t="s">
        <v>557</v>
      </c>
      <c r="D10" t="s">
        <v>558</v>
      </c>
      <c r="E10" s="8">
        <v>43622</v>
      </c>
      <c r="F10">
        <v>2018</v>
      </c>
      <c r="G10" t="s">
        <v>51</v>
      </c>
      <c r="I10" t="s">
        <v>300</v>
      </c>
      <c r="J10" t="s">
        <v>145</v>
      </c>
      <c r="K10" t="s">
        <v>559</v>
      </c>
      <c r="L10" t="s">
        <v>51</v>
      </c>
      <c r="M10" t="s">
        <v>560</v>
      </c>
      <c r="N10" t="s">
        <v>561</v>
      </c>
      <c r="O10" t="s">
        <v>51</v>
      </c>
      <c r="P10" t="s">
        <v>562</v>
      </c>
      <c r="Q10" t="s">
        <v>563</v>
      </c>
      <c r="R10" t="s">
        <v>564</v>
      </c>
      <c r="S10" t="s">
        <v>51</v>
      </c>
      <c r="U10" t="s">
        <v>51</v>
      </c>
      <c r="V10">
        <v>15</v>
      </c>
      <c r="W10" t="s">
        <v>19</v>
      </c>
      <c r="X10" s="8">
        <v>43622</v>
      </c>
      <c r="Y10" t="s">
        <v>565</v>
      </c>
      <c r="Z10" t="s">
        <v>565</v>
      </c>
      <c r="AA10" t="s">
        <v>19</v>
      </c>
      <c r="AB10" t="s">
        <v>355</v>
      </c>
      <c r="AC10">
        <f t="shared" si="0"/>
        <v>6</v>
      </c>
      <c r="AE10" t="str">
        <f t="shared" si="1"/>
        <v>Architecture of Modular System for Assessing Security of Telemetry Information Transmission System</v>
      </c>
    </row>
    <row r="11" spans="1:31">
      <c r="A11" t="s">
        <v>427</v>
      </c>
      <c r="B11" t="s">
        <v>428</v>
      </c>
      <c r="C11" t="s">
        <v>429</v>
      </c>
      <c r="D11" t="s">
        <v>134</v>
      </c>
      <c r="E11" s="8">
        <v>44279</v>
      </c>
      <c r="F11">
        <v>2021</v>
      </c>
      <c r="G11" t="s">
        <v>286</v>
      </c>
      <c r="H11">
        <v>7</v>
      </c>
      <c r="I11" t="s">
        <v>430</v>
      </c>
      <c r="J11" t="s">
        <v>431</v>
      </c>
      <c r="K11" t="s">
        <v>432</v>
      </c>
      <c r="L11" t="s">
        <v>425</v>
      </c>
      <c r="M11" t="s">
        <v>51</v>
      </c>
      <c r="N11" t="s">
        <v>288</v>
      </c>
      <c r="O11" t="s">
        <v>51</v>
      </c>
      <c r="P11" t="s">
        <v>433</v>
      </c>
      <c r="Q11" t="s">
        <v>434</v>
      </c>
      <c r="R11" t="s">
        <v>435</v>
      </c>
      <c r="S11" t="s">
        <v>51</v>
      </c>
      <c r="T11">
        <v>53</v>
      </c>
      <c r="U11" t="s">
        <v>51</v>
      </c>
      <c r="V11">
        <v>50</v>
      </c>
      <c r="W11" t="s">
        <v>19</v>
      </c>
      <c r="X11" s="8">
        <v>44124</v>
      </c>
      <c r="Y11" t="s">
        <v>436</v>
      </c>
      <c r="Z11" t="s">
        <v>51</v>
      </c>
      <c r="AA11" t="s">
        <v>19</v>
      </c>
      <c r="AB11" t="s">
        <v>413</v>
      </c>
      <c r="AC11">
        <f t="shared" si="0"/>
        <v>16</v>
      </c>
      <c r="AE11" t="str">
        <f t="shared" si="1"/>
        <v>Developing a Security Testbed for Industrial Internet of Things</v>
      </c>
    </row>
    <row r="12" spans="1:31">
      <c r="A12" t="s">
        <v>253</v>
      </c>
      <c r="B12" t="s">
        <v>811</v>
      </c>
      <c r="C12" t="s">
        <v>812</v>
      </c>
      <c r="D12" t="s">
        <v>813</v>
      </c>
      <c r="E12" s="8">
        <v>45134</v>
      </c>
      <c r="F12">
        <v>2023</v>
      </c>
      <c r="G12" t="s">
        <v>51</v>
      </c>
      <c r="I12" t="s">
        <v>300</v>
      </c>
      <c r="J12" t="s">
        <v>452</v>
      </c>
      <c r="K12" t="s">
        <v>814</v>
      </c>
      <c r="L12" t="s">
        <v>51</v>
      </c>
      <c r="M12" t="s">
        <v>815</v>
      </c>
      <c r="N12" t="s">
        <v>254</v>
      </c>
      <c r="O12" t="s">
        <v>51</v>
      </c>
      <c r="P12" t="s">
        <v>816</v>
      </c>
      <c r="Q12" t="s">
        <v>817</v>
      </c>
      <c r="R12" t="s">
        <v>818</v>
      </c>
      <c r="S12" t="s">
        <v>51</v>
      </c>
      <c r="U12" t="s">
        <v>51</v>
      </c>
      <c r="V12">
        <v>11</v>
      </c>
      <c r="W12" t="s">
        <v>19</v>
      </c>
      <c r="X12" s="8">
        <v>45134</v>
      </c>
      <c r="Y12" t="s">
        <v>819</v>
      </c>
      <c r="Z12" t="s">
        <v>819</v>
      </c>
      <c r="AA12" t="s">
        <v>19</v>
      </c>
      <c r="AB12" t="s">
        <v>355</v>
      </c>
      <c r="AC12">
        <f t="shared" si="0"/>
        <v>4</v>
      </c>
      <c r="AE12" t="str">
        <f t="shared" si="1"/>
        <v>SWaP: A Water Process Testbed for ICS Security Research</v>
      </c>
    </row>
    <row r="13" spans="1:31">
      <c r="A13" t="s">
        <v>179</v>
      </c>
      <c r="B13" t="s">
        <v>391</v>
      </c>
      <c r="C13" t="s">
        <v>392</v>
      </c>
      <c r="D13" t="s">
        <v>393</v>
      </c>
      <c r="E13" s="8">
        <v>45510</v>
      </c>
      <c r="F13">
        <v>2024</v>
      </c>
      <c r="G13" t="s">
        <v>51</v>
      </c>
      <c r="I13" t="s">
        <v>300</v>
      </c>
      <c r="J13" t="s">
        <v>145</v>
      </c>
      <c r="K13" t="s">
        <v>394</v>
      </c>
      <c r="L13" t="s">
        <v>395</v>
      </c>
      <c r="M13" t="s">
        <v>396</v>
      </c>
      <c r="N13" t="s">
        <v>180</v>
      </c>
      <c r="O13" t="s">
        <v>397</v>
      </c>
      <c r="P13" t="s">
        <v>398</v>
      </c>
      <c r="Q13" t="s">
        <v>399</v>
      </c>
      <c r="R13" t="s">
        <v>400</v>
      </c>
      <c r="S13" t="s">
        <v>51</v>
      </c>
      <c r="U13" t="s">
        <v>51</v>
      </c>
      <c r="V13">
        <v>27</v>
      </c>
      <c r="W13" t="s">
        <v>19</v>
      </c>
      <c r="X13" s="8">
        <v>45510</v>
      </c>
      <c r="Y13" t="s">
        <v>401</v>
      </c>
      <c r="Z13" t="s">
        <v>401</v>
      </c>
      <c r="AA13" t="s">
        <v>19</v>
      </c>
      <c r="AB13" t="s">
        <v>355</v>
      </c>
      <c r="AC13">
        <f t="shared" si="0"/>
        <v>6</v>
      </c>
      <c r="AE13" t="str">
        <f t="shared" si="1"/>
        <v>A Comparative Analysis of Application Layer Protocols Within an Industrial Internet of Things Monitoring System</v>
      </c>
    </row>
    <row r="14" spans="1:31">
      <c r="A14" t="s">
        <v>1537</v>
      </c>
      <c r="B14" t="s">
        <v>1538</v>
      </c>
      <c r="C14" t="s">
        <v>1539</v>
      </c>
      <c r="D14" t="s">
        <v>1540</v>
      </c>
      <c r="E14" s="8">
        <v>45989</v>
      </c>
      <c r="F14">
        <v>2025</v>
      </c>
      <c r="G14" t="s">
        <v>51</v>
      </c>
      <c r="I14" t="s">
        <v>1541</v>
      </c>
      <c r="J14" t="s">
        <v>1542</v>
      </c>
      <c r="K14" t="s">
        <v>1543</v>
      </c>
      <c r="L14" t="s">
        <v>51</v>
      </c>
      <c r="M14" t="s">
        <v>1544</v>
      </c>
      <c r="N14" t="s">
        <v>1545</v>
      </c>
      <c r="O14" t="s">
        <v>51</v>
      </c>
      <c r="P14" t="s">
        <v>1546</v>
      </c>
      <c r="Q14" t="s">
        <v>1547</v>
      </c>
      <c r="R14" t="s">
        <v>1548</v>
      </c>
      <c r="S14" t="s">
        <v>51</v>
      </c>
      <c r="U14" t="s">
        <v>51</v>
      </c>
      <c r="V14">
        <v>18</v>
      </c>
      <c r="W14" t="s">
        <v>19</v>
      </c>
      <c r="X14" s="8">
        <v>45989</v>
      </c>
      <c r="Y14" t="s">
        <v>1549</v>
      </c>
      <c r="Z14" t="s">
        <v>1549</v>
      </c>
      <c r="AA14" t="s">
        <v>19</v>
      </c>
      <c r="AB14" t="s">
        <v>355</v>
      </c>
      <c r="AC14">
        <f t="shared" si="0"/>
        <v>4</v>
      </c>
      <c r="AE14" t="str">
        <f t="shared" si="1"/>
        <v>Application of Industrial Internet of Things with Edge Computing and Artificial Intelligence Models</v>
      </c>
    </row>
    <row r="15" spans="1:31">
      <c r="A15" t="s">
        <v>660</v>
      </c>
      <c r="B15" t="s">
        <v>661</v>
      </c>
      <c r="C15" t="s">
        <v>662</v>
      </c>
      <c r="D15" t="s">
        <v>303</v>
      </c>
      <c r="E15" s="8">
        <v>44225</v>
      </c>
      <c r="F15">
        <v>2021</v>
      </c>
      <c r="G15" t="s">
        <v>63</v>
      </c>
      <c r="I15" t="s">
        <v>663</v>
      </c>
      <c r="J15" t="s">
        <v>664</v>
      </c>
      <c r="K15" t="s">
        <v>665</v>
      </c>
      <c r="L15" t="s">
        <v>459</v>
      </c>
      <c r="M15" t="s">
        <v>51</v>
      </c>
      <c r="N15" t="s">
        <v>666</v>
      </c>
      <c r="O15" t="s">
        <v>667</v>
      </c>
      <c r="P15" t="s">
        <v>668</v>
      </c>
      <c r="Q15" t="s">
        <v>669</v>
      </c>
      <c r="R15" t="s">
        <v>670</v>
      </c>
      <c r="S15" t="s">
        <v>51</v>
      </c>
      <c r="T15">
        <v>39</v>
      </c>
      <c r="U15" t="s">
        <v>51</v>
      </c>
      <c r="V15">
        <v>46</v>
      </c>
      <c r="W15" t="s">
        <v>460</v>
      </c>
      <c r="X15" s="8">
        <v>44216</v>
      </c>
      <c r="Y15" t="s">
        <v>646</v>
      </c>
      <c r="Z15" t="s">
        <v>51</v>
      </c>
      <c r="AA15" t="s">
        <v>19</v>
      </c>
      <c r="AB15" t="s">
        <v>413</v>
      </c>
      <c r="AC15">
        <f t="shared" si="0"/>
        <v>15</v>
      </c>
      <c r="AE15" t="str">
        <f t="shared" si="1"/>
        <v>A Cyber-Security Methodology for a Cyber-Physical Industrial Control System Testbed</v>
      </c>
    </row>
    <row r="16" spans="1:31">
      <c r="A16" t="s">
        <v>474</v>
      </c>
      <c r="B16" t="s">
        <v>475</v>
      </c>
      <c r="C16" t="s">
        <v>476</v>
      </c>
      <c r="D16" t="s">
        <v>477</v>
      </c>
      <c r="E16" s="8">
        <v>42817</v>
      </c>
      <c r="F16">
        <v>2016</v>
      </c>
      <c r="G16" t="s">
        <v>51</v>
      </c>
      <c r="I16" t="s">
        <v>300</v>
      </c>
      <c r="J16" t="s">
        <v>145</v>
      </c>
      <c r="K16" t="s">
        <v>478</v>
      </c>
      <c r="L16" t="s">
        <v>51</v>
      </c>
      <c r="M16" t="s">
        <v>479</v>
      </c>
      <c r="N16" t="s">
        <v>480</v>
      </c>
      <c r="O16" t="s">
        <v>51</v>
      </c>
      <c r="P16" t="s">
        <v>481</v>
      </c>
      <c r="Q16" t="s">
        <v>482</v>
      </c>
      <c r="R16" t="s">
        <v>483</v>
      </c>
      <c r="S16" t="s">
        <v>51</v>
      </c>
      <c r="T16">
        <v>17</v>
      </c>
      <c r="U16" t="s">
        <v>51</v>
      </c>
      <c r="V16">
        <v>20</v>
      </c>
      <c r="W16" t="s">
        <v>51</v>
      </c>
      <c r="X16" s="8">
        <v>42817</v>
      </c>
      <c r="Y16" t="s">
        <v>484</v>
      </c>
      <c r="Z16" t="s">
        <v>484</v>
      </c>
      <c r="AA16" t="s">
        <v>19</v>
      </c>
      <c r="AB16" t="s">
        <v>355</v>
      </c>
      <c r="AC16">
        <f t="shared" si="0"/>
        <v>6</v>
      </c>
      <c r="AE16" t="str">
        <f t="shared" si="1"/>
        <v>SCADA-SST: a SCADA security testbed</v>
      </c>
    </row>
    <row r="17" spans="1:31">
      <c r="A17" t="s">
        <v>647</v>
      </c>
      <c r="B17" t="s">
        <v>648</v>
      </c>
      <c r="C17" t="s">
        <v>649</v>
      </c>
      <c r="D17" t="s">
        <v>650</v>
      </c>
      <c r="E17" s="8">
        <v>44113</v>
      </c>
      <c r="F17">
        <v>2020</v>
      </c>
      <c r="G17" t="s">
        <v>51</v>
      </c>
      <c r="I17" t="s">
        <v>651</v>
      </c>
      <c r="J17" t="s">
        <v>652</v>
      </c>
      <c r="K17" t="s">
        <v>653</v>
      </c>
      <c r="L17" t="s">
        <v>51</v>
      </c>
      <c r="M17" t="s">
        <v>654</v>
      </c>
      <c r="N17" t="s">
        <v>655</v>
      </c>
      <c r="O17" t="s">
        <v>51</v>
      </c>
      <c r="P17" t="s">
        <v>656</v>
      </c>
      <c r="Q17" t="s">
        <v>657</v>
      </c>
      <c r="R17" t="s">
        <v>658</v>
      </c>
      <c r="S17" t="s">
        <v>51</v>
      </c>
      <c r="T17">
        <v>8</v>
      </c>
      <c r="U17" t="s">
        <v>51</v>
      </c>
      <c r="V17">
        <v>17</v>
      </c>
      <c r="W17" t="s">
        <v>19</v>
      </c>
      <c r="X17" s="8">
        <v>44113</v>
      </c>
      <c r="Y17" t="s">
        <v>659</v>
      </c>
      <c r="Z17" t="s">
        <v>659</v>
      </c>
      <c r="AA17" t="s">
        <v>19</v>
      </c>
      <c r="AB17" t="s">
        <v>355</v>
      </c>
      <c r="AC17">
        <f t="shared" si="0"/>
        <v>6</v>
      </c>
      <c r="AE17" t="str">
        <f t="shared" si="1"/>
        <v>Design and Implementation of Full-Scale Industrial Control System Test Bed for Assessing Cyber-Security Defenses</v>
      </c>
    </row>
    <row r="18" spans="1:31">
      <c r="A18" t="s">
        <v>740</v>
      </c>
      <c r="B18" t="s">
        <v>741</v>
      </c>
      <c r="C18" t="s">
        <v>742</v>
      </c>
      <c r="D18" t="s">
        <v>743</v>
      </c>
      <c r="E18" s="8">
        <v>43286</v>
      </c>
      <c r="F18">
        <v>2018</v>
      </c>
      <c r="G18" t="s">
        <v>51</v>
      </c>
      <c r="I18" t="s">
        <v>300</v>
      </c>
      <c r="J18" t="s">
        <v>63</v>
      </c>
      <c r="K18" t="s">
        <v>744</v>
      </c>
      <c r="L18" t="s">
        <v>51</v>
      </c>
      <c r="M18" t="s">
        <v>745</v>
      </c>
      <c r="N18" t="s">
        <v>746</v>
      </c>
      <c r="O18" t="s">
        <v>51</v>
      </c>
      <c r="P18" t="s">
        <v>747</v>
      </c>
      <c r="Q18" t="s">
        <v>748</v>
      </c>
      <c r="R18" t="s">
        <v>749</v>
      </c>
      <c r="S18" t="s">
        <v>51</v>
      </c>
      <c r="T18">
        <v>8</v>
      </c>
      <c r="U18" t="s">
        <v>51</v>
      </c>
      <c r="V18">
        <v>19</v>
      </c>
      <c r="W18" t="s">
        <v>19</v>
      </c>
      <c r="X18" s="8">
        <v>43286</v>
      </c>
      <c r="Y18" t="s">
        <v>750</v>
      </c>
      <c r="Z18" t="s">
        <v>750</v>
      </c>
      <c r="AA18" t="s">
        <v>19</v>
      </c>
      <c r="AB18" t="s">
        <v>355</v>
      </c>
      <c r="AC18">
        <f t="shared" si="0"/>
        <v>9</v>
      </c>
      <c r="AE18" t="str">
        <f t="shared" si="1"/>
        <v>A dual-standard solution for industrial Wireless Sensor Network deployment: Experimental testbed and performance evaluation</v>
      </c>
    </row>
    <row r="19" spans="1:31">
      <c r="A19" t="s">
        <v>195</v>
      </c>
      <c r="B19" t="s">
        <v>380</v>
      </c>
      <c r="C19" t="s">
        <v>381</v>
      </c>
      <c r="D19" t="s">
        <v>382</v>
      </c>
      <c r="E19" s="8">
        <v>45729</v>
      </c>
      <c r="F19">
        <v>2024</v>
      </c>
      <c r="G19" t="s">
        <v>51</v>
      </c>
      <c r="I19" t="s">
        <v>383</v>
      </c>
      <c r="J19" t="s">
        <v>384</v>
      </c>
      <c r="K19" t="s">
        <v>385</v>
      </c>
      <c r="L19" t="s">
        <v>51</v>
      </c>
      <c r="M19" t="s">
        <v>386</v>
      </c>
      <c r="N19" t="s">
        <v>196</v>
      </c>
      <c r="O19" t="s">
        <v>51</v>
      </c>
      <c r="P19" t="s">
        <v>387</v>
      </c>
      <c r="Q19" t="s">
        <v>388</v>
      </c>
      <c r="R19" t="s">
        <v>389</v>
      </c>
      <c r="S19" t="s">
        <v>51</v>
      </c>
      <c r="U19" t="s">
        <v>51</v>
      </c>
      <c r="V19">
        <v>12</v>
      </c>
      <c r="W19" t="s">
        <v>19</v>
      </c>
      <c r="X19" s="8">
        <v>45729</v>
      </c>
      <c r="Y19" t="s">
        <v>390</v>
      </c>
      <c r="Z19" t="s">
        <v>390</v>
      </c>
      <c r="AA19" t="s">
        <v>19</v>
      </c>
      <c r="AB19" t="s">
        <v>355</v>
      </c>
      <c r="AC19">
        <f t="shared" si="0"/>
        <v>5</v>
      </c>
      <c r="AE19" t="str">
        <f t="shared" si="1"/>
        <v>Enhancing Industrial Communication Protocol Fuzz Testing Through Virtualization And Intelligent Guidance</v>
      </c>
    </row>
    <row r="20" spans="1:31">
      <c r="A20" t="s">
        <v>1550</v>
      </c>
      <c r="B20" t="s">
        <v>1551</v>
      </c>
      <c r="C20" t="s">
        <v>1552</v>
      </c>
      <c r="D20" t="s">
        <v>1553</v>
      </c>
      <c r="E20" s="8">
        <v>43185</v>
      </c>
      <c r="F20">
        <v>2017</v>
      </c>
      <c r="G20" t="s">
        <v>51</v>
      </c>
      <c r="I20" t="s">
        <v>1554</v>
      </c>
      <c r="J20" t="s">
        <v>1555</v>
      </c>
      <c r="K20" t="s">
        <v>1556</v>
      </c>
      <c r="L20" t="s">
        <v>51</v>
      </c>
      <c r="M20" t="s">
        <v>1557</v>
      </c>
      <c r="N20" t="s">
        <v>1558</v>
      </c>
      <c r="O20" t="s">
        <v>51</v>
      </c>
      <c r="P20" t="s">
        <v>1559</v>
      </c>
      <c r="Q20" t="s">
        <v>51</v>
      </c>
      <c r="R20" t="s">
        <v>1560</v>
      </c>
      <c r="S20" t="s">
        <v>51</v>
      </c>
      <c r="T20">
        <v>12</v>
      </c>
      <c r="U20" t="s">
        <v>51</v>
      </c>
      <c r="V20">
        <v>20</v>
      </c>
      <c r="W20" t="s">
        <v>19</v>
      </c>
      <c r="X20" s="8">
        <v>43185</v>
      </c>
      <c r="Y20" t="s">
        <v>1561</v>
      </c>
      <c r="Z20" t="s">
        <v>1561</v>
      </c>
      <c r="AA20" t="s">
        <v>19</v>
      </c>
      <c r="AB20" t="s">
        <v>355</v>
      </c>
      <c r="AC20">
        <f t="shared" si="0"/>
        <v>6</v>
      </c>
      <c r="AE20" t="str">
        <f t="shared" si="1"/>
        <v>A virtual testbed for security management of industrial control systems</v>
      </c>
    </row>
    <row r="21" spans="1:31">
      <c r="A21" t="s">
        <v>789</v>
      </c>
      <c r="B21" t="s">
        <v>790</v>
      </c>
      <c r="C21" t="s">
        <v>791</v>
      </c>
      <c r="D21" t="s">
        <v>127</v>
      </c>
      <c r="E21" s="8">
        <v>44498</v>
      </c>
      <c r="F21">
        <v>2022</v>
      </c>
      <c r="G21" t="s">
        <v>1562</v>
      </c>
      <c r="H21">
        <v>2</v>
      </c>
      <c r="I21" t="s">
        <v>792</v>
      </c>
      <c r="J21" t="s">
        <v>793</v>
      </c>
      <c r="K21" t="s">
        <v>794</v>
      </c>
      <c r="L21" t="s">
        <v>426</v>
      </c>
      <c r="M21" t="s">
        <v>51</v>
      </c>
      <c r="N21" t="s">
        <v>795</v>
      </c>
      <c r="O21" t="s">
        <v>796</v>
      </c>
      <c r="P21" t="s">
        <v>797</v>
      </c>
      <c r="Q21" t="s">
        <v>798</v>
      </c>
      <c r="R21" t="s">
        <v>799</v>
      </c>
      <c r="S21" t="s">
        <v>51</v>
      </c>
      <c r="T21">
        <v>18</v>
      </c>
      <c r="U21" t="s">
        <v>51</v>
      </c>
      <c r="V21">
        <v>30</v>
      </c>
      <c r="W21" t="s">
        <v>19</v>
      </c>
      <c r="X21" s="8">
        <v>44348</v>
      </c>
      <c r="Y21" t="s">
        <v>545</v>
      </c>
      <c r="Z21" t="s">
        <v>51</v>
      </c>
      <c r="AA21" t="s">
        <v>19</v>
      </c>
      <c r="AB21" t="s">
        <v>413</v>
      </c>
      <c r="AC21">
        <f t="shared" si="0"/>
        <v>11</v>
      </c>
      <c r="AE21" t="str">
        <f t="shared" si="1"/>
        <v>Design, Analysis and Implementation of a Security Assessment/Enhancement Platform for Cyber-Physical Systems</v>
      </c>
    </row>
    <row r="22" spans="1:31">
      <c r="A22" t="s">
        <v>449</v>
      </c>
      <c r="B22" t="s">
        <v>450</v>
      </c>
      <c r="C22" t="s">
        <v>451</v>
      </c>
      <c r="D22" t="s">
        <v>359</v>
      </c>
      <c r="E22" s="8">
        <v>43108</v>
      </c>
      <c r="F22">
        <v>2017</v>
      </c>
      <c r="G22" t="s">
        <v>51</v>
      </c>
      <c r="I22" t="s">
        <v>300</v>
      </c>
      <c r="J22" t="s">
        <v>452</v>
      </c>
      <c r="K22" t="s">
        <v>453</v>
      </c>
      <c r="L22" t="s">
        <v>361</v>
      </c>
      <c r="M22" t="s">
        <v>362</v>
      </c>
      <c r="N22" t="s">
        <v>454</v>
      </c>
      <c r="O22" t="s">
        <v>51</v>
      </c>
      <c r="P22" t="s">
        <v>455</v>
      </c>
      <c r="Q22" t="s">
        <v>456</v>
      </c>
      <c r="R22" t="s">
        <v>457</v>
      </c>
      <c r="S22" t="s">
        <v>51</v>
      </c>
      <c r="T22">
        <v>6</v>
      </c>
      <c r="U22" t="s">
        <v>51</v>
      </c>
      <c r="V22">
        <v>9</v>
      </c>
      <c r="W22" t="s">
        <v>458</v>
      </c>
      <c r="X22" s="8">
        <v>43108</v>
      </c>
      <c r="Y22" t="s">
        <v>366</v>
      </c>
      <c r="Z22" t="s">
        <v>366</v>
      </c>
      <c r="AA22" t="s">
        <v>19</v>
      </c>
      <c r="AB22" t="s">
        <v>355</v>
      </c>
      <c r="AC22">
        <f t="shared" si="0"/>
        <v>4</v>
      </c>
      <c r="AE22" t="str">
        <f t="shared" si="1"/>
        <v>Cyber security of industrial communication protocols</v>
      </c>
    </row>
    <row r="23" spans="1:31">
      <c r="A23" t="s">
        <v>258</v>
      </c>
      <c r="B23" t="s">
        <v>521</v>
      </c>
      <c r="C23" t="s">
        <v>522</v>
      </c>
      <c r="D23" t="s">
        <v>523</v>
      </c>
      <c r="E23" s="8">
        <v>44931</v>
      </c>
      <c r="F23">
        <v>2022</v>
      </c>
      <c r="G23" t="s">
        <v>51</v>
      </c>
      <c r="I23" t="s">
        <v>524</v>
      </c>
      <c r="J23" t="s">
        <v>525</v>
      </c>
      <c r="K23" t="s">
        <v>526</v>
      </c>
      <c r="L23" t="s">
        <v>527</v>
      </c>
      <c r="M23" t="s">
        <v>528</v>
      </c>
      <c r="N23" t="s">
        <v>259</v>
      </c>
      <c r="O23" t="s">
        <v>51</v>
      </c>
      <c r="P23" t="s">
        <v>529</v>
      </c>
      <c r="Q23" t="s">
        <v>530</v>
      </c>
      <c r="R23" t="s">
        <v>531</v>
      </c>
      <c r="S23" t="s">
        <v>51</v>
      </c>
      <c r="T23">
        <v>5</v>
      </c>
      <c r="U23" t="s">
        <v>51</v>
      </c>
      <c r="V23">
        <v>25</v>
      </c>
      <c r="W23" t="s">
        <v>532</v>
      </c>
      <c r="X23" s="8">
        <v>44931</v>
      </c>
      <c r="Y23" t="s">
        <v>533</v>
      </c>
      <c r="Z23" t="s">
        <v>533</v>
      </c>
      <c r="AA23" t="s">
        <v>19</v>
      </c>
      <c r="AB23" t="s">
        <v>355</v>
      </c>
      <c r="AC23">
        <f t="shared" si="0"/>
        <v>8</v>
      </c>
      <c r="AE23" t="str">
        <f t="shared" si="1"/>
        <v>A Comparative Study to Evaluate the Performance of Communication Protocols for Process Industry</v>
      </c>
    </row>
    <row r="24" spans="1:31">
      <c r="A24" t="s">
        <v>462</v>
      </c>
      <c r="B24" t="s">
        <v>463</v>
      </c>
      <c r="C24" t="s">
        <v>464</v>
      </c>
      <c r="D24" t="s">
        <v>127</v>
      </c>
      <c r="E24" s="8">
        <v>45671</v>
      </c>
      <c r="F24">
        <v>2025</v>
      </c>
      <c r="G24" t="s">
        <v>128</v>
      </c>
      <c r="H24">
        <v>1</v>
      </c>
      <c r="I24" t="s">
        <v>465</v>
      </c>
      <c r="J24" t="s">
        <v>466</v>
      </c>
      <c r="K24" t="s">
        <v>467</v>
      </c>
      <c r="L24" t="s">
        <v>426</v>
      </c>
      <c r="M24" t="s">
        <v>51</v>
      </c>
      <c r="N24" t="s">
        <v>468</v>
      </c>
      <c r="O24" t="s">
        <v>469</v>
      </c>
      <c r="P24" t="s">
        <v>470</v>
      </c>
      <c r="Q24" t="s">
        <v>471</v>
      </c>
      <c r="R24" t="s">
        <v>472</v>
      </c>
      <c r="S24" t="s">
        <v>51</v>
      </c>
      <c r="T24">
        <v>4</v>
      </c>
      <c r="U24" t="s">
        <v>51</v>
      </c>
      <c r="V24">
        <v>29</v>
      </c>
      <c r="W24" t="s">
        <v>19</v>
      </c>
      <c r="X24" s="8">
        <v>45565</v>
      </c>
      <c r="Y24" t="s">
        <v>473</v>
      </c>
      <c r="Z24" t="s">
        <v>51</v>
      </c>
      <c r="AA24" t="s">
        <v>19</v>
      </c>
      <c r="AB24" t="s">
        <v>413</v>
      </c>
      <c r="AC24">
        <f t="shared" si="0"/>
        <v>10</v>
      </c>
      <c r="AE24" t="str">
        <f t="shared" si="1"/>
        <v>Access Control Framework for Cross-Platform Interoperability in the Industrial Internet of Things</v>
      </c>
    </row>
    <row r="25" spans="1:31">
      <c r="A25" t="s">
        <v>619</v>
      </c>
      <c r="B25" t="s">
        <v>620</v>
      </c>
      <c r="C25" t="s">
        <v>621</v>
      </c>
      <c r="D25" t="s">
        <v>622</v>
      </c>
      <c r="E25" s="8">
        <v>42480</v>
      </c>
      <c r="F25">
        <v>2016</v>
      </c>
      <c r="G25" t="s">
        <v>1563</v>
      </c>
      <c r="H25">
        <v>5</v>
      </c>
      <c r="I25" t="s">
        <v>623</v>
      </c>
      <c r="J25" t="s">
        <v>624</v>
      </c>
      <c r="K25" t="s">
        <v>625</v>
      </c>
      <c r="L25" t="s">
        <v>626</v>
      </c>
      <c r="M25" t="s">
        <v>51</v>
      </c>
      <c r="N25" t="s">
        <v>627</v>
      </c>
      <c r="O25" t="s">
        <v>628</v>
      </c>
      <c r="P25" t="s">
        <v>629</v>
      </c>
      <c r="Q25" t="s">
        <v>630</v>
      </c>
      <c r="R25" t="s">
        <v>631</v>
      </c>
      <c r="S25" t="s">
        <v>51</v>
      </c>
      <c r="T25">
        <v>318</v>
      </c>
      <c r="U25" t="s">
        <v>51</v>
      </c>
      <c r="V25">
        <v>144</v>
      </c>
      <c r="W25" t="s">
        <v>19</v>
      </c>
      <c r="X25" s="8">
        <v>42445</v>
      </c>
      <c r="Y25" t="s">
        <v>632</v>
      </c>
      <c r="Z25" t="s">
        <v>51</v>
      </c>
      <c r="AA25" t="s">
        <v>19</v>
      </c>
      <c r="AB25" t="s">
        <v>413</v>
      </c>
      <c r="AC25">
        <f t="shared" si="0"/>
        <v>19</v>
      </c>
      <c r="AE25" t="str">
        <f t="shared" si="1"/>
        <v>The Cybersecurity Landscape in Industrial Control Systems</v>
      </c>
    </row>
    <row r="26" spans="1:31">
      <c r="A26" t="s">
        <v>133</v>
      </c>
      <c r="B26" t="s">
        <v>546</v>
      </c>
      <c r="C26" t="s">
        <v>547</v>
      </c>
      <c r="D26" t="s">
        <v>134</v>
      </c>
      <c r="E26" s="8">
        <v>45742</v>
      </c>
      <c r="F26">
        <v>2025</v>
      </c>
      <c r="G26" t="s">
        <v>135</v>
      </c>
      <c r="H26">
        <v>7</v>
      </c>
      <c r="I26" t="s">
        <v>548</v>
      </c>
      <c r="J26" t="s">
        <v>549</v>
      </c>
      <c r="K26" t="s">
        <v>550</v>
      </c>
      <c r="L26" t="s">
        <v>425</v>
      </c>
      <c r="M26" t="s">
        <v>51</v>
      </c>
      <c r="N26" t="s">
        <v>136</v>
      </c>
      <c r="O26" t="s">
        <v>51</v>
      </c>
      <c r="P26" t="s">
        <v>551</v>
      </c>
      <c r="Q26" t="s">
        <v>552</v>
      </c>
      <c r="R26" t="s">
        <v>553</v>
      </c>
      <c r="S26" t="s">
        <v>51</v>
      </c>
      <c r="T26">
        <v>9</v>
      </c>
      <c r="U26" t="s">
        <v>51</v>
      </c>
      <c r="V26">
        <v>34</v>
      </c>
      <c r="W26" t="s">
        <v>19</v>
      </c>
      <c r="X26" s="8">
        <v>45614</v>
      </c>
      <c r="Y26" t="s">
        <v>554</v>
      </c>
      <c r="Z26" t="s">
        <v>51</v>
      </c>
      <c r="AA26" t="s">
        <v>19</v>
      </c>
      <c r="AB26" t="s">
        <v>413</v>
      </c>
      <c r="AC26">
        <f t="shared" si="0"/>
        <v>8</v>
      </c>
      <c r="AE26" t="str">
        <f t="shared" si="1"/>
        <v>IoTForge Pro: A Security Testbed for Generating Intrusion Dataset for Industrial IoT</v>
      </c>
    </row>
    <row r="27" spans="1:31">
      <c r="A27" t="s">
        <v>1564</v>
      </c>
      <c r="B27" t="s">
        <v>1565</v>
      </c>
      <c r="C27" t="s">
        <v>1566</v>
      </c>
      <c r="D27" t="s">
        <v>1567</v>
      </c>
      <c r="E27" s="8">
        <v>45874</v>
      </c>
      <c r="F27">
        <v>2025</v>
      </c>
      <c r="G27" t="s">
        <v>51</v>
      </c>
      <c r="I27" t="s">
        <v>1568</v>
      </c>
      <c r="J27" t="s">
        <v>1569</v>
      </c>
      <c r="K27" t="s">
        <v>1570</v>
      </c>
      <c r="L27" t="s">
        <v>1571</v>
      </c>
      <c r="M27" t="s">
        <v>1572</v>
      </c>
      <c r="N27" t="s">
        <v>1573</v>
      </c>
      <c r="O27" t="s">
        <v>1574</v>
      </c>
      <c r="P27" t="s">
        <v>1575</v>
      </c>
      <c r="Q27" t="s">
        <v>1576</v>
      </c>
      <c r="R27" t="s">
        <v>1577</v>
      </c>
      <c r="S27" t="s">
        <v>51</v>
      </c>
      <c r="T27">
        <v>1</v>
      </c>
      <c r="U27" t="s">
        <v>51</v>
      </c>
      <c r="V27">
        <v>19</v>
      </c>
      <c r="W27" t="s">
        <v>19</v>
      </c>
      <c r="X27" s="8">
        <v>45874</v>
      </c>
      <c r="Y27" t="s">
        <v>1578</v>
      </c>
      <c r="Z27" t="s">
        <v>1578</v>
      </c>
      <c r="AA27" t="s">
        <v>19</v>
      </c>
      <c r="AB27" t="s">
        <v>355</v>
      </c>
      <c r="AC27">
        <f t="shared" si="0"/>
        <v>8</v>
      </c>
      <c r="AE27" t="str">
        <f t="shared" si="1"/>
        <v>Ransomware in Resource-Constrained Industrial IoT Networks: There Actually is a Threat</v>
      </c>
    </row>
    <row r="28" spans="1:31">
      <c r="A28" t="s">
        <v>1579</v>
      </c>
      <c r="B28" t="s">
        <v>1580</v>
      </c>
      <c r="C28" t="s">
        <v>1581</v>
      </c>
      <c r="D28" t="s">
        <v>134</v>
      </c>
      <c r="E28" s="8">
        <v>43678</v>
      </c>
      <c r="F28">
        <v>2019</v>
      </c>
      <c r="G28" t="s">
        <v>145</v>
      </c>
      <c r="H28">
        <v>4</v>
      </c>
      <c r="I28" t="s">
        <v>1582</v>
      </c>
      <c r="J28" t="s">
        <v>1583</v>
      </c>
      <c r="K28" t="s">
        <v>1584</v>
      </c>
      <c r="L28" t="s">
        <v>425</v>
      </c>
      <c r="M28" t="s">
        <v>51</v>
      </c>
      <c r="N28" t="s">
        <v>1585</v>
      </c>
      <c r="O28" t="s">
        <v>1586</v>
      </c>
      <c r="P28" t="s">
        <v>1587</v>
      </c>
      <c r="Q28" t="s">
        <v>1588</v>
      </c>
      <c r="R28" t="s">
        <v>1589</v>
      </c>
      <c r="S28" t="s">
        <v>51</v>
      </c>
      <c r="T28">
        <v>429</v>
      </c>
      <c r="U28" t="s">
        <v>51</v>
      </c>
      <c r="V28">
        <v>41</v>
      </c>
      <c r="W28" t="s">
        <v>460</v>
      </c>
      <c r="X28" s="8">
        <v>43573</v>
      </c>
      <c r="Y28" t="s">
        <v>1590</v>
      </c>
      <c r="Z28" t="s">
        <v>51</v>
      </c>
      <c r="AA28" t="s">
        <v>19</v>
      </c>
      <c r="AB28" t="s">
        <v>413</v>
      </c>
      <c r="AC28">
        <f t="shared" si="0"/>
        <v>13</v>
      </c>
      <c r="AE28" t="str">
        <f t="shared" si="1"/>
        <v>Machine Learning-Based Network Vulnerability Analysis of Industrial Internet of Things</v>
      </c>
    </row>
    <row r="29" spans="1:31">
      <c r="A29" t="s">
        <v>1591</v>
      </c>
      <c r="B29" t="s">
        <v>1592</v>
      </c>
      <c r="C29" t="s">
        <v>1593</v>
      </c>
      <c r="D29" t="s">
        <v>303</v>
      </c>
      <c r="E29" s="8">
        <v>45790</v>
      </c>
      <c r="F29">
        <v>2025</v>
      </c>
      <c r="G29" t="s">
        <v>221</v>
      </c>
      <c r="I29" t="s">
        <v>1594</v>
      </c>
      <c r="J29" t="s">
        <v>1595</v>
      </c>
      <c r="K29" t="s">
        <v>1596</v>
      </c>
      <c r="L29" t="s">
        <v>459</v>
      </c>
      <c r="M29" t="s">
        <v>51</v>
      </c>
      <c r="N29" t="s">
        <v>1597</v>
      </c>
      <c r="O29" t="s">
        <v>1598</v>
      </c>
      <c r="P29" t="s">
        <v>1599</v>
      </c>
      <c r="Q29" t="s">
        <v>1600</v>
      </c>
      <c r="R29" t="s">
        <v>1601</v>
      </c>
      <c r="S29" t="s">
        <v>51</v>
      </c>
      <c r="T29">
        <v>34</v>
      </c>
      <c r="U29" t="s">
        <v>51</v>
      </c>
      <c r="V29">
        <v>60</v>
      </c>
      <c r="W29" t="s">
        <v>460</v>
      </c>
      <c r="X29" s="8">
        <v>45782</v>
      </c>
      <c r="Y29" t="s">
        <v>1602</v>
      </c>
      <c r="Z29" t="s">
        <v>51</v>
      </c>
      <c r="AA29" t="s">
        <v>19</v>
      </c>
      <c r="AB29" t="s">
        <v>413</v>
      </c>
      <c r="AC29">
        <f t="shared" si="0"/>
        <v>25</v>
      </c>
      <c r="AE29" t="str">
        <f t="shared" si="1"/>
        <v>CPS-IIoT-P2Attention: Explainable Privacy-Preserving With Scaled Dot-Product Attention in Cyber-Physical System-Industrial IoT Network</v>
      </c>
    </row>
    <row r="30" spans="1:31">
      <c r="A30" t="s">
        <v>534</v>
      </c>
      <c r="B30" t="s">
        <v>535</v>
      </c>
      <c r="C30" t="s">
        <v>536</v>
      </c>
      <c r="D30" t="s">
        <v>127</v>
      </c>
      <c r="E30" s="8">
        <v>44498</v>
      </c>
      <c r="F30">
        <v>2022</v>
      </c>
      <c r="G30" t="s">
        <v>1562</v>
      </c>
      <c r="H30">
        <v>2</v>
      </c>
      <c r="I30" t="s">
        <v>537</v>
      </c>
      <c r="J30" t="s">
        <v>538</v>
      </c>
      <c r="K30" t="s">
        <v>539</v>
      </c>
      <c r="L30" t="s">
        <v>426</v>
      </c>
      <c r="M30" t="s">
        <v>51</v>
      </c>
      <c r="N30" t="s">
        <v>540</v>
      </c>
      <c r="O30" t="s">
        <v>541</v>
      </c>
      <c r="P30" t="s">
        <v>542</v>
      </c>
      <c r="Q30" t="s">
        <v>543</v>
      </c>
      <c r="R30" t="s">
        <v>544</v>
      </c>
      <c r="S30" t="s">
        <v>51</v>
      </c>
      <c r="T30">
        <v>8</v>
      </c>
      <c r="U30" t="s">
        <v>51</v>
      </c>
      <c r="V30">
        <v>43</v>
      </c>
      <c r="W30" t="s">
        <v>460</v>
      </c>
      <c r="X30" s="8">
        <v>44342</v>
      </c>
      <c r="Y30" t="s">
        <v>545</v>
      </c>
      <c r="Z30" t="s">
        <v>51</v>
      </c>
      <c r="AA30" t="s">
        <v>19</v>
      </c>
      <c r="AB30" t="s">
        <v>413</v>
      </c>
      <c r="AC30">
        <f t="shared" si="0"/>
        <v>9</v>
      </c>
      <c r="AE30" t="str">
        <f t="shared" si="1"/>
        <v>Network Simulation in a TCP-Enabled Industrial Internet of Things Environment-Reproducibility Issues for Performance Evaluation</v>
      </c>
    </row>
    <row r="31" spans="1:31">
      <c r="A31" t="s">
        <v>1603</v>
      </c>
      <c r="B31" t="s">
        <v>1604</v>
      </c>
      <c r="C31" t="s">
        <v>1605</v>
      </c>
      <c r="D31" t="s">
        <v>1606</v>
      </c>
      <c r="E31" s="8">
        <v>45352</v>
      </c>
      <c r="F31">
        <v>2024</v>
      </c>
      <c r="G31" t="s">
        <v>51</v>
      </c>
      <c r="I31" t="s">
        <v>300</v>
      </c>
      <c r="J31" t="s">
        <v>145</v>
      </c>
      <c r="K31" t="s">
        <v>1607</v>
      </c>
      <c r="L31" t="s">
        <v>1608</v>
      </c>
      <c r="M31" t="s">
        <v>1609</v>
      </c>
      <c r="N31" t="s">
        <v>1610</v>
      </c>
      <c r="O31" t="s">
        <v>51</v>
      </c>
      <c r="P31" t="s">
        <v>1611</v>
      </c>
      <c r="Q31" t="s">
        <v>1612</v>
      </c>
      <c r="R31" t="s">
        <v>1613</v>
      </c>
      <c r="S31" t="s">
        <v>51</v>
      </c>
      <c r="T31">
        <v>4</v>
      </c>
      <c r="U31" t="s">
        <v>51</v>
      </c>
      <c r="V31">
        <v>9</v>
      </c>
      <c r="W31" t="s">
        <v>19</v>
      </c>
      <c r="X31" s="8">
        <v>45352</v>
      </c>
      <c r="Y31" t="s">
        <v>1614</v>
      </c>
      <c r="Z31" t="s">
        <v>1614</v>
      </c>
      <c r="AA31" t="s">
        <v>19</v>
      </c>
      <c r="AB31" t="s">
        <v>355</v>
      </c>
      <c r="AC31">
        <f t="shared" si="0"/>
        <v>6</v>
      </c>
      <c r="AE31" t="str">
        <f t="shared" si="1"/>
        <v>Securing IIoT Against DDoS attacks: A Stochastic Approach</v>
      </c>
    </row>
    <row r="32" spans="1:31">
      <c r="A32" t="s">
        <v>972</v>
      </c>
      <c r="B32" t="s">
        <v>973</v>
      </c>
      <c r="C32" t="s">
        <v>974</v>
      </c>
      <c r="D32" t="s">
        <v>975</v>
      </c>
      <c r="E32" s="8">
        <v>45266</v>
      </c>
      <c r="F32">
        <v>2023</v>
      </c>
      <c r="G32" t="s">
        <v>51</v>
      </c>
      <c r="I32" t="s">
        <v>300</v>
      </c>
      <c r="J32" t="s">
        <v>301</v>
      </c>
      <c r="K32" t="s">
        <v>976</v>
      </c>
      <c r="L32" t="s">
        <v>977</v>
      </c>
      <c r="M32" t="s">
        <v>978</v>
      </c>
      <c r="N32" t="s">
        <v>979</v>
      </c>
      <c r="O32" t="s">
        <v>980</v>
      </c>
      <c r="P32" t="s">
        <v>981</v>
      </c>
      <c r="Q32" t="s">
        <v>982</v>
      </c>
      <c r="R32" t="s">
        <v>983</v>
      </c>
      <c r="S32" t="s">
        <v>51</v>
      </c>
      <c r="T32">
        <v>5</v>
      </c>
      <c r="U32" t="s">
        <v>51</v>
      </c>
      <c r="V32">
        <v>18</v>
      </c>
      <c r="W32" t="s">
        <v>19</v>
      </c>
      <c r="X32" s="8">
        <v>45266</v>
      </c>
      <c r="Y32" t="s">
        <v>984</v>
      </c>
      <c r="Z32" t="s">
        <v>984</v>
      </c>
      <c r="AA32" t="s">
        <v>19</v>
      </c>
      <c r="AB32" t="s">
        <v>355</v>
      </c>
      <c r="AC32">
        <f t="shared" si="0"/>
        <v>7</v>
      </c>
      <c r="AE32" t="str">
        <f t="shared" si="1"/>
        <v>Comparative Study on Smart Grid Security Testbeds Using MITRE ATT&amp;CK Matrix</v>
      </c>
    </row>
    <row r="33" spans="1:31">
      <c r="A33" t="s">
        <v>577</v>
      </c>
      <c r="B33" t="s">
        <v>578</v>
      </c>
      <c r="C33" t="s">
        <v>579</v>
      </c>
      <c r="D33" t="s">
        <v>580</v>
      </c>
      <c r="E33" s="8">
        <v>44519</v>
      </c>
      <c r="F33">
        <v>2021</v>
      </c>
      <c r="G33" t="s">
        <v>1615</v>
      </c>
      <c r="H33">
        <v>4</v>
      </c>
      <c r="I33" t="s">
        <v>581</v>
      </c>
      <c r="J33" t="s">
        <v>582</v>
      </c>
      <c r="K33" t="s">
        <v>583</v>
      </c>
      <c r="L33" t="s">
        <v>584</v>
      </c>
      <c r="M33" t="s">
        <v>51</v>
      </c>
      <c r="N33" t="s">
        <v>585</v>
      </c>
      <c r="O33" t="s">
        <v>586</v>
      </c>
      <c r="P33" t="s">
        <v>587</v>
      </c>
      <c r="Q33" t="s">
        <v>588</v>
      </c>
      <c r="R33" t="s">
        <v>589</v>
      </c>
      <c r="S33" t="s">
        <v>51</v>
      </c>
      <c r="T33">
        <v>192</v>
      </c>
      <c r="U33" t="s">
        <v>51</v>
      </c>
      <c r="V33">
        <v>259</v>
      </c>
      <c r="W33" t="s">
        <v>19</v>
      </c>
      <c r="X33" s="8">
        <v>44379</v>
      </c>
      <c r="Y33" t="s">
        <v>590</v>
      </c>
      <c r="Z33" t="s">
        <v>51</v>
      </c>
      <c r="AA33" t="s">
        <v>19</v>
      </c>
      <c r="AB33" t="s">
        <v>413</v>
      </c>
      <c r="AC33">
        <f t="shared" si="0"/>
        <v>47</v>
      </c>
      <c r="AE33" t="str">
        <f t="shared" si="1"/>
        <v>A Survey on Industrial Control System Testbeds and Datasets for Security Research</v>
      </c>
    </row>
    <row r="34" spans="1:31">
      <c r="A34" t="s">
        <v>913</v>
      </c>
      <c r="B34" t="s">
        <v>914</v>
      </c>
      <c r="C34" t="s">
        <v>915</v>
      </c>
      <c r="D34" t="s">
        <v>916</v>
      </c>
      <c r="E34" s="8">
        <v>45985</v>
      </c>
      <c r="F34">
        <v>2025</v>
      </c>
      <c r="G34" t="s">
        <v>51</v>
      </c>
      <c r="I34" t="s">
        <v>300</v>
      </c>
      <c r="J34" t="s">
        <v>145</v>
      </c>
      <c r="K34" t="s">
        <v>917</v>
      </c>
      <c r="L34" t="s">
        <v>51</v>
      </c>
      <c r="M34" t="s">
        <v>918</v>
      </c>
      <c r="N34" t="s">
        <v>919</v>
      </c>
      <c r="O34" t="s">
        <v>51</v>
      </c>
      <c r="P34" t="s">
        <v>920</v>
      </c>
      <c r="Q34" t="s">
        <v>921</v>
      </c>
      <c r="R34" t="s">
        <v>922</v>
      </c>
      <c r="S34" t="s">
        <v>51</v>
      </c>
      <c r="U34" t="s">
        <v>51</v>
      </c>
      <c r="V34">
        <v>25</v>
      </c>
      <c r="W34" t="s">
        <v>19</v>
      </c>
      <c r="X34" s="8">
        <v>45985</v>
      </c>
      <c r="Y34" t="s">
        <v>923</v>
      </c>
      <c r="Z34" t="s">
        <v>923</v>
      </c>
      <c r="AA34" t="s">
        <v>19</v>
      </c>
      <c r="AB34" t="s">
        <v>355</v>
      </c>
      <c r="AC34">
        <f t="shared" ref="AC34:AC65" si="2">($J34-$I34)+1</f>
        <v>6</v>
      </c>
      <c r="AE34" t="str">
        <f t="shared" ref="AE34:AE65" si="3">HYPERLINK($P34,$A34)</f>
        <v>Li-Fi in Industrial Environments: Performance Analysis Compared to Wi-Fi and Ethernet</v>
      </c>
    </row>
    <row r="35" spans="1:31">
      <c r="A35" t="s">
        <v>510</v>
      </c>
      <c r="B35" t="s">
        <v>511</v>
      </c>
      <c r="C35" t="s">
        <v>512</v>
      </c>
      <c r="D35" t="s">
        <v>127</v>
      </c>
      <c r="E35" s="8">
        <v>44910</v>
      </c>
      <c r="F35">
        <v>2023</v>
      </c>
      <c r="G35" t="s">
        <v>1616</v>
      </c>
      <c r="H35">
        <v>2</v>
      </c>
      <c r="I35" t="s">
        <v>513</v>
      </c>
      <c r="J35" t="s">
        <v>514</v>
      </c>
      <c r="K35" t="s">
        <v>515</v>
      </c>
      <c r="L35" t="s">
        <v>426</v>
      </c>
      <c r="M35" t="s">
        <v>51</v>
      </c>
      <c r="N35" t="s">
        <v>516</v>
      </c>
      <c r="O35" t="s">
        <v>517</v>
      </c>
      <c r="P35" t="s">
        <v>518</v>
      </c>
      <c r="Q35" t="s">
        <v>519</v>
      </c>
      <c r="R35" t="s">
        <v>520</v>
      </c>
      <c r="S35" t="s">
        <v>51</v>
      </c>
      <c r="T35">
        <v>32</v>
      </c>
      <c r="U35" t="s">
        <v>51</v>
      </c>
      <c r="V35">
        <v>30</v>
      </c>
      <c r="W35" t="s">
        <v>19</v>
      </c>
      <c r="X35" s="8">
        <v>44663</v>
      </c>
      <c r="Y35" t="s">
        <v>412</v>
      </c>
      <c r="Z35" t="s">
        <v>51</v>
      </c>
      <c r="AA35" t="s">
        <v>19</v>
      </c>
      <c r="AB35" t="s">
        <v>413</v>
      </c>
      <c r="AC35">
        <f t="shared" si="2"/>
        <v>11</v>
      </c>
      <c r="AE35" t="str">
        <f t="shared" si="3"/>
        <v>URLLC-Based Cooperative Industrial IoT Networks With Nonlinear Energy Harvesting</v>
      </c>
    </row>
    <row r="36" spans="1:31">
      <c r="A36" t="s">
        <v>606</v>
      </c>
      <c r="B36" t="s">
        <v>607</v>
      </c>
      <c r="C36" t="s">
        <v>608</v>
      </c>
      <c r="D36" t="s">
        <v>609</v>
      </c>
      <c r="E36" s="8">
        <v>45461</v>
      </c>
      <c r="F36">
        <v>2024</v>
      </c>
      <c r="G36" t="s">
        <v>51</v>
      </c>
      <c r="I36" t="s">
        <v>610</v>
      </c>
      <c r="J36" t="s">
        <v>611</v>
      </c>
      <c r="K36" t="s">
        <v>612</v>
      </c>
      <c r="L36" t="s">
        <v>51</v>
      </c>
      <c r="M36" t="s">
        <v>613</v>
      </c>
      <c r="N36" t="s">
        <v>614</v>
      </c>
      <c r="O36" t="s">
        <v>51</v>
      </c>
      <c r="P36" t="s">
        <v>615</v>
      </c>
      <c r="Q36" t="s">
        <v>616</v>
      </c>
      <c r="R36" t="s">
        <v>617</v>
      </c>
      <c r="S36" t="s">
        <v>51</v>
      </c>
      <c r="T36">
        <v>3</v>
      </c>
      <c r="U36" t="s">
        <v>51</v>
      </c>
      <c r="V36">
        <v>23</v>
      </c>
      <c r="W36" t="s">
        <v>19</v>
      </c>
      <c r="X36" s="8">
        <v>45461</v>
      </c>
      <c r="Y36" t="s">
        <v>618</v>
      </c>
      <c r="Z36" t="s">
        <v>618</v>
      </c>
      <c r="AA36" t="s">
        <v>19</v>
      </c>
      <c r="AB36" t="s">
        <v>355</v>
      </c>
      <c r="AC36">
        <f t="shared" si="2"/>
        <v>5</v>
      </c>
      <c r="AE36" t="str">
        <f t="shared" si="3"/>
        <v>Methodology for Analyzing the Performance of 5G-NR Networks During Initial Planning Without Deployment Using the NS-3 Network Simulator</v>
      </c>
    </row>
    <row r="37" spans="1:31">
      <c r="A37" t="s">
        <v>1617</v>
      </c>
      <c r="B37" t="s">
        <v>1618</v>
      </c>
      <c r="C37" t="s">
        <v>1619</v>
      </c>
      <c r="D37" t="s">
        <v>1620</v>
      </c>
      <c r="E37" s="8">
        <v>45579</v>
      </c>
      <c r="F37">
        <v>2024</v>
      </c>
      <c r="G37" t="s">
        <v>51</v>
      </c>
      <c r="I37" t="s">
        <v>300</v>
      </c>
      <c r="J37" t="s">
        <v>145</v>
      </c>
      <c r="K37" t="s">
        <v>1621</v>
      </c>
      <c r="L37" t="s">
        <v>1622</v>
      </c>
      <c r="M37" t="s">
        <v>1623</v>
      </c>
      <c r="N37" t="s">
        <v>1624</v>
      </c>
      <c r="O37" t="s">
        <v>51</v>
      </c>
      <c r="P37" t="s">
        <v>1625</v>
      </c>
      <c r="Q37" t="s">
        <v>1626</v>
      </c>
      <c r="R37" t="s">
        <v>1627</v>
      </c>
      <c r="S37" t="s">
        <v>51</v>
      </c>
      <c r="T37">
        <v>4</v>
      </c>
      <c r="U37" t="s">
        <v>51</v>
      </c>
      <c r="V37">
        <v>42</v>
      </c>
      <c r="W37" t="s">
        <v>19</v>
      </c>
      <c r="X37" s="8">
        <v>45579</v>
      </c>
      <c r="Y37" t="s">
        <v>1628</v>
      </c>
      <c r="Z37" t="s">
        <v>1628</v>
      </c>
      <c r="AA37" t="s">
        <v>19</v>
      </c>
      <c r="AB37" t="s">
        <v>355</v>
      </c>
      <c r="AC37">
        <f t="shared" si="2"/>
        <v>6</v>
      </c>
      <c r="AE37" t="str">
        <f t="shared" si="3"/>
        <v>Cybersecurity of Digital Twins in Industrial IoT Environments</v>
      </c>
    </row>
    <row r="38" spans="1:31">
      <c r="A38" t="s">
        <v>591</v>
      </c>
      <c r="B38" t="s">
        <v>592</v>
      </c>
      <c r="C38" t="s">
        <v>593</v>
      </c>
      <c r="D38" t="s">
        <v>594</v>
      </c>
      <c r="E38" s="8">
        <v>44750</v>
      </c>
      <c r="F38">
        <v>2022</v>
      </c>
      <c r="G38" t="s">
        <v>1616</v>
      </c>
      <c r="H38">
        <v>4</v>
      </c>
      <c r="I38" t="s">
        <v>595</v>
      </c>
      <c r="J38" t="s">
        <v>596</v>
      </c>
      <c r="K38" t="s">
        <v>597</v>
      </c>
      <c r="L38" t="s">
        <v>598</v>
      </c>
      <c r="M38" t="s">
        <v>51</v>
      </c>
      <c r="N38" t="s">
        <v>599</v>
      </c>
      <c r="O38" t="s">
        <v>600</v>
      </c>
      <c r="P38" t="s">
        <v>601</v>
      </c>
      <c r="Q38" t="s">
        <v>602</v>
      </c>
      <c r="R38" t="s">
        <v>603</v>
      </c>
      <c r="S38" t="s">
        <v>51</v>
      </c>
      <c r="U38" t="s">
        <v>51</v>
      </c>
      <c r="V38">
        <v>23</v>
      </c>
      <c r="W38" t="s">
        <v>19</v>
      </c>
      <c r="X38" s="8">
        <v>44236</v>
      </c>
      <c r="Y38" t="s">
        <v>604</v>
      </c>
      <c r="Z38" t="s">
        <v>51</v>
      </c>
      <c r="AA38" t="s">
        <v>19</v>
      </c>
      <c r="AB38" t="s">
        <v>413</v>
      </c>
      <c r="AC38">
        <f t="shared" si="2"/>
        <v>9</v>
      </c>
      <c r="AE38" t="str">
        <f t="shared" si="3"/>
        <v>Security and Effectiveness Analysis of the Gateway Integrity Checking Protocol</v>
      </c>
    </row>
    <row r="39" spans="1:31">
      <c r="A39" t="s">
        <v>498</v>
      </c>
      <c r="B39" t="s">
        <v>499</v>
      </c>
      <c r="C39" t="s">
        <v>500</v>
      </c>
      <c r="D39" t="s">
        <v>501</v>
      </c>
      <c r="E39" s="8">
        <v>44859</v>
      </c>
      <c r="F39">
        <v>2022</v>
      </c>
      <c r="G39" t="s">
        <v>51</v>
      </c>
      <c r="I39" t="s">
        <v>300</v>
      </c>
      <c r="J39" t="s">
        <v>452</v>
      </c>
      <c r="K39" t="s">
        <v>502</v>
      </c>
      <c r="L39" t="s">
        <v>51</v>
      </c>
      <c r="M39" t="s">
        <v>503</v>
      </c>
      <c r="N39" t="s">
        <v>504</v>
      </c>
      <c r="O39" t="s">
        <v>505</v>
      </c>
      <c r="P39" t="s">
        <v>506</v>
      </c>
      <c r="Q39" t="s">
        <v>507</v>
      </c>
      <c r="R39" t="s">
        <v>508</v>
      </c>
      <c r="S39" t="s">
        <v>51</v>
      </c>
      <c r="T39">
        <v>4</v>
      </c>
      <c r="U39" t="s">
        <v>51</v>
      </c>
      <c r="V39">
        <v>12</v>
      </c>
      <c r="W39" t="s">
        <v>19</v>
      </c>
      <c r="X39" s="8">
        <v>44859</v>
      </c>
      <c r="Y39" t="s">
        <v>509</v>
      </c>
      <c r="Z39" t="s">
        <v>509</v>
      </c>
      <c r="AA39" t="s">
        <v>19</v>
      </c>
      <c r="AB39" t="s">
        <v>355</v>
      </c>
      <c r="AC39">
        <f t="shared" si="2"/>
        <v>4</v>
      </c>
      <c r="AE39" t="str">
        <f t="shared" si="3"/>
        <v>Secure Onboarding of IIoT Devices using OPC UA</v>
      </c>
    </row>
    <row r="40" spans="1:31">
      <c r="A40" t="s">
        <v>777</v>
      </c>
      <c r="B40" t="s">
        <v>778</v>
      </c>
      <c r="C40" t="s">
        <v>779</v>
      </c>
      <c r="D40" t="s">
        <v>780</v>
      </c>
      <c r="E40" s="8">
        <v>45868</v>
      </c>
      <c r="F40">
        <v>2025</v>
      </c>
      <c r="G40" t="s">
        <v>51</v>
      </c>
      <c r="I40" t="s">
        <v>300</v>
      </c>
      <c r="J40" t="s">
        <v>145</v>
      </c>
      <c r="K40" t="s">
        <v>781</v>
      </c>
      <c r="L40" t="s">
        <v>782</v>
      </c>
      <c r="M40" t="s">
        <v>783</v>
      </c>
      <c r="N40" t="s">
        <v>784</v>
      </c>
      <c r="O40" t="s">
        <v>51</v>
      </c>
      <c r="P40" t="s">
        <v>785</v>
      </c>
      <c r="Q40" t="s">
        <v>786</v>
      </c>
      <c r="R40" t="s">
        <v>787</v>
      </c>
      <c r="S40" t="s">
        <v>51</v>
      </c>
      <c r="U40" t="s">
        <v>51</v>
      </c>
      <c r="V40">
        <v>20</v>
      </c>
      <c r="W40" t="s">
        <v>19</v>
      </c>
      <c r="X40" s="8">
        <v>45868</v>
      </c>
      <c r="Y40" t="s">
        <v>788</v>
      </c>
      <c r="Z40" t="s">
        <v>788</v>
      </c>
      <c r="AA40" t="s">
        <v>19</v>
      </c>
      <c r="AB40" t="s">
        <v>355</v>
      </c>
      <c r="AC40">
        <f t="shared" si="2"/>
        <v>6</v>
      </c>
      <c r="AE40" t="str">
        <f t="shared" si="3"/>
        <v>On the Cost of Asset Discovery Techniques for Industrial Control Systems</v>
      </c>
    </row>
    <row r="41" spans="1:31">
      <c r="A41" t="s">
        <v>860</v>
      </c>
      <c r="B41" t="s">
        <v>861</v>
      </c>
      <c r="C41" t="s">
        <v>862</v>
      </c>
      <c r="D41" t="s">
        <v>501</v>
      </c>
      <c r="E41" s="8">
        <v>44859</v>
      </c>
      <c r="F41">
        <v>2022</v>
      </c>
      <c r="G41" t="s">
        <v>51</v>
      </c>
      <c r="I41" t="s">
        <v>300</v>
      </c>
      <c r="J41" t="s">
        <v>286</v>
      </c>
      <c r="K41" t="s">
        <v>863</v>
      </c>
      <c r="L41" t="s">
        <v>51</v>
      </c>
      <c r="M41" t="s">
        <v>503</v>
      </c>
      <c r="N41" t="s">
        <v>864</v>
      </c>
      <c r="O41" t="s">
        <v>505</v>
      </c>
      <c r="P41" t="s">
        <v>865</v>
      </c>
      <c r="Q41" t="s">
        <v>866</v>
      </c>
      <c r="R41" t="s">
        <v>867</v>
      </c>
      <c r="S41" t="s">
        <v>51</v>
      </c>
      <c r="T41">
        <v>4</v>
      </c>
      <c r="U41" t="s">
        <v>51</v>
      </c>
      <c r="V41">
        <v>29</v>
      </c>
      <c r="W41" t="s">
        <v>19</v>
      </c>
      <c r="X41" s="8">
        <v>44859</v>
      </c>
      <c r="Y41" t="s">
        <v>509</v>
      </c>
      <c r="Z41" t="s">
        <v>509</v>
      </c>
      <c r="AA41" t="s">
        <v>19</v>
      </c>
      <c r="AB41" t="s">
        <v>355</v>
      </c>
      <c r="AC41">
        <f t="shared" si="2"/>
        <v>8</v>
      </c>
      <c r="AE41" t="str">
        <f t="shared" si="3"/>
        <v>CrossTest: a cross-domain physical testbed environment for cybersecurity performance evaluations</v>
      </c>
    </row>
    <row r="42" spans="1:31">
      <c r="A42" t="s">
        <v>1629</v>
      </c>
      <c r="B42" t="s">
        <v>1630</v>
      </c>
      <c r="C42" t="s">
        <v>1631</v>
      </c>
      <c r="D42" t="s">
        <v>501</v>
      </c>
      <c r="E42" s="8">
        <v>44859</v>
      </c>
      <c r="F42">
        <v>2022</v>
      </c>
      <c r="G42" t="s">
        <v>51</v>
      </c>
      <c r="I42" t="s">
        <v>300</v>
      </c>
      <c r="J42" t="s">
        <v>286</v>
      </c>
      <c r="K42" t="s">
        <v>1632</v>
      </c>
      <c r="L42" t="s">
        <v>51</v>
      </c>
      <c r="M42" t="s">
        <v>503</v>
      </c>
      <c r="N42" t="s">
        <v>1633</v>
      </c>
      <c r="O42" t="s">
        <v>1634</v>
      </c>
      <c r="P42" t="s">
        <v>1635</v>
      </c>
      <c r="Q42" t="s">
        <v>1636</v>
      </c>
      <c r="R42" t="s">
        <v>1637</v>
      </c>
      <c r="S42" t="s">
        <v>51</v>
      </c>
      <c r="T42">
        <v>5</v>
      </c>
      <c r="U42" t="s">
        <v>51</v>
      </c>
      <c r="V42">
        <v>23</v>
      </c>
      <c r="W42" t="s">
        <v>19</v>
      </c>
      <c r="X42" s="8">
        <v>44859</v>
      </c>
      <c r="Y42" t="s">
        <v>509</v>
      </c>
      <c r="Z42" t="s">
        <v>509</v>
      </c>
      <c r="AA42" t="s">
        <v>19</v>
      </c>
      <c r="AB42" t="s">
        <v>355</v>
      </c>
      <c r="AC42">
        <f t="shared" si="2"/>
        <v>8</v>
      </c>
      <c r="AE42" t="str">
        <f t="shared" si="3"/>
        <v>Towards Performance Benchmarking of Cyclic OPC UA PubSub over TSN</v>
      </c>
    </row>
    <row r="43" spans="1:31">
      <c r="A43" t="s">
        <v>633</v>
      </c>
      <c r="B43" t="s">
        <v>634</v>
      </c>
      <c r="C43" t="s">
        <v>635</v>
      </c>
      <c r="D43" t="s">
        <v>636</v>
      </c>
      <c r="E43" s="8">
        <v>44246</v>
      </c>
      <c r="F43">
        <v>2021</v>
      </c>
      <c r="G43" t="s">
        <v>1638</v>
      </c>
      <c r="I43" t="s">
        <v>637</v>
      </c>
      <c r="J43" t="s">
        <v>638</v>
      </c>
      <c r="K43" t="s">
        <v>639</v>
      </c>
      <c r="L43" t="s">
        <v>640</v>
      </c>
      <c r="M43" t="s">
        <v>51</v>
      </c>
      <c r="N43" t="s">
        <v>641</v>
      </c>
      <c r="O43" t="s">
        <v>642</v>
      </c>
      <c r="P43" t="s">
        <v>643</v>
      </c>
      <c r="Q43" t="s">
        <v>644</v>
      </c>
      <c r="R43" t="s">
        <v>645</v>
      </c>
      <c r="S43" t="s">
        <v>51</v>
      </c>
      <c r="T43">
        <v>32</v>
      </c>
      <c r="U43" t="s">
        <v>51</v>
      </c>
      <c r="V43">
        <v>57</v>
      </c>
      <c r="W43" t="s">
        <v>460</v>
      </c>
      <c r="X43" s="8">
        <v>44228</v>
      </c>
      <c r="Y43" t="s">
        <v>646</v>
      </c>
      <c r="Z43" t="s">
        <v>51</v>
      </c>
      <c r="AA43" t="s">
        <v>19</v>
      </c>
      <c r="AB43" t="s">
        <v>413</v>
      </c>
      <c r="AC43">
        <f t="shared" si="2"/>
        <v>16</v>
      </c>
      <c r="AE43" t="str">
        <f t="shared" si="3"/>
        <v>Performance Evaluation of Containerization in Edge-Cloud Computing Stacks for Industrial Applications: A Client Perspective</v>
      </c>
    </row>
    <row r="44" spans="1:31">
      <c r="A44" t="s">
        <v>1639</v>
      </c>
      <c r="B44" t="s">
        <v>1640</v>
      </c>
      <c r="C44" t="s">
        <v>1641</v>
      </c>
      <c r="D44" t="s">
        <v>303</v>
      </c>
      <c r="E44" s="8">
        <v>45972</v>
      </c>
      <c r="F44">
        <v>2025</v>
      </c>
      <c r="G44" t="s">
        <v>221</v>
      </c>
      <c r="I44" t="s">
        <v>1642</v>
      </c>
      <c r="J44" t="s">
        <v>1643</v>
      </c>
      <c r="K44" t="s">
        <v>1644</v>
      </c>
      <c r="L44" t="s">
        <v>459</v>
      </c>
      <c r="M44" t="s">
        <v>51</v>
      </c>
      <c r="N44" t="s">
        <v>1645</v>
      </c>
      <c r="O44" t="s">
        <v>1646</v>
      </c>
      <c r="P44" t="s">
        <v>1647</v>
      </c>
      <c r="Q44" t="s">
        <v>1648</v>
      </c>
      <c r="R44" t="s">
        <v>1649</v>
      </c>
      <c r="S44" t="s">
        <v>51</v>
      </c>
      <c r="U44" t="s">
        <v>51</v>
      </c>
      <c r="V44">
        <v>56</v>
      </c>
      <c r="W44" t="s">
        <v>460</v>
      </c>
      <c r="X44" s="8">
        <v>45964</v>
      </c>
      <c r="Y44" t="s">
        <v>1602</v>
      </c>
      <c r="Z44" t="s">
        <v>51</v>
      </c>
      <c r="AA44" t="s">
        <v>19</v>
      </c>
      <c r="AB44" t="s">
        <v>413</v>
      </c>
      <c r="AC44">
        <f t="shared" si="2"/>
        <v>28</v>
      </c>
      <c r="AE44" t="str">
        <f t="shared" si="3"/>
        <v>FL-MU: A Benchmark Dataset for Federated Intrusion Detection in IoT Networks</v>
      </c>
    </row>
    <row r="45" spans="1:31">
      <c r="A45" t="s">
        <v>1650</v>
      </c>
      <c r="B45" t="s">
        <v>1651</v>
      </c>
      <c r="C45" t="s">
        <v>1652</v>
      </c>
      <c r="D45" t="s">
        <v>1653</v>
      </c>
      <c r="E45" s="8">
        <v>45972</v>
      </c>
      <c r="F45">
        <v>2025</v>
      </c>
      <c r="G45" t="s">
        <v>51</v>
      </c>
      <c r="I45" t="s">
        <v>300</v>
      </c>
      <c r="J45" t="s">
        <v>145</v>
      </c>
      <c r="K45" t="s">
        <v>1654</v>
      </c>
      <c r="L45" t="s">
        <v>51</v>
      </c>
      <c r="M45" t="s">
        <v>1655</v>
      </c>
      <c r="N45" t="s">
        <v>1656</v>
      </c>
      <c r="O45" t="s">
        <v>51</v>
      </c>
      <c r="P45" t="s">
        <v>1657</v>
      </c>
      <c r="Q45" t="s">
        <v>1658</v>
      </c>
      <c r="R45" t="s">
        <v>1659</v>
      </c>
      <c r="S45" t="s">
        <v>51</v>
      </c>
      <c r="U45" t="s">
        <v>51</v>
      </c>
      <c r="V45">
        <v>11</v>
      </c>
      <c r="W45" t="s">
        <v>19</v>
      </c>
      <c r="X45" s="8">
        <v>45972</v>
      </c>
      <c r="Y45" t="s">
        <v>1660</v>
      </c>
      <c r="Z45" t="s">
        <v>1660</v>
      </c>
      <c r="AA45" t="s">
        <v>19</v>
      </c>
      <c r="AB45" t="s">
        <v>355</v>
      </c>
      <c r="AC45">
        <f t="shared" si="2"/>
        <v>6</v>
      </c>
      <c r="AE45" t="str">
        <f t="shared" si="3"/>
        <v>ROSTAM: Railway-Oriented Security and Threat Abstraction Model</v>
      </c>
    </row>
    <row r="46" spans="1:31">
      <c r="A46" t="s">
        <v>751</v>
      </c>
      <c r="B46" t="s">
        <v>752</v>
      </c>
      <c r="C46" t="s">
        <v>753</v>
      </c>
      <c r="D46" t="s">
        <v>754</v>
      </c>
      <c r="E46" s="8">
        <v>42439</v>
      </c>
      <c r="F46">
        <v>2016</v>
      </c>
      <c r="G46" t="s">
        <v>51</v>
      </c>
      <c r="I46" t="s">
        <v>755</v>
      </c>
      <c r="J46" t="s">
        <v>756</v>
      </c>
      <c r="K46" t="s">
        <v>757</v>
      </c>
      <c r="L46" t="s">
        <v>758</v>
      </c>
      <c r="M46" t="s">
        <v>759</v>
      </c>
      <c r="N46" t="s">
        <v>760</v>
      </c>
      <c r="O46" t="s">
        <v>51</v>
      </c>
      <c r="P46" t="s">
        <v>761</v>
      </c>
      <c r="Q46" t="s">
        <v>51</v>
      </c>
      <c r="R46" t="s">
        <v>762</v>
      </c>
      <c r="S46" t="s">
        <v>51</v>
      </c>
      <c r="T46">
        <v>8</v>
      </c>
      <c r="U46" t="s">
        <v>51</v>
      </c>
      <c r="V46">
        <v>67</v>
      </c>
      <c r="W46" t="s">
        <v>19</v>
      </c>
      <c r="X46" s="8">
        <v>42439</v>
      </c>
      <c r="Y46" t="s">
        <v>763</v>
      </c>
      <c r="Z46" t="s">
        <v>763</v>
      </c>
      <c r="AA46" t="s">
        <v>19</v>
      </c>
      <c r="AB46" t="s">
        <v>355</v>
      </c>
      <c r="AC46">
        <f t="shared" si="2"/>
        <v>8</v>
      </c>
      <c r="AE46" t="str">
        <f t="shared" si="3"/>
        <v>Enabling multi-layer cyber-security assessment of Industrial Control Systems through Hardware-In-The-Loop testbeds</v>
      </c>
    </row>
    <row r="47" spans="1:31">
      <c r="A47" t="s">
        <v>1661</v>
      </c>
      <c r="B47" t="s">
        <v>1662</v>
      </c>
      <c r="C47" t="s">
        <v>1663</v>
      </c>
      <c r="D47" t="s">
        <v>1664</v>
      </c>
      <c r="E47" s="8">
        <v>46028</v>
      </c>
      <c r="F47">
        <v>2025</v>
      </c>
      <c r="G47" t="s">
        <v>51</v>
      </c>
      <c r="I47" t="s">
        <v>300</v>
      </c>
      <c r="J47" t="s">
        <v>145</v>
      </c>
      <c r="K47" t="s">
        <v>1665</v>
      </c>
      <c r="L47" t="s">
        <v>957</v>
      </c>
      <c r="M47" t="s">
        <v>1666</v>
      </c>
      <c r="N47" t="s">
        <v>1667</v>
      </c>
      <c r="O47" t="s">
        <v>51</v>
      </c>
      <c r="P47" t="s">
        <v>1668</v>
      </c>
      <c r="Q47" t="s">
        <v>1669</v>
      </c>
      <c r="R47" t="s">
        <v>1670</v>
      </c>
      <c r="S47" t="s">
        <v>51</v>
      </c>
      <c r="U47" t="s">
        <v>51</v>
      </c>
      <c r="V47">
        <v>18</v>
      </c>
      <c r="W47" t="s">
        <v>19</v>
      </c>
      <c r="X47" s="8">
        <v>46028</v>
      </c>
      <c r="Y47" t="s">
        <v>1671</v>
      </c>
      <c r="Z47" t="s">
        <v>1671</v>
      </c>
      <c r="AA47" t="s">
        <v>19</v>
      </c>
      <c r="AB47" t="s">
        <v>355</v>
      </c>
      <c r="AC47">
        <f t="shared" si="2"/>
        <v>6</v>
      </c>
      <c r="AE47" t="str">
        <f t="shared" si="3"/>
        <v>Performance Benchmarking of OpenPLC Across Multiple Environments for Cloud-Based Industrial Automation</v>
      </c>
    </row>
    <row r="48" spans="1:31">
      <c r="A48" t="s">
        <v>1672</v>
      </c>
      <c r="B48" t="s">
        <v>1673</v>
      </c>
      <c r="C48" t="s">
        <v>1674</v>
      </c>
      <c r="D48" t="s">
        <v>1675</v>
      </c>
      <c r="E48" s="8">
        <v>45393</v>
      </c>
      <c r="F48">
        <v>2023</v>
      </c>
      <c r="G48" t="s">
        <v>51</v>
      </c>
      <c r="I48" t="s">
        <v>1676</v>
      </c>
      <c r="J48" t="s">
        <v>1677</v>
      </c>
      <c r="K48" t="s">
        <v>1678</v>
      </c>
      <c r="L48" t="s">
        <v>51</v>
      </c>
      <c r="M48" t="s">
        <v>1679</v>
      </c>
      <c r="N48" t="s">
        <v>1680</v>
      </c>
      <c r="O48" t="s">
        <v>1681</v>
      </c>
      <c r="P48" t="s">
        <v>1682</v>
      </c>
      <c r="Q48" t="s">
        <v>1683</v>
      </c>
      <c r="R48" t="s">
        <v>1684</v>
      </c>
      <c r="S48" t="s">
        <v>51</v>
      </c>
      <c r="U48" t="s">
        <v>51</v>
      </c>
      <c r="V48">
        <v>41</v>
      </c>
      <c r="W48" t="s">
        <v>19</v>
      </c>
      <c r="X48" s="8">
        <v>45393</v>
      </c>
      <c r="Y48" t="s">
        <v>1685</v>
      </c>
      <c r="Z48" t="s">
        <v>1685</v>
      </c>
      <c r="AA48" t="s">
        <v>19</v>
      </c>
      <c r="AB48" t="s">
        <v>355</v>
      </c>
      <c r="AC48">
        <f t="shared" si="2"/>
        <v>6</v>
      </c>
      <c r="AE48" t="str">
        <f t="shared" si="3"/>
        <v>A New Dataset for Intrusion Detection in Industrial Control System: A Gas Pipeline Testbed Study</v>
      </c>
    </row>
    <row r="49" spans="1:31">
      <c r="A49" t="s">
        <v>847</v>
      </c>
      <c r="B49" t="s">
        <v>848</v>
      </c>
      <c r="C49" t="s">
        <v>849</v>
      </c>
      <c r="D49" t="s">
        <v>850</v>
      </c>
      <c r="E49" s="8">
        <v>44735</v>
      </c>
      <c r="F49">
        <v>2022</v>
      </c>
      <c r="G49" t="s">
        <v>51</v>
      </c>
      <c r="I49" t="s">
        <v>308</v>
      </c>
      <c r="J49" t="s">
        <v>851</v>
      </c>
      <c r="K49" t="s">
        <v>852</v>
      </c>
      <c r="L49" t="s">
        <v>51</v>
      </c>
      <c r="M49" t="s">
        <v>853</v>
      </c>
      <c r="N49" t="s">
        <v>854</v>
      </c>
      <c r="O49" t="s">
        <v>855</v>
      </c>
      <c r="P49" t="s">
        <v>856</v>
      </c>
      <c r="Q49" t="s">
        <v>857</v>
      </c>
      <c r="R49" t="s">
        <v>858</v>
      </c>
      <c r="S49" t="s">
        <v>51</v>
      </c>
      <c r="T49">
        <v>18</v>
      </c>
      <c r="U49" t="s">
        <v>51</v>
      </c>
      <c r="V49">
        <v>67</v>
      </c>
      <c r="W49" t="s">
        <v>19</v>
      </c>
      <c r="X49" s="8">
        <v>44735</v>
      </c>
      <c r="Y49" t="s">
        <v>859</v>
      </c>
      <c r="Z49" t="s">
        <v>859</v>
      </c>
      <c r="AA49" t="s">
        <v>19</v>
      </c>
      <c r="AB49" t="s">
        <v>355</v>
      </c>
      <c r="AC49">
        <f t="shared" si="2"/>
        <v>14</v>
      </c>
      <c r="AE49" t="str">
        <f t="shared" si="3"/>
        <v>Real-Time Communication over LoRa Networks</v>
      </c>
    </row>
    <row r="50" spans="1:31">
      <c r="A50" t="s">
        <v>684</v>
      </c>
      <c r="B50" t="s">
        <v>685</v>
      </c>
      <c r="C50" t="s">
        <v>686</v>
      </c>
      <c r="D50" t="s">
        <v>687</v>
      </c>
      <c r="E50" s="8">
        <v>45583</v>
      </c>
      <c r="F50">
        <v>2024</v>
      </c>
      <c r="G50" t="s">
        <v>51</v>
      </c>
      <c r="I50" t="s">
        <v>688</v>
      </c>
      <c r="J50" t="s">
        <v>689</v>
      </c>
      <c r="K50" t="s">
        <v>690</v>
      </c>
      <c r="L50" t="s">
        <v>691</v>
      </c>
      <c r="M50" t="s">
        <v>692</v>
      </c>
      <c r="N50" t="s">
        <v>693</v>
      </c>
      <c r="O50" t="s">
        <v>694</v>
      </c>
      <c r="P50" t="s">
        <v>695</v>
      </c>
      <c r="Q50" t="s">
        <v>696</v>
      </c>
      <c r="R50" t="s">
        <v>697</v>
      </c>
      <c r="S50" t="s">
        <v>51</v>
      </c>
      <c r="U50" t="s">
        <v>51</v>
      </c>
      <c r="V50">
        <v>28</v>
      </c>
      <c r="W50" t="s">
        <v>19</v>
      </c>
      <c r="X50" s="8">
        <v>45583</v>
      </c>
      <c r="Y50" t="s">
        <v>698</v>
      </c>
      <c r="Z50" t="s">
        <v>698</v>
      </c>
      <c r="AA50" t="s">
        <v>19</v>
      </c>
      <c r="AB50" t="s">
        <v>355</v>
      </c>
      <c r="AC50">
        <f t="shared" si="2"/>
        <v>6</v>
      </c>
      <c r="AE50" t="str">
        <f t="shared" si="3"/>
        <v>Modelling Autonomous Mobile Robot Interaction with IIoT Environments</v>
      </c>
    </row>
    <row r="51" spans="1:31">
      <c r="A51" t="s">
        <v>833</v>
      </c>
      <c r="B51" t="s">
        <v>834</v>
      </c>
      <c r="C51" t="s">
        <v>835</v>
      </c>
      <c r="D51" t="s">
        <v>836</v>
      </c>
      <c r="E51" s="8">
        <v>43791</v>
      </c>
      <c r="F51">
        <v>2019</v>
      </c>
      <c r="G51" t="s">
        <v>221</v>
      </c>
      <c r="H51">
        <v>4</v>
      </c>
      <c r="I51" t="s">
        <v>837</v>
      </c>
      <c r="J51" t="s">
        <v>838</v>
      </c>
      <c r="K51" t="s">
        <v>839</v>
      </c>
      <c r="L51" t="s">
        <v>840</v>
      </c>
      <c r="M51" t="s">
        <v>51</v>
      </c>
      <c r="N51" t="s">
        <v>841</v>
      </c>
      <c r="O51" t="s">
        <v>842</v>
      </c>
      <c r="P51" t="s">
        <v>843</v>
      </c>
      <c r="Q51" t="s">
        <v>844</v>
      </c>
      <c r="R51" t="s">
        <v>845</v>
      </c>
      <c r="S51" t="s">
        <v>51</v>
      </c>
      <c r="T51">
        <v>31</v>
      </c>
      <c r="U51" t="s">
        <v>51</v>
      </c>
      <c r="V51">
        <v>29</v>
      </c>
      <c r="W51" t="s">
        <v>19</v>
      </c>
      <c r="X51" s="8">
        <v>43600</v>
      </c>
      <c r="Y51" t="s">
        <v>846</v>
      </c>
      <c r="Z51" t="s">
        <v>51</v>
      </c>
      <c r="AA51" t="s">
        <v>19</v>
      </c>
      <c r="AB51" t="s">
        <v>413</v>
      </c>
      <c r="AC51">
        <f t="shared" si="2"/>
        <v>9</v>
      </c>
      <c r="AE51" t="str">
        <f t="shared" si="3"/>
        <v>Covert Channels-Based Stealth Attacks in Industry 4.0</v>
      </c>
    </row>
    <row r="52" spans="1:31">
      <c r="A52" t="s">
        <v>726</v>
      </c>
      <c r="B52" t="s">
        <v>727</v>
      </c>
      <c r="C52" t="s">
        <v>728</v>
      </c>
      <c r="D52" t="s">
        <v>729</v>
      </c>
      <c r="E52" s="8">
        <v>44365</v>
      </c>
      <c r="F52">
        <v>2021</v>
      </c>
      <c r="G52" t="s">
        <v>300</v>
      </c>
      <c r="I52" t="s">
        <v>730</v>
      </c>
      <c r="J52" t="s">
        <v>731</v>
      </c>
      <c r="K52" t="s">
        <v>732</v>
      </c>
      <c r="L52" t="s">
        <v>51</v>
      </c>
      <c r="M52" t="s">
        <v>733</v>
      </c>
      <c r="N52" t="s">
        <v>734</v>
      </c>
      <c r="O52" t="s">
        <v>51</v>
      </c>
      <c r="P52" t="s">
        <v>735</v>
      </c>
      <c r="Q52" t="s">
        <v>736</v>
      </c>
      <c r="R52" t="s">
        <v>737</v>
      </c>
      <c r="S52" t="s">
        <v>51</v>
      </c>
      <c r="T52">
        <v>13</v>
      </c>
      <c r="U52" t="s">
        <v>51</v>
      </c>
      <c r="V52">
        <v>25</v>
      </c>
      <c r="W52" t="s">
        <v>19</v>
      </c>
      <c r="X52" s="8">
        <v>44365</v>
      </c>
      <c r="Y52" t="s">
        <v>738</v>
      </c>
      <c r="Z52" t="s">
        <v>738</v>
      </c>
      <c r="AA52" t="s">
        <v>19</v>
      </c>
      <c r="AB52" t="s">
        <v>355</v>
      </c>
      <c r="AC52">
        <f t="shared" si="2"/>
        <v>8</v>
      </c>
      <c r="AE52" t="str">
        <f t="shared" si="3"/>
        <v>Feasibility Study on Virtual Process Controllers as Basis for Future Industrial Automation Systems</v>
      </c>
    </row>
    <row r="53" spans="1:31">
      <c r="A53" t="s">
        <v>235</v>
      </c>
      <c r="B53" t="s">
        <v>1004</v>
      </c>
      <c r="C53" t="s">
        <v>1005</v>
      </c>
      <c r="D53" t="s">
        <v>1006</v>
      </c>
      <c r="E53" s="8">
        <v>45372</v>
      </c>
      <c r="F53">
        <v>2023</v>
      </c>
      <c r="G53" t="s">
        <v>51</v>
      </c>
      <c r="I53" t="s">
        <v>1686</v>
      </c>
      <c r="J53" t="s">
        <v>1687</v>
      </c>
      <c r="K53" t="s">
        <v>1007</v>
      </c>
      <c r="L53" t="s">
        <v>51</v>
      </c>
      <c r="M53" t="s">
        <v>1008</v>
      </c>
      <c r="N53" t="s">
        <v>236</v>
      </c>
      <c r="O53" t="s">
        <v>51</v>
      </c>
      <c r="P53" t="s">
        <v>1009</v>
      </c>
      <c r="Q53" t="s">
        <v>1010</v>
      </c>
      <c r="R53" t="s">
        <v>1011</v>
      </c>
      <c r="S53" t="s">
        <v>51</v>
      </c>
      <c r="T53">
        <v>4</v>
      </c>
      <c r="U53" t="s">
        <v>51</v>
      </c>
      <c r="V53">
        <v>16</v>
      </c>
      <c r="W53" t="s">
        <v>19</v>
      </c>
      <c r="X53" s="8">
        <v>45372</v>
      </c>
      <c r="Y53" t="s">
        <v>1012</v>
      </c>
      <c r="Z53" t="s">
        <v>1012</v>
      </c>
      <c r="AA53" t="s">
        <v>19</v>
      </c>
      <c r="AB53" t="s">
        <v>355</v>
      </c>
      <c r="AC53">
        <f t="shared" si="2"/>
        <v>6</v>
      </c>
      <c r="AE53" t="str">
        <f t="shared" si="3"/>
        <v>Contention Congestion Collision Adaptive Data Rate for LoRaWAN-Based Challenging Industrial IoT</v>
      </c>
    </row>
    <row r="54" spans="1:31">
      <c r="A54" t="s">
        <v>924</v>
      </c>
      <c r="B54" t="s">
        <v>925</v>
      </c>
      <c r="C54" t="s">
        <v>926</v>
      </c>
      <c r="D54" t="s">
        <v>927</v>
      </c>
      <c r="E54" s="8">
        <v>43433</v>
      </c>
      <c r="F54">
        <v>2018</v>
      </c>
      <c r="G54" t="s">
        <v>51</v>
      </c>
      <c r="I54" t="s">
        <v>300</v>
      </c>
      <c r="J54" t="s">
        <v>301</v>
      </c>
      <c r="K54" t="s">
        <v>928</v>
      </c>
      <c r="L54" t="s">
        <v>51</v>
      </c>
      <c r="M54" t="s">
        <v>929</v>
      </c>
      <c r="N54" t="s">
        <v>930</v>
      </c>
      <c r="O54" t="s">
        <v>51</v>
      </c>
      <c r="P54" t="s">
        <v>931</v>
      </c>
      <c r="Q54" t="s">
        <v>51</v>
      </c>
      <c r="R54" t="s">
        <v>932</v>
      </c>
      <c r="S54" t="s">
        <v>51</v>
      </c>
      <c r="T54">
        <v>5</v>
      </c>
      <c r="U54" t="s">
        <v>51</v>
      </c>
      <c r="V54">
        <v>20</v>
      </c>
      <c r="W54" t="s">
        <v>19</v>
      </c>
      <c r="X54" s="8">
        <v>43433</v>
      </c>
      <c r="Y54" t="s">
        <v>933</v>
      </c>
      <c r="Z54" t="s">
        <v>933</v>
      </c>
      <c r="AA54" t="s">
        <v>19</v>
      </c>
      <c r="AB54" t="s">
        <v>355</v>
      </c>
      <c r="AC54">
        <f t="shared" si="2"/>
        <v>7</v>
      </c>
      <c r="AE54" t="str">
        <f t="shared" si="3"/>
        <v>Fog Computing Over Challenged Networks: A Real Case Evaluation</v>
      </c>
    </row>
    <row r="55" spans="1:31">
      <c r="A55" t="s">
        <v>1688</v>
      </c>
      <c r="B55" t="s">
        <v>971</v>
      </c>
      <c r="C55" t="s">
        <v>1689</v>
      </c>
      <c r="D55" t="s">
        <v>134</v>
      </c>
      <c r="E55" s="8">
        <v>45954</v>
      </c>
      <c r="F55">
        <v>2025</v>
      </c>
      <c r="G55" t="s">
        <v>135</v>
      </c>
      <c r="H55">
        <v>21</v>
      </c>
      <c r="I55" t="s">
        <v>1690</v>
      </c>
      <c r="J55" t="s">
        <v>1691</v>
      </c>
      <c r="K55" t="s">
        <v>1692</v>
      </c>
      <c r="L55" t="s">
        <v>425</v>
      </c>
      <c r="M55" t="s">
        <v>51</v>
      </c>
      <c r="N55" t="s">
        <v>1693</v>
      </c>
      <c r="O55" t="s">
        <v>1694</v>
      </c>
      <c r="P55" t="s">
        <v>1695</v>
      </c>
      <c r="Q55" t="s">
        <v>1696</v>
      </c>
      <c r="R55" t="s">
        <v>1697</v>
      </c>
      <c r="S55" t="s">
        <v>51</v>
      </c>
      <c r="U55" t="s">
        <v>51</v>
      </c>
      <c r="V55">
        <v>30</v>
      </c>
      <c r="W55" t="s">
        <v>19</v>
      </c>
      <c r="X55" s="8">
        <v>45868</v>
      </c>
      <c r="Y55" t="s">
        <v>1698</v>
      </c>
      <c r="Z55" t="s">
        <v>51</v>
      </c>
      <c r="AA55" t="s">
        <v>19</v>
      </c>
      <c r="AB55" t="s">
        <v>413</v>
      </c>
      <c r="AC55">
        <f t="shared" si="2"/>
        <v>14</v>
      </c>
      <c r="AE55" t="str">
        <f t="shared" si="3"/>
        <v>Optimizing MQTT-CoAP Interoperability: A Broker-Based Extension for Seamless Integration</v>
      </c>
    </row>
    <row r="56" spans="1:31">
      <c r="A56" t="s">
        <v>715</v>
      </c>
      <c r="B56" t="s">
        <v>716</v>
      </c>
      <c r="C56" t="s">
        <v>717</v>
      </c>
      <c r="D56" t="s">
        <v>718</v>
      </c>
      <c r="E56" s="8">
        <v>45638</v>
      </c>
      <c r="F56">
        <v>2024</v>
      </c>
      <c r="G56" t="s">
        <v>300</v>
      </c>
      <c r="I56" t="s">
        <v>300</v>
      </c>
      <c r="J56" t="s">
        <v>53</v>
      </c>
      <c r="K56" t="s">
        <v>719</v>
      </c>
      <c r="L56" t="s">
        <v>51</v>
      </c>
      <c r="M56" t="s">
        <v>720</v>
      </c>
      <c r="N56" t="s">
        <v>721</v>
      </c>
      <c r="O56" t="s">
        <v>51</v>
      </c>
      <c r="P56" t="s">
        <v>722</v>
      </c>
      <c r="Q56" t="s">
        <v>723</v>
      </c>
      <c r="R56" t="s">
        <v>724</v>
      </c>
      <c r="S56" t="s">
        <v>51</v>
      </c>
      <c r="U56" t="s">
        <v>51</v>
      </c>
      <c r="V56">
        <v>15</v>
      </c>
      <c r="W56" t="s">
        <v>19</v>
      </c>
      <c r="X56" s="8">
        <v>45638</v>
      </c>
      <c r="Y56" t="s">
        <v>725</v>
      </c>
      <c r="Z56" t="s">
        <v>725</v>
      </c>
      <c r="AA56" t="s">
        <v>19</v>
      </c>
      <c r="AB56" t="s">
        <v>355</v>
      </c>
      <c r="AC56">
        <f t="shared" si="2"/>
        <v>5</v>
      </c>
      <c r="AE56" t="str">
        <f t="shared" si="3"/>
        <v>Experimental Platform for Testing Open Process Automation Technologies Based on OPC UA and IEC 61499</v>
      </c>
    </row>
    <row r="57" spans="1:31">
      <c r="A57" t="s">
        <v>1699</v>
      </c>
      <c r="B57" t="s">
        <v>1700</v>
      </c>
      <c r="C57" t="s">
        <v>1701</v>
      </c>
      <c r="D57" t="s">
        <v>780</v>
      </c>
      <c r="E57" s="8">
        <v>45868</v>
      </c>
      <c r="F57">
        <v>2025</v>
      </c>
      <c r="G57" t="s">
        <v>51</v>
      </c>
      <c r="I57" t="s">
        <v>300</v>
      </c>
      <c r="J57" t="s">
        <v>145</v>
      </c>
      <c r="K57" t="s">
        <v>1702</v>
      </c>
      <c r="L57" t="s">
        <v>782</v>
      </c>
      <c r="M57" t="s">
        <v>783</v>
      </c>
      <c r="N57" t="s">
        <v>1703</v>
      </c>
      <c r="O57" t="s">
        <v>1704</v>
      </c>
      <c r="P57" t="s">
        <v>1705</v>
      </c>
      <c r="Q57" t="s">
        <v>1706</v>
      </c>
      <c r="R57" t="s">
        <v>1707</v>
      </c>
      <c r="S57" t="s">
        <v>51</v>
      </c>
      <c r="T57">
        <v>1</v>
      </c>
      <c r="U57" t="s">
        <v>51</v>
      </c>
      <c r="V57">
        <v>29</v>
      </c>
      <c r="W57" t="s">
        <v>19</v>
      </c>
      <c r="X57" s="8">
        <v>45868</v>
      </c>
      <c r="Y57" t="s">
        <v>788</v>
      </c>
      <c r="Z57" t="s">
        <v>788</v>
      </c>
      <c r="AA57" t="s">
        <v>19</v>
      </c>
      <c r="AB57" t="s">
        <v>355</v>
      </c>
      <c r="AC57">
        <f t="shared" si="2"/>
        <v>6</v>
      </c>
      <c r="AE57" t="str">
        <f t="shared" si="3"/>
        <v>FedMqADV: A Unified Framework for End-to-End Evaluation of MQTT-Based Federated Learning in Adversarial Setting</v>
      </c>
    </row>
    <row r="58" spans="1:31">
      <c r="A58" t="s">
        <v>566</v>
      </c>
      <c r="B58" t="s">
        <v>567</v>
      </c>
      <c r="C58" t="s">
        <v>568</v>
      </c>
      <c r="D58" t="s">
        <v>569</v>
      </c>
      <c r="E58" s="8">
        <v>45191</v>
      </c>
      <c r="F58">
        <v>2023</v>
      </c>
      <c r="G58" t="s">
        <v>51</v>
      </c>
      <c r="I58" t="s">
        <v>300</v>
      </c>
      <c r="J58" t="s">
        <v>145</v>
      </c>
      <c r="K58" t="s">
        <v>570</v>
      </c>
      <c r="L58" t="s">
        <v>51</v>
      </c>
      <c r="M58" t="s">
        <v>571</v>
      </c>
      <c r="N58" t="s">
        <v>572</v>
      </c>
      <c r="O58" t="s">
        <v>51</v>
      </c>
      <c r="P58" t="s">
        <v>573</v>
      </c>
      <c r="Q58" t="s">
        <v>574</v>
      </c>
      <c r="R58" t="s">
        <v>575</v>
      </c>
      <c r="S58" t="s">
        <v>51</v>
      </c>
      <c r="U58" t="s">
        <v>51</v>
      </c>
      <c r="V58">
        <v>31</v>
      </c>
      <c r="W58" t="s">
        <v>19</v>
      </c>
      <c r="X58" s="8">
        <v>45191</v>
      </c>
      <c r="Y58" t="s">
        <v>576</v>
      </c>
      <c r="Z58" t="s">
        <v>576</v>
      </c>
      <c r="AA58" t="s">
        <v>19</v>
      </c>
      <c r="AB58" t="s">
        <v>355</v>
      </c>
      <c r="AC58">
        <f t="shared" si="2"/>
        <v>6</v>
      </c>
      <c r="AE58" t="str">
        <f t="shared" si="3"/>
        <v>Safeguarding Inter-Device Communications for Connected Systems: A Holistic Security Framework</v>
      </c>
    </row>
    <row r="59" spans="1:31">
      <c r="A59" t="s">
        <v>317</v>
      </c>
      <c r="B59" t="s">
        <v>889</v>
      </c>
      <c r="C59" t="s">
        <v>890</v>
      </c>
      <c r="D59" t="s">
        <v>891</v>
      </c>
      <c r="E59" s="8">
        <v>43055</v>
      </c>
      <c r="F59">
        <v>2017</v>
      </c>
      <c r="G59" t="s">
        <v>51</v>
      </c>
      <c r="I59" t="s">
        <v>892</v>
      </c>
      <c r="J59" t="s">
        <v>764</v>
      </c>
      <c r="K59" t="s">
        <v>893</v>
      </c>
      <c r="L59" t="s">
        <v>894</v>
      </c>
      <c r="M59" t="s">
        <v>895</v>
      </c>
      <c r="N59" t="s">
        <v>320</v>
      </c>
      <c r="O59" t="s">
        <v>51</v>
      </c>
      <c r="P59" t="s">
        <v>896</v>
      </c>
      <c r="Q59" t="s">
        <v>897</v>
      </c>
      <c r="R59" t="s">
        <v>898</v>
      </c>
      <c r="S59" t="s">
        <v>51</v>
      </c>
      <c r="T59">
        <v>6</v>
      </c>
      <c r="U59" t="s">
        <v>51</v>
      </c>
      <c r="V59">
        <v>28</v>
      </c>
      <c r="W59" t="s">
        <v>19</v>
      </c>
      <c r="X59" s="8">
        <v>43055</v>
      </c>
      <c r="Y59" t="s">
        <v>899</v>
      </c>
      <c r="Z59" t="s">
        <v>899</v>
      </c>
      <c r="AA59" t="s">
        <v>19</v>
      </c>
      <c r="AB59" t="s">
        <v>355</v>
      </c>
      <c r="AC59">
        <f t="shared" si="2"/>
        <v>8</v>
      </c>
      <c r="AE59" t="str">
        <f t="shared" si="3"/>
        <v>End-to-End Delay Evaluation of Industrial Automation Systems Based on EtherCAT</v>
      </c>
    </row>
    <row r="60" spans="1:31">
      <c r="A60" t="s">
        <v>1708</v>
      </c>
      <c r="B60" t="s">
        <v>1709</v>
      </c>
      <c r="C60" t="s">
        <v>1710</v>
      </c>
      <c r="D60" t="s">
        <v>1126</v>
      </c>
      <c r="E60" s="8">
        <v>45099</v>
      </c>
      <c r="F60">
        <v>2022</v>
      </c>
      <c r="G60" t="s">
        <v>51</v>
      </c>
      <c r="I60" t="s">
        <v>300</v>
      </c>
      <c r="J60" t="s">
        <v>145</v>
      </c>
      <c r="K60" t="s">
        <v>1711</v>
      </c>
      <c r="L60" t="s">
        <v>51</v>
      </c>
      <c r="M60" t="s">
        <v>1128</v>
      </c>
      <c r="N60" t="s">
        <v>1712</v>
      </c>
      <c r="O60" t="s">
        <v>51</v>
      </c>
      <c r="P60" t="s">
        <v>1713</v>
      </c>
      <c r="Q60" t="s">
        <v>1714</v>
      </c>
      <c r="R60" t="s">
        <v>1715</v>
      </c>
      <c r="S60" t="s">
        <v>51</v>
      </c>
      <c r="U60" t="s">
        <v>51</v>
      </c>
      <c r="V60">
        <v>27</v>
      </c>
      <c r="W60" t="s">
        <v>19</v>
      </c>
      <c r="X60" s="8">
        <v>45099</v>
      </c>
      <c r="Y60" t="s">
        <v>1134</v>
      </c>
      <c r="Z60" t="s">
        <v>1134</v>
      </c>
      <c r="AA60" t="s">
        <v>19</v>
      </c>
      <c r="AB60" t="s">
        <v>355</v>
      </c>
      <c r="AC60">
        <f t="shared" si="2"/>
        <v>6</v>
      </c>
      <c r="AE60" t="str">
        <f t="shared" si="3"/>
        <v>Secure IoT Deployment Checklist for Building Management System</v>
      </c>
    </row>
    <row r="61" spans="1:31">
      <c r="A61" t="s">
        <v>248</v>
      </c>
      <c r="B61" t="s">
        <v>1716</v>
      </c>
      <c r="C61" t="s">
        <v>1717</v>
      </c>
      <c r="D61" t="s">
        <v>956</v>
      </c>
      <c r="E61" s="8">
        <v>45160</v>
      </c>
      <c r="F61">
        <v>2023</v>
      </c>
      <c r="G61" t="s">
        <v>51</v>
      </c>
      <c r="I61" t="s">
        <v>300</v>
      </c>
      <c r="J61" t="s">
        <v>145</v>
      </c>
      <c r="K61" t="s">
        <v>1718</v>
      </c>
      <c r="L61" t="s">
        <v>957</v>
      </c>
      <c r="M61" t="s">
        <v>958</v>
      </c>
      <c r="N61" t="s">
        <v>249</v>
      </c>
      <c r="O61" t="s">
        <v>1719</v>
      </c>
      <c r="P61" t="s">
        <v>1720</v>
      </c>
      <c r="Q61" t="s">
        <v>1721</v>
      </c>
      <c r="R61" t="s">
        <v>1722</v>
      </c>
      <c r="S61" t="s">
        <v>51</v>
      </c>
      <c r="T61">
        <v>3</v>
      </c>
      <c r="U61" t="s">
        <v>51</v>
      </c>
      <c r="V61">
        <v>18</v>
      </c>
      <c r="W61" t="s">
        <v>19</v>
      </c>
      <c r="X61" s="8">
        <v>45160</v>
      </c>
      <c r="Y61" t="s">
        <v>959</v>
      </c>
      <c r="Z61" t="s">
        <v>959</v>
      </c>
      <c r="AA61" t="s">
        <v>19</v>
      </c>
      <c r="AB61" t="s">
        <v>355</v>
      </c>
      <c r="AC61">
        <f t="shared" si="2"/>
        <v>6</v>
      </c>
      <c r="AE61" t="str">
        <f t="shared" si="3"/>
        <v>An FPGA-based Unidirectional Gateway Proposal for OT-IT Network Separation to Secure Industrial Automation Systems</v>
      </c>
    </row>
    <row r="62" spans="1:31">
      <c r="A62" t="s">
        <v>699</v>
      </c>
      <c r="B62" t="s">
        <v>700</v>
      </c>
      <c r="C62" t="s">
        <v>701</v>
      </c>
      <c r="D62" t="s">
        <v>702</v>
      </c>
      <c r="E62" s="8">
        <v>42578</v>
      </c>
      <c r="F62">
        <v>2016</v>
      </c>
      <c r="G62" t="s">
        <v>1723</v>
      </c>
      <c r="H62">
        <v>4</v>
      </c>
      <c r="I62" t="s">
        <v>703</v>
      </c>
      <c r="J62" t="s">
        <v>704</v>
      </c>
      <c r="K62" t="s">
        <v>705</v>
      </c>
      <c r="L62" t="s">
        <v>706</v>
      </c>
      <c r="M62" t="s">
        <v>51</v>
      </c>
      <c r="N62" t="s">
        <v>707</v>
      </c>
      <c r="O62" t="s">
        <v>51</v>
      </c>
      <c r="P62" t="s">
        <v>708</v>
      </c>
      <c r="Q62" t="s">
        <v>51</v>
      </c>
      <c r="R62" t="s">
        <v>709</v>
      </c>
      <c r="S62" t="s">
        <v>51</v>
      </c>
      <c r="T62">
        <v>8</v>
      </c>
      <c r="U62" t="s">
        <v>51</v>
      </c>
      <c r="V62">
        <v>29</v>
      </c>
      <c r="W62" t="s">
        <v>710</v>
      </c>
      <c r="X62" s="8">
        <v>42578</v>
      </c>
      <c r="Y62" t="s">
        <v>711</v>
      </c>
      <c r="Z62" t="s">
        <v>51</v>
      </c>
      <c r="AA62" t="s">
        <v>710</v>
      </c>
      <c r="AB62" t="s">
        <v>712</v>
      </c>
      <c r="AC62">
        <f t="shared" si="2"/>
        <v>1.007638888888889</v>
      </c>
      <c r="AE62" t="str">
        <f t="shared" si="3"/>
        <v>Security intelligence for industrial control systems</v>
      </c>
    </row>
    <row r="63" spans="1:31">
      <c r="A63" t="s">
        <v>800</v>
      </c>
      <c r="B63" t="s">
        <v>801</v>
      </c>
      <c r="C63" t="s">
        <v>802</v>
      </c>
      <c r="D63" t="s">
        <v>803</v>
      </c>
      <c r="E63" s="8">
        <v>45862</v>
      </c>
      <c r="F63">
        <v>2025</v>
      </c>
      <c r="G63" t="s">
        <v>51</v>
      </c>
      <c r="I63" t="s">
        <v>300</v>
      </c>
      <c r="J63" t="s">
        <v>145</v>
      </c>
      <c r="K63" t="s">
        <v>804</v>
      </c>
      <c r="L63" t="s">
        <v>51</v>
      </c>
      <c r="M63" t="s">
        <v>805</v>
      </c>
      <c r="N63" t="s">
        <v>806</v>
      </c>
      <c r="O63" t="s">
        <v>51</v>
      </c>
      <c r="P63" t="s">
        <v>807</v>
      </c>
      <c r="Q63" t="s">
        <v>808</v>
      </c>
      <c r="R63" t="s">
        <v>809</v>
      </c>
      <c r="S63" t="s">
        <v>51</v>
      </c>
      <c r="T63">
        <v>1</v>
      </c>
      <c r="U63" t="s">
        <v>51</v>
      </c>
      <c r="V63">
        <v>15</v>
      </c>
      <c r="W63" t="s">
        <v>19</v>
      </c>
      <c r="X63" s="8">
        <v>45862</v>
      </c>
      <c r="Y63" t="s">
        <v>810</v>
      </c>
      <c r="Z63" t="s">
        <v>810</v>
      </c>
      <c r="AA63" t="s">
        <v>19</v>
      </c>
      <c r="AB63" t="s">
        <v>355</v>
      </c>
      <c r="AC63">
        <f t="shared" si="2"/>
        <v>6</v>
      </c>
      <c r="AE63" t="str">
        <f t="shared" si="3"/>
        <v>Hierarchical Blockchain Framework for Node Authentication in IoT Networks: A Comprehensive Analysis</v>
      </c>
    </row>
    <row r="64" spans="1:31">
      <c r="A64" t="s">
        <v>934</v>
      </c>
      <c r="B64" t="s">
        <v>935</v>
      </c>
      <c r="C64" t="s">
        <v>936</v>
      </c>
      <c r="D64" t="s">
        <v>937</v>
      </c>
      <c r="E64" s="8">
        <v>43542</v>
      </c>
      <c r="F64">
        <v>2019</v>
      </c>
      <c r="G64" t="s">
        <v>51</v>
      </c>
      <c r="I64" t="s">
        <v>714</v>
      </c>
      <c r="J64" t="s">
        <v>1724</v>
      </c>
      <c r="K64" t="s">
        <v>938</v>
      </c>
      <c r="L64" t="s">
        <v>939</v>
      </c>
      <c r="M64" t="s">
        <v>940</v>
      </c>
      <c r="N64" t="s">
        <v>941</v>
      </c>
      <c r="O64" t="s">
        <v>51</v>
      </c>
      <c r="P64" t="s">
        <v>942</v>
      </c>
      <c r="Q64" t="s">
        <v>943</v>
      </c>
      <c r="R64" t="s">
        <v>944</v>
      </c>
      <c r="S64" t="s">
        <v>51</v>
      </c>
      <c r="T64">
        <v>6</v>
      </c>
      <c r="U64" t="s">
        <v>51</v>
      </c>
      <c r="V64">
        <v>12</v>
      </c>
      <c r="W64" t="s">
        <v>19</v>
      </c>
      <c r="X64" s="8">
        <v>43542</v>
      </c>
      <c r="Y64" t="s">
        <v>945</v>
      </c>
      <c r="Z64" t="s">
        <v>945</v>
      </c>
      <c r="AA64" t="s">
        <v>19</v>
      </c>
      <c r="AB64" t="s">
        <v>355</v>
      </c>
      <c r="AC64">
        <f t="shared" si="2"/>
        <v>5</v>
      </c>
      <c r="AE64" t="str">
        <f t="shared" si="3"/>
        <v>Development of SCADA Simulator using Omnet++</v>
      </c>
    </row>
    <row r="65" spans="1:31">
      <c r="A65" t="s">
        <v>869</v>
      </c>
      <c r="B65" t="s">
        <v>870</v>
      </c>
      <c r="C65" t="s">
        <v>871</v>
      </c>
      <c r="D65" t="s">
        <v>872</v>
      </c>
      <c r="E65" s="8">
        <v>45012</v>
      </c>
      <c r="F65">
        <v>2022</v>
      </c>
      <c r="G65" t="s">
        <v>51</v>
      </c>
      <c r="I65" t="s">
        <v>300</v>
      </c>
      <c r="J65" t="s">
        <v>53</v>
      </c>
      <c r="K65" t="s">
        <v>873</v>
      </c>
      <c r="L65" t="s">
        <v>51</v>
      </c>
      <c r="M65" t="s">
        <v>874</v>
      </c>
      <c r="N65" t="s">
        <v>875</v>
      </c>
      <c r="O65" t="s">
        <v>51</v>
      </c>
      <c r="P65" t="s">
        <v>876</v>
      </c>
      <c r="Q65" t="s">
        <v>877</v>
      </c>
      <c r="R65" t="s">
        <v>878</v>
      </c>
      <c r="S65" t="s">
        <v>51</v>
      </c>
      <c r="T65">
        <v>1</v>
      </c>
      <c r="U65" t="s">
        <v>51</v>
      </c>
      <c r="V65">
        <v>19</v>
      </c>
      <c r="W65" t="s">
        <v>19</v>
      </c>
      <c r="X65" s="8">
        <v>45012</v>
      </c>
      <c r="Y65" t="s">
        <v>879</v>
      </c>
      <c r="Z65" t="s">
        <v>879</v>
      </c>
      <c r="AA65" t="s">
        <v>19</v>
      </c>
      <c r="AB65" t="s">
        <v>355</v>
      </c>
      <c r="AC65">
        <f t="shared" si="2"/>
        <v>5</v>
      </c>
      <c r="AE65" t="str">
        <f t="shared" si="3"/>
        <v>Indoor Localization-based Energy Management for Smart Home</v>
      </c>
    </row>
    <row r="66" spans="1:31">
      <c r="A66" t="s">
        <v>1725</v>
      </c>
      <c r="B66" t="s">
        <v>1726</v>
      </c>
      <c r="C66" t="s">
        <v>1727</v>
      </c>
      <c r="D66" t="s">
        <v>1728</v>
      </c>
      <c r="E66" s="8">
        <v>45559</v>
      </c>
      <c r="F66">
        <v>2024</v>
      </c>
      <c r="G66" t="s">
        <v>51</v>
      </c>
      <c r="I66" t="s">
        <v>1729</v>
      </c>
      <c r="J66" t="s">
        <v>1730</v>
      </c>
      <c r="K66" t="s">
        <v>1731</v>
      </c>
      <c r="L66" t="s">
        <v>51</v>
      </c>
      <c r="M66" t="s">
        <v>1732</v>
      </c>
      <c r="N66" t="s">
        <v>1733</v>
      </c>
      <c r="O66" t="s">
        <v>51</v>
      </c>
      <c r="P66" t="s">
        <v>1734</v>
      </c>
      <c r="Q66" t="s">
        <v>1735</v>
      </c>
      <c r="R66" t="s">
        <v>1736</v>
      </c>
      <c r="S66" t="s">
        <v>51</v>
      </c>
      <c r="T66">
        <v>6</v>
      </c>
      <c r="U66" t="s">
        <v>51</v>
      </c>
      <c r="V66">
        <v>29</v>
      </c>
      <c r="W66" t="s">
        <v>532</v>
      </c>
      <c r="X66" s="8">
        <v>45559</v>
      </c>
      <c r="Y66" t="s">
        <v>1737</v>
      </c>
      <c r="Z66" t="s">
        <v>1737</v>
      </c>
      <c r="AA66" t="s">
        <v>19</v>
      </c>
      <c r="AB66" t="s">
        <v>355</v>
      </c>
      <c r="AC66">
        <f t="shared" ref="AC66:AC101" si="4">($J66-$I66)+1</f>
        <v>6</v>
      </c>
      <c r="AE66" t="str">
        <f t="shared" ref="AE66:AE101" si="5">HYPERLINK($P66,$A66)</f>
        <v>Toward a Unified Security Framework for Digital Twin Architectures</v>
      </c>
    </row>
    <row r="67" spans="1:31">
      <c r="A67" t="s">
        <v>295</v>
      </c>
      <c r="B67" t="s">
        <v>765</v>
      </c>
      <c r="C67" t="s">
        <v>766</v>
      </c>
      <c r="D67" t="s">
        <v>767</v>
      </c>
      <c r="E67" s="8">
        <v>44601</v>
      </c>
      <c r="F67">
        <v>2021</v>
      </c>
      <c r="G67" t="s">
        <v>51</v>
      </c>
      <c r="I67" t="s">
        <v>768</v>
      </c>
      <c r="J67" t="s">
        <v>769</v>
      </c>
      <c r="K67" t="s">
        <v>770</v>
      </c>
      <c r="L67" t="s">
        <v>51</v>
      </c>
      <c r="M67" t="s">
        <v>771</v>
      </c>
      <c r="N67" t="s">
        <v>296</v>
      </c>
      <c r="O67" t="s">
        <v>772</v>
      </c>
      <c r="P67" t="s">
        <v>773</v>
      </c>
      <c r="Q67" t="s">
        <v>774</v>
      </c>
      <c r="R67" t="s">
        <v>775</v>
      </c>
      <c r="S67" t="s">
        <v>51</v>
      </c>
      <c r="T67">
        <v>2</v>
      </c>
      <c r="U67" t="s">
        <v>51</v>
      </c>
      <c r="V67">
        <v>14</v>
      </c>
      <c r="W67" t="s">
        <v>19</v>
      </c>
      <c r="X67" s="8">
        <v>44601</v>
      </c>
      <c r="Y67" t="s">
        <v>776</v>
      </c>
      <c r="Z67" t="s">
        <v>776</v>
      </c>
      <c r="AA67" t="s">
        <v>19</v>
      </c>
      <c r="AB67" t="s">
        <v>355</v>
      </c>
      <c r="AC67">
        <f t="shared" si="4"/>
        <v>6</v>
      </c>
      <c r="AE67" t="str">
        <f t="shared" si="5"/>
        <v>Implementation of Cyber-Physical Systems with Modbus Communication for Security Studies</v>
      </c>
    </row>
    <row r="68" spans="1:31">
      <c r="A68" t="s">
        <v>1738</v>
      </c>
      <c r="B68" t="s">
        <v>1739</v>
      </c>
      <c r="C68" t="s">
        <v>1740</v>
      </c>
      <c r="D68" t="s">
        <v>1741</v>
      </c>
      <c r="E68" s="8">
        <v>42936</v>
      </c>
      <c r="F68">
        <v>2017</v>
      </c>
      <c r="G68" t="s">
        <v>51</v>
      </c>
      <c r="I68" t="s">
        <v>1742</v>
      </c>
      <c r="J68" t="s">
        <v>1743</v>
      </c>
      <c r="K68" t="s">
        <v>1744</v>
      </c>
      <c r="L68" t="s">
        <v>713</v>
      </c>
      <c r="M68" t="s">
        <v>1745</v>
      </c>
      <c r="N68" t="s">
        <v>1746</v>
      </c>
      <c r="O68" t="s">
        <v>51</v>
      </c>
      <c r="P68" t="s">
        <v>1747</v>
      </c>
      <c r="Q68" t="s">
        <v>51</v>
      </c>
      <c r="R68" t="s">
        <v>1748</v>
      </c>
      <c r="S68" t="s">
        <v>51</v>
      </c>
      <c r="T68">
        <v>6</v>
      </c>
      <c r="U68" t="s">
        <v>51</v>
      </c>
      <c r="V68">
        <v>14</v>
      </c>
      <c r="W68" t="s">
        <v>19</v>
      </c>
      <c r="X68" s="8">
        <v>42936</v>
      </c>
      <c r="Y68" t="s">
        <v>1749</v>
      </c>
      <c r="Z68" t="s">
        <v>1749</v>
      </c>
      <c r="AA68" t="s">
        <v>19</v>
      </c>
      <c r="AB68" t="s">
        <v>355</v>
      </c>
      <c r="AC68">
        <f t="shared" si="4"/>
        <v>5</v>
      </c>
      <c r="AE68" t="str">
        <f t="shared" si="5"/>
        <v>Improving operational security for web-based distributed control systems in wastewater management</v>
      </c>
    </row>
    <row r="69" spans="1:31">
      <c r="A69" t="s">
        <v>187</v>
      </c>
      <c r="B69" t="s">
        <v>996</v>
      </c>
      <c r="C69" t="s">
        <v>997</v>
      </c>
      <c r="D69" t="s">
        <v>998</v>
      </c>
      <c r="E69" s="8">
        <v>45470</v>
      </c>
      <c r="F69">
        <v>2024</v>
      </c>
      <c r="G69" t="s">
        <v>51</v>
      </c>
      <c r="I69" t="s">
        <v>324</v>
      </c>
      <c r="J69" t="s">
        <v>302</v>
      </c>
      <c r="K69" t="s">
        <v>999</v>
      </c>
      <c r="L69" t="s">
        <v>713</v>
      </c>
      <c r="M69" t="s">
        <v>1000</v>
      </c>
      <c r="N69" t="s">
        <v>188</v>
      </c>
      <c r="O69" t="s">
        <v>51</v>
      </c>
      <c r="P69" t="s">
        <v>1001</v>
      </c>
      <c r="Q69" t="s">
        <v>51</v>
      </c>
      <c r="R69" t="s">
        <v>1002</v>
      </c>
      <c r="S69" t="s">
        <v>51</v>
      </c>
      <c r="T69">
        <v>3</v>
      </c>
      <c r="U69" t="s">
        <v>51</v>
      </c>
      <c r="V69">
        <v>16</v>
      </c>
      <c r="W69" t="s">
        <v>19</v>
      </c>
      <c r="X69" s="8">
        <v>45470</v>
      </c>
      <c r="Y69" t="s">
        <v>1003</v>
      </c>
      <c r="Z69" t="s">
        <v>1003</v>
      </c>
      <c r="AA69" t="s">
        <v>19</v>
      </c>
      <c r="AB69" t="s">
        <v>355</v>
      </c>
      <c r="AC69">
        <f t="shared" si="4"/>
        <v>6</v>
      </c>
      <c r="AE69" t="str">
        <f t="shared" si="5"/>
        <v>Holistic Risk Assessment in Industrial Control Systems: Combining Multiple Bayesian Networks with Multi-Criteria Decision Making</v>
      </c>
    </row>
    <row r="70" spans="1:31">
      <c r="A70" t="s">
        <v>900</v>
      </c>
      <c r="B70" t="s">
        <v>901</v>
      </c>
      <c r="C70" t="s">
        <v>902</v>
      </c>
      <c r="D70" t="s">
        <v>903</v>
      </c>
      <c r="E70" s="8">
        <v>45943</v>
      </c>
      <c r="F70">
        <v>2025</v>
      </c>
      <c r="G70" t="s">
        <v>51</v>
      </c>
      <c r="I70" t="s">
        <v>904</v>
      </c>
      <c r="J70" t="s">
        <v>905</v>
      </c>
      <c r="K70" t="s">
        <v>906</v>
      </c>
      <c r="L70" t="s">
        <v>51</v>
      </c>
      <c r="M70" t="s">
        <v>907</v>
      </c>
      <c r="N70" t="s">
        <v>908</v>
      </c>
      <c r="O70" t="s">
        <v>51</v>
      </c>
      <c r="P70" t="s">
        <v>909</v>
      </c>
      <c r="Q70" t="s">
        <v>910</v>
      </c>
      <c r="R70" t="s">
        <v>911</v>
      </c>
      <c r="S70" t="s">
        <v>51</v>
      </c>
      <c r="U70" t="s">
        <v>51</v>
      </c>
      <c r="V70">
        <v>18</v>
      </c>
      <c r="W70" t="s">
        <v>19</v>
      </c>
      <c r="X70" s="8">
        <v>45943</v>
      </c>
      <c r="Y70" t="s">
        <v>912</v>
      </c>
      <c r="Z70" t="s">
        <v>912</v>
      </c>
      <c r="AA70" t="s">
        <v>19</v>
      </c>
      <c r="AB70" t="s">
        <v>355</v>
      </c>
      <c r="AC70">
        <f t="shared" si="4"/>
        <v>6</v>
      </c>
      <c r="AE70" t="str">
        <f t="shared" si="5"/>
        <v>Adversarial Generation of Modbus TCP Packets Using WGANs for ICS Security Testing</v>
      </c>
    </row>
    <row r="71" spans="1:31">
      <c r="A71" t="s">
        <v>1750</v>
      </c>
      <c r="B71" t="s">
        <v>1751</v>
      </c>
      <c r="C71" t="s">
        <v>1752</v>
      </c>
      <c r="D71" t="s">
        <v>1753</v>
      </c>
      <c r="E71" s="8">
        <v>45376</v>
      </c>
      <c r="F71">
        <v>2023</v>
      </c>
      <c r="G71" t="s">
        <v>51</v>
      </c>
      <c r="I71" t="s">
        <v>300</v>
      </c>
      <c r="J71" t="s">
        <v>145</v>
      </c>
      <c r="K71" t="s">
        <v>1754</v>
      </c>
      <c r="L71" t="s">
        <v>1755</v>
      </c>
      <c r="M71" t="s">
        <v>1756</v>
      </c>
      <c r="N71" t="s">
        <v>1757</v>
      </c>
      <c r="O71" t="s">
        <v>51</v>
      </c>
      <c r="P71" t="s">
        <v>1758</v>
      </c>
      <c r="Q71" t="s">
        <v>1759</v>
      </c>
      <c r="R71" t="s">
        <v>1760</v>
      </c>
      <c r="S71" t="s">
        <v>51</v>
      </c>
      <c r="U71" t="s">
        <v>51</v>
      </c>
      <c r="V71">
        <v>26</v>
      </c>
      <c r="W71" t="s">
        <v>19</v>
      </c>
      <c r="X71" s="8">
        <v>45376</v>
      </c>
      <c r="Y71" t="s">
        <v>1761</v>
      </c>
      <c r="Z71" t="s">
        <v>1761</v>
      </c>
      <c r="AA71" t="s">
        <v>19</v>
      </c>
      <c r="AB71" t="s">
        <v>355</v>
      </c>
      <c r="AC71">
        <f t="shared" si="4"/>
        <v>6</v>
      </c>
      <c r="AE71" t="str">
        <f t="shared" si="5"/>
        <v>ML-Augmented Network Packet Broker based Anomaly Detection at IIoT-Edge Egress Port</v>
      </c>
    </row>
    <row r="72" spans="1:31">
      <c r="A72" t="s">
        <v>986</v>
      </c>
      <c r="B72" t="s">
        <v>987</v>
      </c>
      <c r="C72" t="s">
        <v>988</v>
      </c>
      <c r="D72" t="s">
        <v>134</v>
      </c>
      <c r="E72" s="8">
        <v>45828</v>
      </c>
      <c r="F72">
        <v>2025</v>
      </c>
      <c r="G72" t="s">
        <v>135</v>
      </c>
      <c r="H72">
        <v>13</v>
      </c>
      <c r="I72" t="s">
        <v>1762</v>
      </c>
      <c r="J72" t="s">
        <v>1763</v>
      </c>
      <c r="K72" t="s">
        <v>989</v>
      </c>
      <c r="L72" t="s">
        <v>425</v>
      </c>
      <c r="M72" t="s">
        <v>51</v>
      </c>
      <c r="N72" t="s">
        <v>990</v>
      </c>
      <c r="O72" t="s">
        <v>991</v>
      </c>
      <c r="P72" t="s">
        <v>992</v>
      </c>
      <c r="Q72" t="s">
        <v>993</v>
      </c>
      <c r="R72" t="s">
        <v>994</v>
      </c>
      <c r="S72" t="s">
        <v>51</v>
      </c>
      <c r="U72" t="s">
        <v>51</v>
      </c>
      <c r="V72">
        <v>23</v>
      </c>
      <c r="W72" t="s">
        <v>19</v>
      </c>
      <c r="X72" s="8">
        <v>45740</v>
      </c>
      <c r="Y72" t="s">
        <v>995</v>
      </c>
      <c r="Z72" t="s">
        <v>51</v>
      </c>
      <c r="AA72" t="s">
        <v>19</v>
      </c>
      <c r="AB72" t="s">
        <v>413</v>
      </c>
      <c r="AC72">
        <f t="shared" si="4"/>
        <v>13</v>
      </c>
      <c r="AE72" t="str">
        <f t="shared" si="5"/>
        <v>Timeliness of CSMA/CA-Based Wireless Networks With HARQ in the FBL Regime: Explicit Age Characterizations and Resource Allocation</v>
      </c>
    </row>
    <row r="73" spans="1:31">
      <c r="A73" t="s">
        <v>960</v>
      </c>
      <c r="B73" t="s">
        <v>961</v>
      </c>
      <c r="C73" t="s">
        <v>962</v>
      </c>
      <c r="D73" t="s">
        <v>303</v>
      </c>
      <c r="E73" s="8">
        <v>45497</v>
      </c>
      <c r="F73">
        <v>2024</v>
      </c>
      <c r="G73" t="s">
        <v>135</v>
      </c>
      <c r="I73" t="s">
        <v>1764</v>
      </c>
      <c r="J73" t="s">
        <v>1765</v>
      </c>
      <c r="K73" t="s">
        <v>963</v>
      </c>
      <c r="L73" t="s">
        <v>459</v>
      </c>
      <c r="M73" t="s">
        <v>51</v>
      </c>
      <c r="N73" t="s">
        <v>964</v>
      </c>
      <c r="O73" t="s">
        <v>965</v>
      </c>
      <c r="P73" t="s">
        <v>966</v>
      </c>
      <c r="Q73" t="s">
        <v>967</v>
      </c>
      <c r="R73" t="s">
        <v>968</v>
      </c>
      <c r="S73" t="s">
        <v>51</v>
      </c>
      <c r="T73">
        <v>6</v>
      </c>
      <c r="U73" t="s">
        <v>51</v>
      </c>
      <c r="V73">
        <v>53</v>
      </c>
      <c r="W73" t="s">
        <v>969</v>
      </c>
      <c r="X73" s="8">
        <v>45491</v>
      </c>
      <c r="Y73" t="s">
        <v>970</v>
      </c>
      <c r="Z73" t="s">
        <v>51</v>
      </c>
      <c r="AA73" t="s">
        <v>19</v>
      </c>
      <c r="AB73" t="s">
        <v>413</v>
      </c>
      <c r="AC73">
        <f t="shared" si="4"/>
        <v>14</v>
      </c>
      <c r="AE73" t="str">
        <f t="shared" si="5"/>
        <v>Performance Evaluation of Asynchronous Pulse Code Multiple Access in Massive IoT Networks</v>
      </c>
    </row>
    <row r="74" spans="1:31">
      <c r="A74" t="s">
        <v>946</v>
      </c>
      <c r="B74" t="s">
        <v>947</v>
      </c>
      <c r="C74" t="s">
        <v>948</v>
      </c>
      <c r="D74" t="s">
        <v>949</v>
      </c>
      <c r="E74" s="8">
        <v>42681</v>
      </c>
      <c r="F74">
        <v>2016</v>
      </c>
      <c r="G74" t="s">
        <v>51</v>
      </c>
      <c r="I74" t="s">
        <v>300</v>
      </c>
      <c r="J74" t="s">
        <v>286</v>
      </c>
      <c r="K74" t="s">
        <v>950</v>
      </c>
      <c r="L74" t="s">
        <v>51</v>
      </c>
      <c r="M74" t="s">
        <v>951</v>
      </c>
      <c r="N74" t="s">
        <v>952</v>
      </c>
      <c r="O74" t="s">
        <v>51</v>
      </c>
      <c r="P74" t="s">
        <v>953</v>
      </c>
      <c r="Q74" t="s">
        <v>51</v>
      </c>
      <c r="R74" t="s">
        <v>954</v>
      </c>
      <c r="S74" t="s">
        <v>51</v>
      </c>
      <c r="T74">
        <v>8</v>
      </c>
      <c r="U74" t="s">
        <v>51</v>
      </c>
      <c r="V74">
        <v>12</v>
      </c>
      <c r="W74" t="s">
        <v>19</v>
      </c>
      <c r="X74" s="8">
        <v>42681</v>
      </c>
      <c r="Y74" t="s">
        <v>955</v>
      </c>
      <c r="Z74" t="s">
        <v>955</v>
      </c>
      <c r="AA74" t="s">
        <v>19</v>
      </c>
      <c r="AB74" t="s">
        <v>355</v>
      </c>
      <c r="AC74">
        <f t="shared" si="4"/>
        <v>8</v>
      </c>
      <c r="AE74" t="str">
        <f t="shared" si="5"/>
        <v>Performance impact of commercial industrial firewalls on networked control systems</v>
      </c>
    </row>
    <row r="75" spans="1:31">
      <c r="A75" t="s">
        <v>307</v>
      </c>
      <c r="B75" t="s">
        <v>880</v>
      </c>
      <c r="C75" t="s">
        <v>881</v>
      </c>
      <c r="D75" t="s">
        <v>127</v>
      </c>
      <c r="E75" s="8">
        <v>43224</v>
      </c>
      <c r="F75">
        <v>2018</v>
      </c>
      <c r="G75" t="s">
        <v>308</v>
      </c>
      <c r="H75">
        <v>5</v>
      </c>
      <c r="I75" t="s">
        <v>882</v>
      </c>
      <c r="J75" t="s">
        <v>883</v>
      </c>
      <c r="K75" t="s">
        <v>884</v>
      </c>
      <c r="L75" t="s">
        <v>426</v>
      </c>
      <c r="M75" t="s">
        <v>51</v>
      </c>
      <c r="N75" t="s">
        <v>309</v>
      </c>
      <c r="O75" t="s">
        <v>51</v>
      </c>
      <c r="P75" t="s">
        <v>885</v>
      </c>
      <c r="Q75" t="s">
        <v>886</v>
      </c>
      <c r="R75" t="s">
        <v>887</v>
      </c>
      <c r="S75" t="s">
        <v>51</v>
      </c>
      <c r="T75">
        <v>39</v>
      </c>
      <c r="U75" t="s">
        <v>51</v>
      </c>
      <c r="V75">
        <v>22</v>
      </c>
      <c r="W75" t="s">
        <v>19</v>
      </c>
      <c r="X75" s="8">
        <v>43137</v>
      </c>
      <c r="Y75" t="s">
        <v>888</v>
      </c>
      <c r="Z75" t="s">
        <v>51</v>
      </c>
      <c r="AA75" t="s">
        <v>19</v>
      </c>
      <c r="AB75" t="s">
        <v>413</v>
      </c>
      <c r="AC75">
        <f t="shared" si="4"/>
        <v>12</v>
      </c>
      <c r="AE75" t="str">
        <f t="shared" si="5"/>
        <v>Performance Evaluation and Modeling of an Industrial Application-Layer Firewall</v>
      </c>
    </row>
    <row r="76" spans="1:31">
      <c r="A76" t="s">
        <v>1766</v>
      </c>
      <c r="B76" t="s">
        <v>1767</v>
      </c>
      <c r="C76" t="s">
        <v>1768</v>
      </c>
      <c r="D76" t="s">
        <v>1769</v>
      </c>
      <c r="E76" s="8">
        <v>45768</v>
      </c>
      <c r="F76">
        <v>2024</v>
      </c>
      <c r="G76" t="s">
        <v>51</v>
      </c>
      <c r="I76" t="s">
        <v>300</v>
      </c>
      <c r="J76" t="s">
        <v>145</v>
      </c>
      <c r="K76" t="s">
        <v>1770</v>
      </c>
      <c r="L76" t="s">
        <v>1771</v>
      </c>
      <c r="M76" t="s">
        <v>1772</v>
      </c>
      <c r="N76" t="s">
        <v>1773</v>
      </c>
      <c r="O76" t="s">
        <v>51</v>
      </c>
      <c r="P76" t="s">
        <v>1774</v>
      </c>
      <c r="Q76" t="s">
        <v>1775</v>
      </c>
      <c r="R76" t="s">
        <v>1776</v>
      </c>
      <c r="S76" t="s">
        <v>51</v>
      </c>
      <c r="U76" t="s">
        <v>51</v>
      </c>
      <c r="V76">
        <v>14</v>
      </c>
      <c r="W76" t="s">
        <v>19</v>
      </c>
      <c r="X76" s="8">
        <v>45768</v>
      </c>
      <c r="Y76" t="s">
        <v>1777</v>
      </c>
      <c r="Z76" t="s">
        <v>1777</v>
      </c>
      <c r="AA76" t="s">
        <v>19</v>
      </c>
      <c r="AB76" t="s">
        <v>355</v>
      </c>
      <c r="AC76">
        <f t="shared" si="4"/>
        <v>6</v>
      </c>
      <c r="AE76" t="str">
        <f t="shared" si="5"/>
        <v>An Investigative Evaluation of Open Source Intrusion Detection Systems for Operational Technology Networks Using MITRE ICS Attack Simulation on a Thermal Power Plant Test Bed</v>
      </c>
    </row>
    <row r="77" spans="1:31">
      <c r="A77" t="s">
        <v>1778</v>
      </c>
      <c r="B77" t="s">
        <v>1779</v>
      </c>
      <c r="C77" t="s">
        <v>1780</v>
      </c>
      <c r="D77" t="s">
        <v>1781</v>
      </c>
      <c r="E77" s="8">
        <v>43354</v>
      </c>
      <c r="F77">
        <v>2018</v>
      </c>
      <c r="G77" t="s">
        <v>51</v>
      </c>
      <c r="I77" t="s">
        <v>1782</v>
      </c>
      <c r="J77" t="s">
        <v>1783</v>
      </c>
      <c r="K77" t="s">
        <v>1784</v>
      </c>
      <c r="L77" t="s">
        <v>51</v>
      </c>
      <c r="M77" t="s">
        <v>1785</v>
      </c>
      <c r="N77" t="s">
        <v>1786</v>
      </c>
      <c r="O77" t="s">
        <v>51</v>
      </c>
      <c r="P77" t="s">
        <v>1787</v>
      </c>
      <c r="Q77" t="s">
        <v>1788</v>
      </c>
      <c r="R77" t="s">
        <v>1789</v>
      </c>
      <c r="S77" t="s">
        <v>51</v>
      </c>
      <c r="T77">
        <v>11</v>
      </c>
      <c r="U77" t="s">
        <v>51</v>
      </c>
      <c r="V77">
        <v>8</v>
      </c>
      <c r="W77" t="s">
        <v>19</v>
      </c>
      <c r="X77" s="8">
        <v>43354</v>
      </c>
      <c r="Y77" t="s">
        <v>1790</v>
      </c>
      <c r="Z77" t="s">
        <v>1790</v>
      </c>
      <c r="AA77" t="s">
        <v>19</v>
      </c>
      <c r="AB77" t="s">
        <v>355</v>
      </c>
      <c r="AC77">
        <f t="shared" si="4"/>
        <v>5</v>
      </c>
      <c r="AE77" t="str">
        <f t="shared" si="5"/>
        <v>Future of IoTSP – IT and OT Integration</v>
      </c>
    </row>
    <row r="78" spans="1:31">
      <c r="A78" t="s">
        <v>821</v>
      </c>
      <c r="B78" t="s">
        <v>822</v>
      </c>
      <c r="C78" t="s">
        <v>823</v>
      </c>
      <c r="D78" t="s">
        <v>824</v>
      </c>
      <c r="E78" s="8">
        <v>45470</v>
      </c>
      <c r="F78">
        <v>2023</v>
      </c>
      <c r="G78" t="s">
        <v>51</v>
      </c>
      <c r="I78" t="s">
        <v>300</v>
      </c>
      <c r="J78" t="s">
        <v>145</v>
      </c>
      <c r="K78" t="s">
        <v>825</v>
      </c>
      <c r="L78" t="s">
        <v>826</v>
      </c>
      <c r="M78" t="s">
        <v>827</v>
      </c>
      <c r="N78" t="s">
        <v>828</v>
      </c>
      <c r="O78" t="s">
        <v>51</v>
      </c>
      <c r="P78" t="s">
        <v>829</v>
      </c>
      <c r="Q78" t="s">
        <v>830</v>
      </c>
      <c r="R78" t="s">
        <v>831</v>
      </c>
      <c r="S78" t="s">
        <v>51</v>
      </c>
      <c r="T78">
        <v>8</v>
      </c>
      <c r="U78" t="s">
        <v>51</v>
      </c>
      <c r="V78">
        <v>21</v>
      </c>
      <c r="W78" t="s">
        <v>19</v>
      </c>
      <c r="X78" s="8">
        <v>45470</v>
      </c>
      <c r="Y78" t="s">
        <v>832</v>
      </c>
      <c r="Z78" t="s">
        <v>832</v>
      </c>
      <c r="AA78" t="s">
        <v>19</v>
      </c>
      <c r="AB78" t="s">
        <v>355</v>
      </c>
      <c r="AC78">
        <f t="shared" si="4"/>
        <v>6</v>
      </c>
      <c r="AE78" t="str">
        <f t="shared" si="5"/>
        <v>An Adaptive Intrusion Detection System for IoT Networks Using Deep Learning</v>
      </c>
    </row>
    <row r="79" spans="1:31">
      <c r="A79" t="s">
        <v>110</v>
      </c>
      <c r="B79" t="s">
        <v>1791</v>
      </c>
      <c r="C79" t="s">
        <v>1792</v>
      </c>
      <c r="D79" t="s">
        <v>111</v>
      </c>
      <c r="E79" s="8"/>
      <c r="F79">
        <v>2025</v>
      </c>
      <c r="G79" t="s">
        <v>1793</v>
      </c>
      <c r="H79">
        <v>99</v>
      </c>
      <c r="I79" t="s">
        <v>300</v>
      </c>
      <c r="J79" t="s">
        <v>221</v>
      </c>
      <c r="K79" t="s">
        <v>1794</v>
      </c>
      <c r="L79" t="s">
        <v>1795</v>
      </c>
      <c r="M79" t="s">
        <v>51</v>
      </c>
      <c r="N79" t="s">
        <v>112</v>
      </c>
      <c r="O79" t="s">
        <v>51</v>
      </c>
      <c r="P79" t="s">
        <v>1796</v>
      </c>
      <c r="Q79" t="s">
        <v>1797</v>
      </c>
      <c r="R79" t="s">
        <v>1798</v>
      </c>
      <c r="S79" t="s">
        <v>51</v>
      </c>
      <c r="U79" t="s">
        <v>51</v>
      </c>
      <c r="W79" t="s">
        <v>19</v>
      </c>
      <c r="X79" s="8">
        <v>46006</v>
      </c>
      <c r="Y79" t="s">
        <v>51</v>
      </c>
      <c r="Z79" t="s">
        <v>51</v>
      </c>
      <c r="AA79" t="s">
        <v>19</v>
      </c>
      <c r="AB79" t="s">
        <v>1799</v>
      </c>
      <c r="AC79">
        <f t="shared" si="4"/>
        <v>13</v>
      </c>
      <c r="AE79" t="str">
        <f t="shared" si="5"/>
        <v>Unleashing the Potential of Industrial IoT and Industry 5.0</v>
      </c>
    </row>
    <row r="80" spans="1:31">
      <c r="A80" t="s">
        <v>1800</v>
      </c>
      <c r="B80" t="s">
        <v>1801</v>
      </c>
      <c r="C80" t="s">
        <v>1802</v>
      </c>
      <c r="D80" t="s">
        <v>1803</v>
      </c>
      <c r="E80" s="8">
        <v>45352</v>
      </c>
      <c r="F80">
        <v>2023</v>
      </c>
      <c r="G80" t="s">
        <v>51</v>
      </c>
      <c r="I80" t="s">
        <v>300</v>
      </c>
      <c r="J80" t="s">
        <v>145</v>
      </c>
      <c r="K80" t="s">
        <v>1804</v>
      </c>
      <c r="L80" t="s">
        <v>51</v>
      </c>
      <c r="M80" t="s">
        <v>1805</v>
      </c>
      <c r="N80" t="s">
        <v>1806</v>
      </c>
      <c r="O80" t="s">
        <v>51</v>
      </c>
      <c r="P80" t="s">
        <v>1807</v>
      </c>
      <c r="Q80" t="s">
        <v>1808</v>
      </c>
      <c r="R80" t="s">
        <v>1809</v>
      </c>
      <c r="S80" t="s">
        <v>51</v>
      </c>
      <c r="T80">
        <v>1</v>
      </c>
      <c r="U80" t="s">
        <v>51</v>
      </c>
      <c r="V80">
        <v>19</v>
      </c>
      <c r="W80" t="s">
        <v>19</v>
      </c>
      <c r="X80" s="8">
        <v>45352</v>
      </c>
      <c r="Y80" t="s">
        <v>1810</v>
      </c>
      <c r="Z80" t="s">
        <v>1810</v>
      </c>
      <c r="AA80" t="s">
        <v>19</v>
      </c>
      <c r="AB80" t="s">
        <v>355</v>
      </c>
      <c r="AC80">
        <f t="shared" si="4"/>
        <v>6</v>
      </c>
      <c r="AE80" t="str">
        <f t="shared" si="5"/>
        <v>SenseFuzz: Black-box Fuzzing of ICS Protocols via Runtime Statistics Sensing</v>
      </c>
    </row>
    <row r="81" spans="1:31">
      <c r="A81" t="s">
        <v>1013</v>
      </c>
      <c r="B81" t="s">
        <v>1014</v>
      </c>
      <c r="C81" t="s">
        <v>1015</v>
      </c>
      <c r="D81" t="s">
        <v>1016</v>
      </c>
      <c r="E81" s="8">
        <v>45751</v>
      </c>
      <c r="F81">
        <v>2025</v>
      </c>
      <c r="G81" t="s">
        <v>227</v>
      </c>
      <c r="H81">
        <v>5</v>
      </c>
      <c r="I81" t="s">
        <v>1811</v>
      </c>
      <c r="J81" t="s">
        <v>1812</v>
      </c>
      <c r="K81" t="s">
        <v>1017</v>
      </c>
      <c r="L81" t="s">
        <v>1018</v>
      </c>
      <c r="M81" t="s">
        <v>51</v>
      </c>
      <c r="N81" t="s">
        <v>1019</v>
      </c>
      <c r="O81" t="s">
        <v>51</v>
      </c>
      <c r="P81" t="s">
        <v>1020</v>
      </c>
      <c r="Q81" t="s">
        <v>1021</v>
      </c>
      <c r="R81" t="s">
        <v>1022</v>
      </c>
      <c r="S81" t="s">
        <v>51</v>
      </c>
      <c r="T81">
        <v>3</v>
      </c>
      <c r="U81" t="s">
        <v>51</v>
      </c>
      <c r="V81">
        <v>41</v>
      </c>
      <c r="W81" t="s">
        <v>19</v>
      </c>
      <c r="X81" s="8">
        <v>45637</v>
      </c>
      <c r="Y81" t="s">
        <v>1023</v>
      </c>
      <c r="Z81" t="s">
        <v>51</v>
      </c>
      <c r="AA81" t="s">
        <v>19</v>
      </c>
      <c r="AB81" t="s">
        <v>413</v>
      </c>
      <c r="AC81">
        <f t="shared" si="4"/>
        <v>17</v>
      </c>
      <c r="AE81" t="str">
        <f t="shared" si="5"/>
        <v>PIM-LLN: Protocol Independent Multicast for Low-Power and Lossy Networks</v>
      </c>
    </row>
    <row r="82" spans="1:31">
      <c r="A82" t="s">
        <v>1123</v>
      </c>
      <c r="B82" t="s">
        <v>1124</v>
      </c>
      <c r="C82" t="s">
        <v>1125</v>
      </c>
      <c r="D82" t="s">
        <v>1126</v>
      </c>
      <c r="E82" s="8">
        <v>45099</v>
      </c>
      <c r="F82">
        <v>2022</v>
      </c>
      <c r="G82" t="s">
        <v>51</v>
      </c>
      <c r="I82" t="s">
        <v>300</v>
      </c>
      <c r="J82" t="s">
        <v>145</v>
      </c>
      <c r="K82" t="s">
        <v>1127</v>
      </c>
      <c r="L82" t="s">
        <v>51</v>
      </c>
      <c r="M82" t="s">
        <v>1128</v>
      </c>
      <c r="N82" t="s">
        <v>1129</v>
      </c>
      <c r="O82" t="s">
        <v>1130</v>
      </c>
      <c r="P82" t="s">
        <v>1131</v>
      </c>
      <c r="Q82" t="s">
        <v>1132</v>
      </c>
      <c r="R82" t="s">
        <v>1133</v>
      </c>
      <c r="S82" t="s">
        <v>51</v>
      </c>
      <c r="T82">
        <v>2</v>
      </c>
      <c r="U82" t="s">
        <v>51</v>
      </c>
      <c r="V82">
        <v>22</v>
      </c>
      <c r="W82" t="s">
        <v>19</v>
      </c>
      <c r="X82" s="8">
        <v>45099</v>
      </c>
      <c r="Y82" t="s">
        <v>1134</v>
      </c>
      <c r="Z82" t="s">
        <v>1134</v>
      </c>
      <c r="AA82" t="s">
        <v>19</v>
      </c>
      <c r="AB82" t="s">
        <v>355</v>
      </c>
      <c r="AC82">
        <f t="shared" si="4"/>
        <v>6</v>
      </c>
      <c r="AE82" t="str">
        <f t="shared" si="5"/>
        <v>Optimizing Freshness in IoT Scans</v>
      </c>
    </row>
    <row r="83" spans="1:31">
      <c r="A83" t="s">
        <v>1813</v>
      </c>
      <c r="B83" t="s">
        <v>1814</v>
      </c>
      <c r="C83" t="s">
        <v>1815</v>
      </c>
      <c r="D83" t="s">
        <v>1085</v>
      </c>
      <c r="E83" s="8">
        <v>46035</v>
      </c>
      <c r="F83">
        <v>2025</v>
      </c>
      <c r="G83" t="s">
        <v>51</v>
      </c>
      <c r="I83" t="s">
        <v>300</v>
      </c>
      <c r="J83" t="s">
        <v>145</v>
      </c>
      <c r="K83" t="s">
        <v>1816</v>
      </c>
      <c r="L83" t="s">
        <v>1086</v>
      </c>
      <c r="M83" t="s">
        <v>1087</v>
      </c>
      <c r="N83" t="s">
        <v>1817</v>
      </c>
      <c r="O83" t="s">
        <v>51</v>
      </c>
      <c r="P83" t="s">
        <v>1818</v>
      </c>
      <c r="Q83" t="s">
        <v>1819</v>
      </c>
      <c r="R83" t="s">
        <v>1820</v>
      </c>
      <c r="S83" t="s">
        <v>51</v>
      </c>
      <c r="U83" t="s">
        <v>51</v>
      </c>
      <c r="V83">
        <v>20</v>
      </c>
      <c r="W83" t="s">
        <v>19</v>
      </c>
      <c r="X83" s="8">
        <v>46035</v>
      </c>
      <c r="Y83" t="s">
        <v>1088</v>
      </c>
      <c r="Z83" t="s">
        <v>1088</v>
      </c>
      <c r="AA83" t="s">
        <v>19</v>
      </c>
      <c r="AB83" t="s">
        <v>355</v>
      </c>
      <c r="AC83">
        <f t="shared" si="4"/>
        <v>6</v>
      </c>
      <c r="AE83" t="str">
        <f t="shared" si="5"/>
        <v>PQ-CAN: A Framework for Simulating Post-Quantum Cryptography in Embedded Systems</v>
      </c>
    </row>
    <row r="84" spans="1:31">
      <c r="A84" t="s">
        <v>1055</v>
      </c>
      <c r="B84" t="s">
        <v>1056</v>
      </c>
      <c r="C84" t="s">
        <v>1057</v>
      </c>
      <c r="D84" t="s">
        <v>303</v>
      </c>
      <c r="E84" s="8">
        <v>44076</v>
      </c>
      <c r="F84">
        <v>2020</v>
      </c>
      <c r="G84" t="s">
        <v>286</v>
      </c>
      <c r="I84" t="s">
        <v>1821</v>
      </c>
      <c r="J84" t="s">
        <v>1822</v>
      </c>
      <c r="K84" t="s">
        <v>1058</v>
      </c>
      <c r="L84" t="s">
        <v>459</v>
      </c>
      <c r="M84" t="s">
        <v>51</v>
      </c>
      <c r="N84" t="s">
        <v>1059</v>
      </c>
      <c r="O84" t="s">
        <v>1060</v>
      </c>
      <c r="P84" t="s">
        <v>1061</v>
      </c>
      <c r="Q84" t="s">
        <v>1062</v>
      </c>
      <c r="R84" t="s">
        <v>1063</v>
      </c>
      <c r="S84" t="s">
        <v>51</v>
      </c>
      <c r="T84">
        <v>15</v>
      </c>
      <c r="U84" t="s">
        <v>51</v>
      </c>
      <c r="V84">
        <v>44</v>
      </c>
      <c r="W84" t="s">
        <v>460</v>
      </c>
      <c r="X84" s="8">
        <v>44067</v>
      </c>
      <c r="Y84" t="s">
        <v>461</v>
      </c>
      <c r="Z84" t="s">
        <v>51</v>
      </c>
      <c r="AA84" t="s">
        <v>19</v>
      </c>
      <c r="AB84" t="s">
        <v>413</v>
      </c>
      <c r="AC84">
        <f t="shared" si="4"/>
        <v>20</v>
      </c>
      <c r="AE84" t="str">
        <f t="shared" si="5"/>
        <v>Experimenting With Digital Signatures Over a DNP3 Protocol in a Multitenant Cloud-Based SCADA Architecture</v>
      </c>
    </row>
    <row r="85" spans="1:31">
      <c r="A85" t="s">
        <v>1135</v>
      </c>
      <c r="B85" t="s">
        <v>1136</v>
      </c>
      <c r="C85" t="s">
        <v>1137</v>
      </c>
      <c r="D85" t="s">
        <v>303</v>
      </c>
      <c r="E85" s="8">
        <v>43829</v>
      </c>
      <c r="F85">
        <v>2019</v>
      </c>
      <c r="G85" t="s">
        <v>301</v>
      </c>
      <c r="I85" t="s">
        <v>1823</v>
      </c>
      <c r="J85" t="s">
        <v>1824</v>
      </c>
      <c r="K85" t="s">
        <v>1138</v>
      </c>
      <c r="L85" t="s">
        <v>459</v>
      </c>
      <c r="M85" t="s">
        <v>51</v>
      </c>
      <c r="N85" t="s">
        <v>1139</v>
      </c>
      <c r="O85" t="s">
        <v>1140</v>
      </c>
      <c r="P85" t="s">
        <v>1141</v>
      </c>
      <c r="Q85" t="s">
        <v>1142</v>
      </c>
      <c r="R85" t="s">
        <v>1143</v>
      </c>
      <c r="S85" t="s">
        <v>51</v>
      </c>
      <c r="T85">
        <v>33</v>
      </c>
      <c r="U85" t="s">
        <v>51</v>
      </c>
      <c r="V85">
        <v>39</v>
      </c>
      <c r="W85" t="s">
        <v>460</v>
      </c>
      <c r="X85" s="8">
        <v>43817</v>
      </c>
      <c r="Y85" t="s">
        <v>985</v>
      </c>
      <c r="Z85" t="s">
        <v>51</v>
      </c>
      <c r="AA85" t="s">
        <v>19</v>
      </c>
      <c r="AB85" t="s">
        <v>413</v>
      </c>
      <c r="AC85">
        <f t="shared" si="4"/>
        <v>10</v>
      </c>
      <c r="AE85" t="str">
        <f t="shared" si="5"/>
        <v>Analysis of Machine Learning Methods in EtherCAT-Based Anomaly Detection</v>
      </c>
    </row>
    <row r="86" spans="1:31">
      <c r="A86" t="s">
        <v>1024</v>
      </c>
      <c r="B86" t="s">
        <v>1025</v>
      </c>
      <c r="C86" t="s">
        <v>1026</v>
      </c>
      <c r="D86" t="s">
        <v>1027</v>
      </c>
      <c r="E86" s="8">
        <v>45608</v>
      </c>
      <c r="F86">
        <v>2024</v>
      </c>
      <c r="G86" t="s">
        <v>51</v>
      </c>
      <c r="I86" t="s">
        <v>300</v>
      </c>
      <c r="J86" t="s">
        <v>145</v>
      </c>
      <c r="K86" t="s">
        <v>1028</v>
      </c>
      <c r="L86" t="s">
        <v>605</v>
      </c>
      <c r="M86" t="s">
        <v>1029</v>
      </c>
      <c r="N86" t="s">
        <v>1030</v>
      </c>
      <c r="O86" t="s">
        <v>1031</v>
      </c>
      <c r="P86" t="s">
        <v>1032</v>
      </c>
      <c r="Q86" t="s">
        <v>1033</v>
      </c>
      <c r="R86" t="s">
        <v>1034</v>
      </c>
      <c r="S86" t="s">
        <v>51</v>
      </c>
      <c r="T86">
        <v>3</v>
      </c>
      <c r="U86" t="s">
        <v>51</v>
      </c>
      <c r="V86">
        <v>9</v>
      </c>
      <c r="W86" t="s">
        <v>19</v>
      </c>
      <c r="X86" s="8">
        <v>45608</v>
      </c>
      <c r="Y86" t="s">
        <v>1035</v>
      </c>
      <c r="Z86" t="s">
        <v>1035</v>
      </c>
      <c r="AA86" t="s">
        <v>19</v>
      </c>
      <c r="AB86" t="s">
        <v>355</v>
      </c>
      <c r="AC86">
        <f t="shared" si="4"/>
        <v>6</v>
      </c>
      <c r="AE86" t="str">
        <f t="shared" si="5"/>
        <v>Time Synchronization Extension for the IO-Link Industrial Communication Protocol</v>
      </c>
    </row>
    <row r="87" spans="1:31">
      <c r="A87" t="s">
        <v>1036</v>
      </c>
      <c r="B87" t="s">
        <v>1037</v>
      </c>
      <c r="C87" t="s">
        <v>1038</v>
      </c>
      <c r="D87" t="s">
        <v>743</v>
      </c>
      <c r="E87" s="8">
        <v>43286</v>
      </c>
      <c r="F87">
        <v>2018</v>
      </c>
      <c r="G87" t="s">
        <v>51</v>
      </c>
      <c r="I87" t="s">
        <v>300</v>
      </c>
      <c r="J87" t="s">
        <v>286</v>
      </c>
      <c r="K87" t="s">
        <v>1039</v>
      </c>
      <c r="L87" t="s">
        <v>51</v>
      </c>
      <c r="M87" t="s">
        <v>745</v>
      </c>
      <c r="N87" t="s">
        <v>1040</v>
      </c>
      <c r="O87" t="s">
        <v>51</v>
      </c>
      <c r="P87" t="s">
        <v>1041</v>
      </c>
      <c r="Q87" t="s">
        <v>1042</v>
      </c>
      <c r="R87" t="s">
        <v>1043</v>
      </c>
      <c r="S87" t="s">
        <v>51</v>
      </c>
      <c r="T87">
        <v>12</v>
      </c>
      <c r="U87" t="s">
        <v>51</v>
      </c>
      <c r="V87">
        <v>24</v>
      </c>
      <c r="W87" t="s">
        <v>19</v>
      </c>
      <c r="X87" s="8">
        <v>43286</v>
      </c>
      <c r="Y87" t="s">
        <v>750</v>
      </c>
      <c r="Z87" t="s">
        <v>750</v>
      </c>
      <c r="AA87" t="s">
        <v>19</v>
      </c>
      <c r="AB87" t="s">
        <v>355</v>
      </c>
      <c r="AC87">
        <f t="shared" si="4"/>
        <v>8</v>
      </c>
      <c r="AE87" t="str">
        <f t="shared" si="5"/>
        <v>Industrial data-collector by enabling OPC-UA standard for Industry 4.0</v>
      </c>
    </row>
    <row r="88" spans="1:31">
      <c r="A88" t="s">
        <v>1144</v>
      </c>
      <c r="B88" t="s">
        <v>1145</v>
      </c>
      <c r="C88" t="s">
        <v>1146</v>
      </c>
      <c r="D88" t="s">
        <v>1147</v>
      </c>
      <c r="E88" s="8">
        <v>43531</v>
      </c>
      <c r="F88">
        <v>2019</v>
      </c>
      <c r="G88" t="s">
        <v>1616</v>
      </c>
      <c r="H88">
        <v>7</v>
      </c>
      <c r="I88" t="s">
        <v>1825</v>
      </c>
      <c r="J88" t="s">
        <v>1826</v>
      </c>
      <c r="K88" t="s">
        <v>1148</v>
      </c>
      <c r="L88" t="s">
        <v>1149</v>
      </c>
      <c r="M88" t="s">
        <v>51</v>
      </c>
      <c r="N88" t="s">
        <v>1150</v>
      </c>
      <c r="O88" t="s">
        <v>1151</v>
      </c>
      <c r="P88" t="s">
        <v>1152</v>
      </c>
      <c r="Q88" t="s">
        <v>1153</v>
      </c>
      <c r="R88" t="s">
        <v>1154</v>
      </c>
      <c r="S88" t="s">
        <v>51</v>
      </c>
      <c r="T88">
        <v>38</v>
      </c>
      <c r="U88" t="s">
        <v>51</v>
      </c>
      <c r="V88">
        <v>54</v>
      </c>
      <c r="W88" t="s">
        <v>19</v>
      </c>
      <c r="X88" s="8">
        <v>43453</v>
      </c>
      <c r="Y88" t="s">
        <v>1155</v>
      </c>
      <c r="Z88" t="s">
        <v>51</v>
      </c>
      <c r="AA88" t="s">
        <v>19</v>
      </c>
      <c r="AB88" t="s">
        <v>413</v>
      </c>
      <c r="AC88">
        <f t="shared" si="4"/>
        <v>14</v>
      </c>
      <c r="AE88" t="str">
        <f t="shared" si="5"/>
        <v>Priority-Aware Wireless Fieldbus Protocol for Mixed-Criticality Industrial Wireless Sensor Networks</v>
      </c>
    </row>
    <row r="89" spans="1:31">
      <c r="A89" t="s">
        <v>1089</v>
      </c>
      <c r="B89" t="s">
        <v>1090</v>
      </c>
      <c r="C89" t="s">
        <v>1091</v>
      </c>
      <c r="D89" t="s">
        <v>1092</v>
      </c>
      <c r="E89" s="8">
        <v>45475</v>
      </c>
      <c r="F89">
        <v>2024</v>
      </c>
      <c r="G89" t="s">
        <v>51</v>
      </c>
      <c r="I89" t="s">
        <v>300</v>
      </c>
      <c r="J89" t="s">
        <v>53</v>
      </c>
      <c r="K89" t="s">
        <v>1093</v>
      </c>
      <c r="L89" t="s">
        <v>1094</v>
      </c>
      <c r="M89" t="s">
        <v>1095</v>
      </c>
      <c r="N89" t="s">
        <v>1096</v>
      </c>
      <c r="O89" t="s">
        <v>51</v>
      </c>
      <c r="P89" t="s">
        <v>1097</v>
      </c>
      <c r="Q89" t="s">
        <v>1098</v>
      </c>
      <c r="R89" t="s">
        <v>1099</v>
      </c>
      <c r="S89" t="s">
        <v>51</v>
      </c>
      <c r="T89">
        <v>5</v>
      </c>
      <c r="U89" t="s">
        <v>51</v>
      </c>
      <c r="V89">
        <v>30</v>
      </c>
      <c r="W89" t="s">
        <v>19</v>
      </c>
      <c r="X89" s="8">
        <v>45475</v>
      </c>
      <c r="Y89" t="s">
        <v>1100</v>
      </c>
      <c r="Z89" t="s">
        <v>1100</v>
      </c>
      <c r="AA89" t="s">
        <v>19</v>
      </c>
      <c r="AB89" t="s">
        <v>355</v>
      </c>
      <c r="AC89">
        <f t="shared" si="4"/>
        <v>5</v>
      </c>
      <c r="AE89" t="str">
        <f t="shared" si="5"/>
        <v>DigSiNet: Using Multiple Digital Twins to Provide Rhythmic Network Consistency</v>
      </c>
    </row>
    <row r="90" spans="1:31">
      <c r="A90" t="s">
        <v>1493</v>
      </c>
      <c r="B90" t="s">
        <v>1494</v>
      </c>
      <c r="C90" t="s">
        <v>1495</v>
      </c>
      <c r="D90" t="s">
        <v>1496</v>
      </c>
      <c r="E90" s="8">
        <v>46058</v>
      </c>
      <c r="F90">
        <v>2025</v>
      </c>
      <c r="G90" t="s">
        <v>51</v>
      </c>
      <c r="I90" t="s">
        <v>1497</v>
      </c>
      <c r="J90" t="s">
        <v>1498</v>
      </c>
      <c r="K90" t="s">
        <v>1499</v>
      </c>
      <c r="L90" t="s">
        <v>51</v>
      </c>
      <c r="M90" t="s">
        <v>1500</v>
      </c>
      <c r="N90" t="s">
        <v>1501</v>
      </c>
      <c r="O90" t="s">
        <v>1502</v>
      </c>
      <c r="P90" t="s">
        <v>1503</v>
      </c>
      <c r="Q90" t="s">
        <v>1504</v>
      </c>
      <c r="R90" t="s">
        <v>1505</v>
      </c>
      <c r="S90" t="s">
        <v>51</v>
      </c>
      <c r="U90" t="s">
        <v>51</v>
      </c>
      <c r="V90">
        <v>19</v>
      </c>
      <c r="W90" t="s">
        <v>19</v>
      </c>
      <c r="X90" s="8">
        <v>46058</v>
      </c>
      <c r="Y90" t="s">
        <v>1506</v>
      </c>
      <c r="Z90" t="s">
        <v>1506</v>
      </c>
      <c r="AA90" t="s">
        <v>19</v>
      </c>
      <c r="AB90" t="s">
        <v>355</v>
      </c>
      <c r="AC90">
        <f t="shared" si="4"/>
        <v>9</v>
      </c>
      <c r="AE90" t="str">
        <f t="shared" si="5"/>
        <v>Detection of Attacks on Modbus Industrial Communications Using the Communication Variable Memory Map Representation</v>
      </c>
    </row>
    <row r="91" spans="1:31">
      <c r="A91" t="s">
        <v>1827</v>
      </c>
      <c r="B91" t="s">
        <v>1828</v>
      </c>
      <c r="C91" t="s">
        <v>1829</v>
      </c>
      <c r="D91" t="s">
        <v>303</v>
      </c>
      <c r="E91" s="8">
        <v>44587</v>
      </c>
      <c r="F91">
        <v>2022</v>
      </c>
      <c r="G91" t="s">
        <v>1529</v>
      </c>
      <c r="I91" t="s">
        <v>1830</v>
      </c>
      <c r="J91" t="s">
        <v>1831</v>
      </c>
      <c r="K91" t="s">
        <v>1832</v>
      </c>
      <c r="L91" t="s">
        <v>459</v>
      </c>
      <c r="M91" t="s">
        <v>51</v>
      </c>
      <c r="N91" t="s">
        <v>1833</v>
      </c>
      <c r="O91" t="s">
        <v>1834</v>
      </c>
      <c r="P91" t="s">
        <v>1835</v>
      </c>
      <c r="Q91" t="s">
        <v>1836</v>
      </c>
      <c r="R91" t="s">
        <v>1837</v>
      </c>
      <c r="S91" t="s">
        <v>51</v>
      </c>
      <c r="T91">
        <v>21</v>
      </c>
      <c r="U91" t="s">
        <v>51</v>
      </c>
      <c r="V91">
        <v>33</v>
      </c>
      <c r="W91" t="s">
        <v>969</v>
      </c>
      <c r="X91" s="8">
        <v>44579</v>
      </c>
      <c r="Y91" t="s">
        <v>868</v>
      </c>
      <c r="Z91" t="s">
        <v>51</v>
      </c>
      <c r="AA91" t="s">
        <v>19</v>
      </c>
      <c r="AB91" t="s">
        <v>413</v>
      </c>
      <c r="AC91">
        <f t="shared" si="4"/>
        <v>10</v>
      </c>
      <c r="AE91" t="str">
        <f t="shared" si="5"/>
        <v>IEC 61850 Compatible OpenPLC for Cyber Attack Case Studies on Smart Substation Systems</v>
      </c>
    </row>
    <row r="92" spans="1:31">
      <c r="A92" t="s">
        <v>1074</v>
      </c>
      <c r="B92" t="s">
        <v>1075</v>
      </c>
      <c r="C92" t="s">
        <v>1076</v>
      </c>
      <c r="D92" t="s">
        <v>1077</v>
      </c>
      <c r="E92" s="8">
        <v>45678</v>
      </c>
      <c r="F92">
        <v>2024</v>
      </c>
      <c r="G92" t="s">
        <v>51</v>
      </c>
      <c r="I92" t="s">
        <v>300</v>
      </c>
      <c r="J92" t="s">
        <v>301</v>
      </c>
      <c r="K92" t="s">
        <v>1078</v>
      </c>
      <c r="L92" t="s">
        <v>51</v>
      </c>
      <c r="M92" t="s">
        <v>1079</v>
      </c>
      <c r="N92" t="s">
        <v>1080</v>
      </c>
      <c r="O92" t="s">
        <v>51</v>
      </c>
      <c r="P92" t="s">
        <v>1081</v>
      </c>
      <c r="Q92" t="s">
        <v>1082</v>
      </c>
      <c r="R92" t="s">
        <v>1083</v>
      </c>
      <c r="S92" t="s">
        <v>51</v>
      </c>
      <c r="U92" t="s">
        <v>51</v>
      </c>
      <c r="V92">
        <v>15</v>
      </c>
      <c r="W92" t="s">
        <v>19</v>
      </c>
      <c r="X92" s="8">
        <v>45678</v>
      </c>
      <c r="Y92" t="s">
        <v>1084</v>
      </c>
      <c r="Z92" t="s">
        <v>1084</v>
      </c>
      <c r="AA92" t="s">
        <v>19</v>
      </c>
      <c r="AB92" t="s">
        <v>355</v>
      </c>
      <c r="AC92">
        <f t="shared" si="4"/>
        <v>7</v>
      </c>
      <c r="AE92" t="str">
        <f t="shared" si="5"/>
        <v>A Logical Performance Evaluation Methodology based on Bandwidth Estimation Strategy to Minimize Communication Delay over Wireless Sensor Networks</v>
      </c>
    </row>
    <row r="93" spans="1:31">
      <c r="A93" t="s">
        <v>1113</v>
      </c>
      <c r="B93" t="s">
        <v>1114</v>
      </c>
      <c r="C93" t="s">
        <v>1115</v>
      </c>
      <c r="D93" t="s">
        <v>1116</v>
      </c>
      <c r="E93" s="8">
        <v>44893</v>
      </c>
      <c r="F93">
        <v>2022</v>
      </c>
      <c r="G93" t="s">
        <v>51</v>
      </c>
      <c r="I93" t="s">
        <v>1838</v>
      </c>
      <c r="J93" t="s">
        <v>1839</v>
      </c>
      <c r="K93" t="s">
        <v>1117</v>
      </c>
      <c r="L93" t="s">
        <v>820</v>
      </c>
      <c r="M93" t="s">
        <v>1118</v>
      </c>
      <c r="N93" t="s">
        <v>1119</v>
      </c>
      <c r="O93" t="s">
        <v>51</v>
      </c>
      <c r="P93" t="s">
        <v>1120</v>
      </c>
      <c r="Q93" t="s">
        <v>51</v>
      </c>
      <c r="R93" t="s">
        <v>1121</v>
      </c>
      <c r="S93" t="s">
        <v>51</v>
      </c>
      <c r="T93">
        <v>2</v>
      </c>
      <c r="U93" t="s">
        <v>51</v>
      </c>
      <c r="V93">
        <v>48</v>
      </c>
      <c r="W93" t="s">
        <v>51</v>
      </c>
      <c r="X93" s="8">
        <v>44893</v>
      </c>
      <c r="Y93" t="s">
        <v>1122</v>
      </c>
      <c r="Z93" t="s">
        <v>1122</v>
      </c>
      <c r="AA93" t="s">
        <v>19</v>
      </c>
      <c r="AB93" t="s">
        <v>355</v>
      </c>
      <c r="AC93">
        <f t="shared" si="4"/>
        <v>10</v>
      </c>
      <c r="AE93" t="str">
        <f t="shared" si="5"/>
        <v>Exploiting Control Device Vulnerabilities: Attacking Cyber-Physical Water System</v>
      </c>
    </row>
    <row r="94" spans="1:31">
      <c r="A94" t="s">
        <v>1840</v>
      </c>
      <c r="B94" t="s">
        <v>1841</v>
      </c>
      <c r="C94" t="s">
        <v>1842</v>
      </c>
      <c r="D94" t="s">
        <v>1843</v>
      </c>
      <c r="E94" s="8">
        <v>45481</v>
      </c>
      <c r="F94">
        <v>2024</v>
      </c>
      <c r="G94" t="s">
        <v>51</v>
      </c>
      <c r="I94" t="s">
        <v>300</v>
      </c>
      <c r="J94" t="s">
        <v>145</v>
      </c>
      <c r="K94" t="s">
        <v>1844</v>
      </c>
      <c r="L94" t="s">
        <v>51</v>
      </c>
      <c r="M94" t="s">
        <v>1845</v>
      </c>
      <c r="N94" t="s">
        <v>1846</v>
      </c>
      <c r="O94" t="s">
        <v>51</v>
      </c>
      <c r="P94" t="s">
        <v>1847</v>
      </c>
      <c r="Q94" t="s">
        <v>1848</v>
      </c>
      <c r="R94" t="s">
        <v>1849</v>
      </c>
      <c r="S94" t="s">
        <v>51</v>
      </c>
      <c r="T94">
        <v>1</v>
      </c>
      <c r="U94" t="s">
        <v>51</v>
      </c>
      <c r="V94">
        <v>24</v>
      </c>
      <c r="W94" t="s">
        <v>19</v>
      </c>
      <c r="X94" s="8">
        <v>45481</v>
      </c>
      <c r="Y94" t="s">
        <v>1850</v>
      </c>
      <c r="Z94" t="s">
        <v>1850</v>
      </c>
      <c r="AA94" t="s">
        <v>19</v>
      </c>
      <c r="AB94" t="s">
        <v>355</v>
      </c>
      <c r="AC94">
        <f t="shared" si="4"/>
        <v>6</v>
      </c>
      <c r="AE94" t="str">
        <f t="shared" si="5"/>
        <v>BIER-Based Multicast Routing for Low-Power and Lossy Networks</v>
      </c>
    </row>
    <row r="95" spans="1:31">
      <c r="A95" t="s">
        <v>1064</v>
      </c>
      <c r="B95" t="s">
        <v>1065</v>
      </c>
      <c r="C95" t="s">
        <v>1066</v>
      </c>
      <c r="D95" t="s">
        <v>1067</v>
      </c>
      <c r="E95" s="8">
        <v>42695</v>
      </c>
      <c r="F95">
        <v>2016</v>
      </c>
      <c r="G95" t="s">
        <v>51</v>
      </c>
      <c r="I95" t="s">
        <v>300</v>
      </c>
      <c r="J95" t="s">
        <v>145</v>
      </c>
      <c r="K95" t="s">
        <v>1068</v>
      </c>
      <c r="L95" t="s">
        <v>51</v>
      </c>
      <c r="M95" t="s">
        <v>1069</v>
      </c>
      <c r="N95" t="s">
        <v>1070</v>
      </c>
      <c r="O95" t="s">
        <v>51</v>
      </c>
      <c r="P95" t="s">
        <v>1071</v>
      </c>
      <c r="Q95" t="s">
        <v>51</v>
      </c>
      <c r="R95" t="s">
        <v>1072</v>
      </c>
      <c r="S95" t="s">
        <v>51</v>
      </c>
      <c r="T95">
        <v>12</v>
      </c>
      <c r="U95" t="s">
        <v>51</v>
      </c>
      <c r="V95">
        <v>19</v>
      </c>
      <c r="W95" t="s">
        <v>19</v>
      </c>
      <c r="X95" s="8">
        <v>42695</v>
      </c>
      <c r="Y95" t="s">
        <v>1073</v>
      </c>
      <c r="Z95" t="s">
        <v>1073</v>
      </c>
      <c r="AA95" t="s">
        <v>19</v>
      </c>
      <c r="AB95" t="s">
        <v>355</v>
      </c>
      <c r="AC95">
        <f t="shared" si="4"/>
        <v>6</v>
      </c>
      <c r="AE95" t="str">
        <f t="shared" si="5"/>
        <v>Stealthy cyber attacks and impact analysis on wide-area protection of smart grid</v>
      </c>
    </row>
    <row r="96" spans="1:31">
      <c r="A96" t="s">
        <v>1851</v>
      </c>
      <c r="B96" t="s">
        <v>1852</v>
      </c>
      <c r="C96" t="s">
        <v>1853</v>
      </c>
      <c r="D96" t="s">
        <v>1854</v>
      </c>
      <c r="E96" s="8">
        <v>45211</v>
      </c>
      <c r="F96">
        <v>2023</v>
      </c>
      <c r="G96" t="s">
        <v>51</v>
      </c>
      <c r="I96" t="s">
        <v>300</v>
      </c>
      <c r="J96" t="s">
        <v>286</v>
      </c>
      <c r="K96" t="s">
        <v>1855</v>
      </c>
      <c r="L96" t="s">
        <v>361</v>
      </c>
      <c r="M96" t="s">
        <v>1856</v>
      </c>
      <c r="N96" t="s">
        <v>1857</v>
      </c>
      <c r="O96" t="s">
        <v>51</v>
      </c>
      <c r="P96" t="s">
        <v>1858</v>
      </c>
      <c r="Q96" t="s">
        <v>1859</v>
      </c>
      <c r="R96" t="s">
        <v>1860</v>
      </c>
      <c r="S96" t="s">
        <v>51</v>
      </c>
      <c r="T96">
        <v>4</v>
      </c>
      <c r="U96" t="s">
        <v>51</v>
      </c>
      <c r="V96">
        <v>32</v>
      </c>
      <c r="W96" t="s">
        <v>19</v>
      </c>
      <c r="X96" s="8">
        <v>45211</v>
      </c>
      <c r="Y96" t="s">
        <v>1861</v>
      </c>
      <c r="Z96" t="s">
        <v>1861</v>
      </c>
      <c r="AA96" t="s">
        <v>19</v>
      </c>
      <c r="AB96" t="s">
        <v>355</v>
      </c>
      <c r="AC96">
        <f t="shared" si="4"/>
        <v>8</v>
      </c>
      <c r="AE96" t="str">
        <f t="shared" si="5"/>
        <v>Knowledge Representation of Asset Information and Performance in OT Environments</v>
      </c>
    </row>
    <row r="97" spans="1:31">
      <c r="A97" t="s">
        <v>1044</v>
      </c>
      <c r="B97" t="s">
        <v>1045</v>
      </c>
      <c r="C97" t="s">
        <v>1046</v>
      </c>
      <c r="D97" t="s">
        <v>1047</v>
      </c>
      <c r="E97" s="8">
        <v>45925</v>
      </c>
      <c r="F97">
        <v>2025</v>
      </c>
      <c r="G97" t="s">
        <v>51</v>
      </c>
      <c r="I97" t="s">
        <v>300</v>
      </c>
      <c r="J97" t="s">
        <v>145</v>
      </c>
      <c r="K97" t="s">
        <v>1048</v>
      </c>
      <c r="L97" t="s">
        <v>51</v>
      </c>
      <c r="M97" t="s">
        <v>1049</v>
      </c>
      <c r="N97" t="s">
        <v>1050</v>
      </c>
      <c r="O97" t="s">
        <v>51</v>
      </c>
      <c r="P97" t="s">
        <v>1051</v>
      </c>
      <c r="Q97" t="s">
        <v>1052</v>
      </c>
      <c r="R97" t="s">
        <v>1053</v>
      </c>
      <c r="S97" t="s">
        <v>51</v>
      </c>
      <c r="U97" t="s">
        <v>51</v>
      </c>
      <c r="V97">
        <v>13</v>
      </c>
      <c r="W97" t="s">
        <v>19</v>
      </c>
      <c r="X97" s="8">
        <v>45925</v>
      </c>
      <c r="Y97" t="s">
        <v>1054</v>
      </c>
      <c r="Z97" t="s">
        <v>1054</v>
      </c>
      <c r="AA97" t="s">
        <v>19</v>
      </c>
      <c r="AB97" t="s">
        <v>355</v>
      </c>
      <c r="AC97">
        <f t="shared" si="4"/>
        <v>6</v>
      </c>
      <c r="AE97" t="str">
        <f t="shared" si="5"/>
        <v>IoT Communication Framework with Ground Station Integration Using MQTT over TCP</v>
      </c>
    </row>
    <row r="98" spans="1:31">
      <c r="A98" t="s">
        <v>1862</v>
      </c>
      <c r="B98" t="s">
        <v>1863</v>
      </c>
      <c r="C98" t="s">
        <v>1864</v>
      </c>
      <c r="D98" t="s">
        <v>1865</v>
      </c>
      <c r="E98" s="8">
        <v>45125</v>
      </c>
      <c r="F98">
        <v>2023</v>
      </c>
      <c r="G98" t="s">
        <v>51</v>
      </c>
      <c r="I98" t="s">
        <v>1866</v>
      </c>
      <c r="J98" t="s">
        <v>1867</v>
      </c>
      <c r="K98" t="s">
        <v>1868</v>
      </c>
      <c r="L98" t="s">
        <v>51</v>
      </c>
      <c r="M98" t="s">
        <v>1869</v>
      </c>
      <c r="N98" t="s">
        <v>1870</v>
      </c>
      <c r="O98" t="s">
        <v>51</v>
      </c>
      <c r="P98" t="s">
        <v>1871</v>
      </c>
      <c r="Q98" t="s">
        <v>1872</v>
      </c>
      <c r="R98" t="s">
        <v>1873</v>
      </c>
      <c r="S98" t="s">
        <v>51</v>
      </c>
      <c r="T98">
        <v>1</v>
      </c>
      <c r="U98" t="s">
        <v>51</v>
      </c>
      <c r="V98">
        <v>24</v>
      </c>
      <c r="W98" t="s">
        <v>19</v>
      </c>
      <c r="X98" s="8">
        <v>45125</v>
      </c>
      <c r="Y98" t="s">
        <v>1874</v>
      </c>
      <c r="Z98" t="s">
        <v>1874</v>
      </c>
      <c r="AA98" t="s">
        <v>19</v>
      </c>
      <c r="AB98" t="s">
        <v>355</v>
      </c>
      <c r="AC98">
        <f t="shared" si="4"/>
        <v>6</v>
      </c>
      <c r="AE98" t="str">
        <f t="shared" si="5"/>
        <v>CRT-LoRa: An efficient and reliable MAC scheme for real-time industrial applications</v>
      </c>
    </row>
    <row r="99" spans="1:31">
      <c r="A99" t="s">
        <v>1101</v>
      </c>
      <c r="B99" t="s">
        <v>1102</v>
      </c>
      <c r="C99" t="s">
        <v>1103</v>
      </c>
      <c r="D99" t="s">
        <v>1104</v>
      </c>
      <c r="E99" s="8">
        <v>42989</v>
      </c>
      <c r="F99">
        <v>2017</v>
      </c>
      <c r="G99" t="s">
        <v>300</v>
      </c>
      <c r="I99" t="s">
        <v>1875</v>
      </c>
      <c r="J99" t="s">
        <v>1876</v>
      </c>
      <c r="K99" t="s">
        <v>1105</v>
      </c>
      <c r="L99" t="s">
        <v>1106</v>
      </c>
      <c r="M99" t="s">
        <v>1107</v>
      </c>
      <c r="N99" t="s">
        <v>1108</v>
      </c>
      <c r="O99" t="s">
        <v>51</v>
      </c>
      <c r="P99" t="s">
        <v>1109</v>
      </c>
      <c r="Q99" t="s">
        <v>1110</v>
      </c>
      <c r="R99" t="s">
        <v>1111</v>
      </c>
      <c r="S99" t="s">
        <v>51</v>
      </c>
      <c r="T99">
        <v>24</v>
      </c>
      <c r="U99" t="s">
        <v>51</v>
      </c>
      <c r="V99">
        <v>18</v>
      </c>
      <c r="W99" t="s">
        <v>19</v>
      </c>
      <c r="X99" s="8">
        <v>42989</v>
      </c>
      <c r="Y99" t="s">
        <v>1112</v>
      </c>
      <c r="Z99" t="s">
        <v>1112</v>
      </c>
      <c r="AA99" t="s">
        <v>19</v>
      </c>
      <c r="AB99" t="s">
        <v>355</v>
      </c>
      <c r="AC99">
        <f t="shared" si="4"/>
        <v>5</v>
      </c>
      <c r="AE99" t="str">
        <f t="shared" si="5"/>
        <v>DIIG: A Distributed Industrial IoT Gateway</v>
      </c>
    </row>
    <row r="100" spans="1:31">
      <c r="A100" t="s">
        <v>1507</v>
      </c>
      <c r="B100" t="s">
        <v>1508</v>
      </c>
      <c r="C100" t="s">
        <v>1509</v>
      </c>
      <c r="D100" t="s">
        <v>1510</v>
      </c>
      <c r="E100" s="8">
        <v>45853</v>
      </c>
      <c r="F100">
        <v>2025</v>
      </c>
      <c r="G100" t="s">
        <v>51</v>
      </c>
      <c r="I100" t="s">
        <v>300</v>
      </c>
      <c r="J100" t="s">
        <v>301</v>
      </c>
      <c r="K100" t="s">
        <v>1511</v>
      </c>
      <c r="L100" t="s">
        <v>1094</v>
      </c>
      <c r="M100" t="s">
        <v>1512</v>
      </c>
      <c r="N100" t="s">
        <v>1513</v>
      </c>
      <c r="O100" t="s">
        <v>51</v>
      </c>
      <c r="P100" t="s">
        <v>1514</v>
      </c>
      <c r="Q100" t="s">
        <v>1515</v>
      </c>
      <c r="R100" t="s">
        <v>1516</v>
      </c>
      <c r="S100" t="s">
        <v>51</v>
      </c>
      <c r="U100" t="s">
        <v>51</v>
      </c>
      <c r="V100">
        <v>22</v>
      </c>
      <c r="W100" t="s">
        <v>19</v>
      </c>
      <c r="X100" s="8">
        <v>45853</v>
      </c>
      <c r="Y100" t="s">
        <v>739</v>
      </c>
      <c r="Z100" t="s">
        <v>739</v>
      </c>
      <c r="AA100" t="s">
        <v>19</v>
      </c>
      <c r="AB100" t="s">
        <v>355</v>
      </c>
      <c r="AC100">
        <f t="shared" si="4"/>
        <v>7</v>
      </c>
      <c r="AE100" t="str">
        <f t="shared" si="5"/>
        <v>The Role of Monitoring Frequency in Optimizing Digital Twin Networks</v>
      </c>
    </row>
    <row r="101" spans="1:31">
      <c r="A101" t="s">
        <v>122</v>
      </c>
      <c r="B101" t="s">
        <v>1156</v>
      </c>
      <c r="C101" t="s">
        <v>1157</v>
      </c>
      <c r="D101" t="s">
        <v>1158</v>
      </c>
      <c r="E101" s="8">
        <v>45789</v>
      </c>
      <c r="F101">
        <v>2025</v>
      </c>
      <c r="G101" t="s">
        <v>51</v>
      </c>
      <c r="I101" t="s">
        <v>1877</v>
      </c>
      <c r="J101" t="s">
        <v>1878</v>
      </c>
      <c r="K101" t="s">
        <v>1159</v>
      </c>
      <c r="L101" t="s">
        <v>51</v>
      </c>
      <c r="M101" t="s">
        <v>1160</v>
      </c>
      <c r="N101" t="s">
        <v>123</v>
      </c>
      <c r="O101" t="s">
        <v>51</v>
      </c>
      <c r="P101" t="s">
        <v>1161</v>
      </c>
      <c r="Q101" t="s">
        <v>1162</v>
      </c>
      <c r="R101" t="s">
        <v>1163</v>
      </c>
      <c r="S101" t="s">
        <v>51</v>
      </c>
      <c r="T101">
        <v>5</v>
      </c>
      <c r="U101" t="s">
        <v>51</v>
      </c>
      <c r="V101">
        <v>17</v>
      </c>
      <c r="W101" t="s">
        <v>19</v>
      </c>
      <c r="X101" s="8">
        <v>45789</v>
      </c>
      <c r="Y101" t="s">
        <v>1164</v>
      </c>
      <c r="Z101" t="s">
        <v>1164</v>
      </c>
      <c r="AA101" t="s">
        <v>19</v>
      </c>
      <c r="AB101" t="s">
        <v>355</v>
      </c>
      <c r="AC101">
        <f t="shared" si="4"/>
        <v>5</v>
      </c>
      <c r="AE101" t="str">
        <f t="shared" si="5"/>
        <v>Energy-Efficient Wireless Sensor Networks Optimization using Deep Q-Networks for Smart Energy Applications</v>
      </c>
    </row>
    <row r="102" spans="1:31">
      <c r="A102" t="s">
        <v>2261</v>
      </c>
      <c r="B102" t="s">
        <v>2262</v>
      </c>
      <c r="C102" t="s">
        <v>2263</v>
      </c>
      <c r="D102" t="s">
        <v>2264</v>
      </c>
      <c r="E102" s="8">
        <v>45002</v>
      </c>
      <c r="F102">
        <v>2023</v>
      </c>
      <c r="H102" t="s">
        <v>51</v>
      </c>
      <c r="I102">
        <v>1</v>
      </c>
      <c r="J102">
        <v>6</v>
      </c>
      <c r="K102" t="s">
        <v>2265</v>
      </c>
      <c r="L102" t="s">
        <v>2266</v>
      </c>
      <c r="M102" t="s">
        <v>2267</v>
      </c>
      <c r="N102" t="s">
        <v>2268</v>
      </c>
      <c r="O102" t="s">
        <v>51</v>
      </c>
      <c r="P102" t="s">
        <v>2269</v>
      </c>
      <c r="Q102" t="s">
        <v>2270</v>
      </c>
      <c r="R102" t="s">
        <v>2271</v>
      </c>
      <c r="S102" t="s">
        <v>51</v>
      </c>
      <c r="T102">
        <v>4</v>
      </c>
      <c r="U102" t="s">
        <v>51</v>
      </c>
      <c r="V102">
        <v>18</v>
      </c>
      <c r="W102" t="s">
        <v>19</v>
      </c>
      <c r="X102" s="8">
        <v>45002</v>
      </c>
      <c r="Y102" t="s">
        <v>2272</v>
      </c>
      <c r="Z102" t="s">
        <v>2272</v>
      </c>
      <c r="AA102" t="s">
        <v>19</v>
      </c>
      <c r="AB102" t="s">
        <v>355</v>
      </c>
      <c r="AC102">
        <f t="shared" ref="AC102:AC108" si="6">($J102-$I102)+1</f>
        <v>6</v>
      </c>
      <c r="AE102" s="32" t="str">
        <f t="shared" ref="AE102:AE108" si="7">HYPERLINK($P102,$A102)</f>
        <v>A Testbed for Evaluating Performance and Cybersecurity Implications of IEC-61850 GOOSE Hardware Implementations</v>
      </c>
    </row>
    <row r="103" spans="1:31">
      <c r="A103" t="s">
        <v>2273</v>
      </c>
      <c r="B103" t="s">
        <v>2274</v>
      </c>
      <c r="C103" t="s">
        <v>2275</v>
      </c>
      <c r="D103" t="s">
        <v>2276</v>
      </c>
      <c r="E103" s="8">
        <v>43097</v>
      </c>
      <c r="F103">
        <v>2017</v>
      </c>
      <c r="H103" t="s">
        <v>51</v>
      </c>
      <c r="I103">
        <v>122</v>
      </c>
      <c r="J103">
        <v>129</v>
      </c>
      <c r="K103" t="s">
        <v>2277</v>
      </c>
      <c r="L103" t="s">
        <v>2278</v>
      </c>
      <c r="M103" t="s">
        <v>2279</v>
      </c>
      <c r="N103" t="s">
        <v>2280</v>
      </c>
      <c r="O103" t="s">
        <v>51</v>
      </c>
      <c r="P103" t="s">
        <v>2281</v>
      </c>
      <c r="Q103" t="s">
        <v>2282</v>
      </c>
      <c r="R103" t="s">
        <v>2283</v>
      </c>
      <c r="S103" t="s">
        <v>51</v>
      </c>
      <c r="T103">
        <v>11</v>
      </c>
      <c r="U103" t="s">
        <v>51</v>
      </c>
      <c r="V103">
        <v>16</v>
      </c>
      <c r="W103" t="s">
        <v>19</v>
      </c>
      <c r="X103" s="8">
        <v>43097</v>
      </c>
      <c r="Y103" t="s">
        <v>2284</v>
      </c>
      <c r="Z103" t="s">
        <v>2284</v>
      </c>
      <c r="AA103" t="s">
        <v>19</v>
      </c>
      <c r="AB103" t="s">
        <v>355</v>
      </c>
      <c r="AC103">
        <f t="shared" si="6"/>
        <v>8</v>
      </c>
      <c r="AE103" s="32" t="str">
        <f t="shared" si="7"/>
        <v>Benchmarking Cloud-Based SCADA System</v>
      </c>
    </row>
    <row r="104" spans="1:31">
      <c r="A104" t="s">
        <v>2285</v>
      </c>
      <c r="B104" t="s">
        <v>2286</v>
      </c>
      <c r="C104" t="s">
        <v>2287</v>
      </c>
      <c r="D104" t="s">
        <v>2288</v>
      </c>
      <c r="E104" s="8">
        <v>43513</v>
      </c>
      <c r="F104">
        <v>2018</v>
      </c>
      <c r="H104" t="s">
        <v>51</v>
      </c>
      <c r="I104">
        <v>1</v>
      </c>
      <c r="J104">
        <v>4</v>
      </c>
      <c r="K104" t="s">
        <v>2289</v>
      </c>
      <c r="L104" t="s">
        <v>51</v>
      </c>
      <c r="M104" t="s">
        <v>2290</v>
      </c>
      <c r="N104" t="s">
        <v>2291</v>
      </c>
      <c r="O104" t="s">
        <v>51</v>
      </c>
      <c r="P104" t="s">
        <v>2292</v>
      </c>
      <c r="Q104" t="s">
        <v>2293</v>
      </c>
      <c r="R104" t="s">
        <v>2294</v>
      </c>
      <c r="S104" t="s">
        <v>51</v>
      </c>
      <c r="T104">
        <v>3</v>
      </c>
      <c r="U104" t="s">
        <v>51</v>
      </c>
      <c r="V104">
        <v>18</v>
      </c>
      <c r="W104" t="s">
        <v>19</v>
      </c>
      <c r="X104" s="8">
        <v>43513</v>
      </c>
      <c r="Y104" t="s">
        <v>2295</v>
      </c>
      <c r="Z104" t="s">
        <v>2295</v>
      </c>
      <c r="AA104" t="s">
        <v>19</v>
      </c>
      <c r="AB104" t="s">
        <v>355</v>
      </c>
      <c r="AC104">
        <f t="shared" si="6"/>
        <v>4</v>
      </c>
      <c r="AE104" s="32" t="str">
        <f t="shared" si="7"/>
        <v>Implementing a performant security control for Industrial Ethernet</v>
      </c>
    </row>
    <row r="105" spans="1:31">
      <c r="A105" t="s">
        <v>2296</v>
      </c>
      <c r="B105" t="s">
        <v>2297</v>
      </c>
      <c r="C105" t="s">
        <v>2298</v>
      </c>
      <c r="D105" t="s">
        <v>2299</v>
      </c>
      <c r="E105" s="8">
        <v>46057</v>
      </c>
      <c r="F105">
        <v>2026</v>
      </c>
      <c r="H105" t="s">
        <v>51</v>
      </c>
      <c r="I105">
        <v>1</v>
      </c>
      <c r="J105">
        <v>6</v>
      </c>
      <c r="K105" t="s">
        <v>2300</v>
      </c>
      <c r="L105" t="s">
        <v>2266</v>
      </c>
      <c r="M105" t="s">
        <v>2301</v>
      </c>
      <c r="N105" t="s">
        <v>2302</v>
      </c>
      <c r="O105" t="s">
        <v>51</v>
      </c>
      <c r="P105" t="s">
        <v>2303</v>
      </c>
      <c r="Q105" t="s">
        <v>2304</v>
      </c>
      <c r="R105" t="s">
        <v>2305</v>
      </c>
      <c r="S105" t="s">
        <v>51</v>
      </c>
      <c r="U105" t="s">
        <v>51</v>
      </c>
      <c r="V105">
        <v>12</v>
      </c>
      <c r="W105" t="s">
        <v>19</v>
      </c>
      <c r="X105" s="8">
        <v>46057</v>
      </c>
      <c r="Y105" t="s">
        <v>2306</v>
      </c>
      <c r="Z105" t="s">
        <v>2306</v>
      </c>
      <c r="AA105" t="s">
        <v>19</v>
      </c>
      <c r="AB105" t="s">
        <v>355</v>
      </c>
      <c r="AC105">
        <f t="shared" si="6"/>
        <v>6</v>
      </c>
      <c r="AE105" s="32" t="str">
        <f t="shared" si="7"/>
        <v>Passive Device Fingerprinting for OT Networks Using Byte Histograms</v>
      </c>
    </row>
    <row r="106" spans="1:31">
      <c r="A106" t="s">
        <v>2307</v>
      </c>
      <c r="B106" t="s">
        <v>2308</v>
      </c>
      <c r="C106" t="s">
        <v>2309</v>
      </c>
      <c r="D106" t="s">
        <v>956</v>
      </c>
      <c r="E106" s="8">
        <v>45160</v>
      </c>
      <c r="F106">
        <v>2023</v>
      </c>
      <c r="H106" t="s">
        <v>51</v>
      </c>
      <c r="I106">
        <v>1</v>
      </c>
      <c r="J106">
        <v>7</v>
      </c>
      <c r="K106" t="s">
        <v>2310</v>
      </c>
      <c r="L106" t="s">
        <v>957</v>
      </c>
      <c r="M106" t="s">
        <v>958</v>
      </c>
      <c r="N106" t="s">
        <v>2311</v>
      </c>
      <c r="O106" t="s">
        <v>51</v>
      </c>
      <c r="P106" t="s">
        <v>2312</v>
      </c>
      <c r="Q106" t="s">
        <v>2313</v>
      </c>
      <c r="R106" t="s">
        <v>2314</v>
      </c>
      <c r="S106" t="s">
        <v>51</v>
      </c>
      <c r="T106">
        <v>7</v>
      </c>
      <c r="U106" t="s">
        <v>51</v>
      </c>
      <c r="V106">
        <v>17</v>
      </c>
      <c r="W106" t="s">
        <v>19</v>
      </c>
      <c r="X106" s="8">
        <v>45160</v>
      </c>
      <c r="Y106" t="s">
        <v>959</v>
      </c>
      <c r="Z106" t="s">
        <v>959</v>
      </c>
      <c r="AA106" t="s">
        <v>19</v>
      </c>
      <c r="AB106" t="s">
        <v>355</v>
      </c>
      <c r="AC106">
        <f t="shared" si="6"/>
        <v>7</v>
      </c>
      <c r="AE106" s="32" t="str">
        <f t="shared" si="7"/>
        <v>Safety and Security: A Field of Tension in Industrial Practice</v>
      </c>
    </row>
    <row r="107" spans="1:31">
      <c r="A107" t="s">
        <v>2315</v>
      </c>
      <c r="B107" t="s">
        <v>2316</v>
      </c>
      <c r="C107" t="s">
        <v>2317</v>
      </c>
      <c r="D107" t="s">
        <v>2318</v>
      </c>
      <c r="E107" s="8">
        <v>42856</v>
      </c>
      <c r="F107">
        <v>2016</v>
      </c>
      <c r="H107" t="s">
        <v>51</v>
      </c>
      <c r="I107">
        <v>1</v>
      </c>
      <c r="J107">
        <v>21</v>
      </c>
      <c r="K107" t="s">
        <v>2319</v>
      </c>
      <c r="L107" t="s">
        <v>2320</v>
      </c>
      <c r="M107" t="s">
        <v>2321</v>
      </c>
      <c r="N107" t="s">
        <v>2322</v>
      </c>
      <c r="O107" t="s">
        <v>51</v>
      </c>
      <c r="P107" t="s">
        <v>2323</v>
      </c>
      <c r="Q107" t="s">
        <v>2324</v>
      </c>
      <c r="R107" t="s">
        <v>2325</v>
      </c>
      <c r="S107" t="s">
        <v>51</v>
      </c>
      <c r="T107">
        <v>10</v>
      </c>
      <c r="U107" t="s">
        <v>51</v>
      </c>
      <c r="V107">
        <v>3</v>
      </c>
      <c r="W107" t="s">
        <v>19</v>
      </c>
      <c r="X107" s="8">
        <v>42856</v>
      </c>
      <c r="Y107" t="s">
        <v>2326</v>
      </c>
      <c r="Z107" t="s">
        <v>2326</v>
      </c>
      <c r="AA107" t="s">
        <v>19</v>
      </c>
      <c r="AB107" t="s">
        <v>355</v>
      </c>
      <c r="AC107">
        <f t="shared" si="6"/>
        <v>21</v>
      </c>
      <c r="AE107" s="32" t="str">
        <f t="shared" si="7"/>
        <v>The importance of testing Smart Grid IEDs against security vulnerabilities</v>
      </c>
    </row>
    <row r="108" spans="1:31">
      <c r="A108" t="s">
        <v>2327</v>
      </c>
      <c r="B108" t="s">
        <v>2328</v>
      </c>
      <c r="C108" t="s">
        <v>2329</v>
      </c>
      <c r="D108" t="s">
        <v>2330</v>
      </c>
      <c r="E108" s="8">
        <v>45357</v>
      </c>
      <c r="F108">
        <v>2024</v>
      </c>
      <c r="G108">
        <v>73</v>
      </c>
      <c r="H108" t="s">
        <v>51</v>
      </c>
      <c r="I108">
        <v>1</v>
      </c>
      <c r="J108">
        <v>10</v>
      </c>
      <c r="K108" t="s">
        <v>2331</v>
      </c>
      <c r="L108" t="s">
        <v>2332</v>
      </c>
      <c r="M108" t="s">
        <v>51</v>
      </c>
      <c r="N108" t="s">
        <v>2333</v>
      </c>
      <c r="O108" t="s">
        <v>2334</v>
      </c>
      <c r="P108" t="s">
        <v>2335</v>
      </c>
      <c r="Q108" t="s">
        <v>2336</v>
      </c>
      <c r="R108" t="s">
        <v>2337</v>
      </c>
      <c r="S108" t="s">
        <v>51</v>
      </c>
      <c r="T108">
        <v>17</v>
      </c>
      <c r="U108" t="s">
        <v>51</v>
      </c>
      <c r="V108">
        <v>30</v>
      </c>
      <c r="W108" t="s">
        <v>460</v>
      </c>
      <c r="X108" s="8">
        <v>45349</v>
      </c>
      <c r="Y108" t="s">
        <v>970</v>
      </c>
      <c r="Z108" t="s">
        <v>51</v>
      </c>
      <c r="AA108" t="s">
        <v>19</v>
      </c>
      <c r="AB108" t="s">
        <v>413</v>
      </c>
      <c r="AC108">
        <f t="shared" si="6"/>
        <v>10</v>
      </c>
      <c r="AE108" s="32" t="str">
        <f t="shared" si="7"/>
        <v>Virtual PLC in Industrial Edge Platform: Performance Evaluation of Supervision and Control Communication</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E63E-B122-4E97-97D5-5B7EA86765F8}">
  <dimension ref="A1:Y80"/>
  <sheetViews>
    <sheetView workbookViewId="0">
      <selection activeCell="C8" sqref="A8:XFD8"/>
    </sheetView>
  </sheetViews>
  <sheetFormatPr defaultRowHeight="12.75"/>
  <cols>
    <col min="1" max="4" width="81.140625" bestFit="1" customWidth="1"/>
    <col min="5" max="5" width="7.42578125" bestFit="1" customWidth="1"/>
    <col min="6" max="6" width="81.140625" bestFit="1" customWidth="1"/>
    <col min="7" max="7" width="14.7109375" bestFit="1" customWidth="1"/>
    <col min="8" max="8" width="7.85546875" bestFit="1" customWidth="1"/>
    <col min="9" max="9" width="10" bestFit="1" customWidth="1"/>
    <col min="10" max="10" width="12.42578125" bestFit="1" customWidth="1"/>
    <col min="11" max="11" width="12" bestFit="1" customWidth="1"/>
    <col min="12" max="12" width="10.7109375" bestFit="1" customWidth="1"/>
    <col min="13" max="13" width="36.7109375" bestFit="1" customWidth="1"/>
    <col min="14" max="15" width="81.140625" bestFit="1" customWidth="1"/>
    <col min="16" max="16" width="50.7109375" bestFit="1" customWidth="1"/>
    <col min="17" max="17" width="17.5703125" bestFit="1" customWidth="1"/>
    <col min="18" max="18" width="19.7109375" bestFit="1" customWidth="1"/>
    <col min="19" max="19" width="78.5703125" bestFit="1" customWidth="1"/>
    <col min="20" max="20" width="9.7109375" bestFit="1" customWidth="1"/>
    <col min="21" max="21" width="19" bestFit="1" customWidth="1"/>
  </cols>
  <sheetData>
    <row r="1" spans="1:25">
      <c r="A1" t="s">
        <v>29</v>
      </c>
      <c r="B1" t="s">
        <v>30</v>
      </c>
      <c r="C1" t="s">
        <v>31</v>
      </c>
      <c r="D1" t="s">
        <v>2</v>
      </c>
      <c r="E1" t="s">
        <v>32</v>
      </c>
      <c r="F1" t="s">
        <v>33</v>
      </c>
      <c r="G1" t="s">
        <v>34</v>
      </c>
      <c r="H1" t="s">
        <v>35</v>
      </c>
      <c r="I1" t="s">
        <v>36</v>
      </c>
      <c r="J1" t="s">
        <v>37</v>
      </c>
      <c r="K1" t="s">
        <v>38</v>
      </c>
      <c r="L1" t="s">
        <v>39</v>
      </c>
      <c r="M1" t="s">
        <v>40</v>
      </c>
      <c r="N1" t="s">
        <v>41</v>
      </c>
      <c r="O1" t="s">
        <v>42</v>
      </c>
      <c r="P1" t="s">
        <v>43</v>
      </c>
      <c r="Q1" t="s">
        <v>44</v>
      </c>
      <c r="R1" t="s">
        <v>45</v>
      </c>
      <c r="S1" t="s">
        <v>46</v>
      </c>
      <c r="T1" t="s">
        <v>47</v>
      </c>
      <c r="U1" t="s">
        <v>48</v>
      </c>
      <c r="V1" t="s">
        <v>326</v>
      </c>
      <c r="Y1" t="s">
        <v>1400</v>
      </c>
    </row>
    <row r="2" spans="1:25">
      <c r="A2" t="s">
        <v>58</v>
      </c>
      <c r="B2" t="s">
        <v>59</v>
      </c>
      <c r="C2" t="s">
        <v>60</v>
      </c>
      <c r="D2" t="s">
        <v>61</v>
      </c>
      <c r="E2">
        <v>2025</v>
      </c>
      <c r="F2" t="s">
        <v>62</v>
      </c>
      <c r="G2" t="s">
        <v>63</v>
      </c>
      <c r="H2">
        <v>6</v>
      </c>
      <c r="I2" t="s">
        <v>51</v>
      </c>
      <c r="J2">
        <v>2758</v>
      </c>
      <c r="K2">
        <v>2766</v>
      </c>
      <c r="L2">
        <v>0</v>
      </c>
      <c r="M2" t="s">
        <v>64</v>
      </c>
      <c r="N2" t="s">
        <v>65</v>
      </c>
      <c r="O2" t="s">
        <v>66</v>
      </c>
      <c r="P2" t="s">
        <v>67</v>
      </c>
      <c r="Q2" t="s">
        <v>55</v>
      </c>
      <c r="R2" t="s">
        <v>50</v>
      </c>
      <c r="S2" t="s">
        <v>56</v>
      </c>
      <c r="T2" t="s">
        <v>52</v>
      </c>
      <c r="U2" t="s">
        <v>68</v>
      </c>
      <c r="V2">
        <f>$K2-$J2</f>
        <v>8</v>
      </c>
      <c r="Y2" s="11" t="str">
        <f>HYPERLINK($N2,$D2)</f>
        <v>Edge Computing-Enabled Predictive Maintenance System with Multi-Protocol RTU Integration for Industry 4.0 Applications</v>
      </c>
    </row>
    <row r="3" spans="1:25">
      <c r="A3" t="s">
        <v>70</v>
      </c>
      <c r="B3" t="s">
        <v>71</v>
      </c>
      <c r="C3" t="s">
        <v>72</v>
      </c>
      <c r="D3" t="s">
        <v>73</v>
      </c>
      <c r="E3">
        <v>2025</v>
      </c>
      <c r="F3" t="s">
        <v>74</v>
      </c>
      <c r="G3" t="s">
        <v>75</v>
      </c>
      <c r="I3" t="s">
        <v>76</v>
      </c>
      <c r="L3">
        <v>0</v>
      </c>
      <c r="M3" t="s">
        <v>77</v>
      </c>
      <c r="N3" t="s">
        <v>78</v>
      </c>
      <c r="O3" t="s">
        <v>79</v>
      </c>
      <c r="P3" t="s">
        <v>80</v>
      </c>
      <c r="Q3" t="s">
        <v>55</v>
      </c>
      <c r="R3" t="s">
        <v>50</v>
      </c>
      <c r="S3" t="s">
        <v>81</v>
      </c>
      <c r="T3" t="s">
        <v>52</v>
      </c>
      <c r="U3" t="s">
        <v>82</v>
      </c>
      <c r="V3">
        <f t="shared" ref="V3:V33" si="0">$K3-$J3</f>
        <v>0</v>
      </c>
      <c r="Y3" s="11" t="str">
        <f t="shared" ref="Y3:Y33" si="1">HYPERLINK($N3,$D3)</f>
        <v>Cyber4OT dataset: Network traces for cyber-security vulnerability evaluation in industrial control systems</v>
      </c>
    </row>
    <row r="4" spans="1:25">
      <c r="A4" t="s">
        <v>83</v>
      </c>
      <c r="B4" t="s">
        <v>84</v>
      </c>
      <c r="C4" t="s">
        <v>85</v>
      </c>
      <c r="D4" t="s">
        <v>86</v>
      </c>
      <c r="E4">
        <v>2025</v>
      </c>
      <c r="F4" t="s">
        <v>87</v>
      </c>
      <c r="G4" t="s">
        <v>88</v>
      </c>
      <c r="H4">
        <v>7</v>
      </c>
      <c r="I4" t="s">
        <v>89</v>
      </c>
      <c r="L4">
        <v>0</v>
      </c>
      <c r="M4" t="s">
        <v>90</v>
      </c>
      <c r="N4" t="s">
        <v>91</v>
      </c>
      <c r="O4" t="s">
        <v>92</v>
      </c>
      <c r="P4" t="s">
        <v>93</v>
      </c>
      <c r="Q4" t="s">
        <v>55</v>
      </c>
      <c r="R4" t="s">
        <v>50</v>
      </c>
      <c r="S4" t="s">
        <v>56</v>
      </c>
      <c r="T4" t="s">
        <v>52</v>
      </c>
      <c r="U4" t="s">
        <v>94</v>
      </c>
      <c r="V4">
        <f t="shared" si="0"/>
        <v>0</v>
      </c>
      <c r="Y4" s="11" t="str">
        <f t="shared" si="1"/>
        <v>Exponential Backoff and Its Security Implications for Safety-Critical OT Protocols over TCP/IP Networks</v>
      </c>
    </row>
    <row r="5" spans="1:25">
      <c r="A5" t="s">
        <v>95</v>
      </c>
      <c r="B5" t="s">
        <v>96</v>
      </c>
      <c r="C5" t="s">
        <v>97</v>
      </c>
      <c r="D5" t="s">
        <v>98</v>
      </c>
      <c r="E5">
        <v>2025</v>
      </c>
      <c r="F5" t="s">
        <v>99</v>
      </c>
      <c r="G5" t="s">
        <v>100</v>
      </c>
      <c r="H5">
        <v>3</v>
      </c>
      <c r="I5" t="s">
        <v>101</v>
      </c>
      <c r="L5">
        <v>3</v>
      </c>
      <c r="M5" t="s">
        <v>102</v>
      </c>
      <c r="N5" t="s">
        <v>103</v>
      </c>
      <c r="O5" t="s">
        <v>104</v>
      </c>
      <c r="P5" t="s">
        <v>105</v>
      </c>
      <c r="Q5" t="s">
        <v>55</v>
      </c>
      <c r="R5" t="s">
        <v>50</v>
      </c>
      <c r="S5" t="s">
        <v>69</v>
      </c>
      <c r="T5" t="s">
        <v>52</v>
      </c>
      <c r="U5" t="s">
        <v>106</v>
      </c>
      <c r="V5">
        <f t="shared" si="0"/>
        <v>0</v>
      </c>
      <c r="Y5" s="11" t="str">
        <f t="shared" si="1"/>
        <v>TSCH in Edge IoT: A Comprehensive Survey of Research Challenges</v>
      </c>
    </row>
    <row r="6" spans="1:25">
      <c r="A6" t="s">
        <v>107</v>
      </c>
      <c r="B6" t="s">
        <v>108</v>
      </c>
      <c r="C6" t="s">
        <v>109</v>
      </c>
      <c r="D6" t="s">
        <v>110</v>
      </c>
      <c r="E6">
        <v>2025</v>
      </c>
      <c r="F6" t="s">
        <v>111</v>
      </c>
      <c r="G6" t="s">
        <v>51</v>
      </c>
      <c r="I6" t="s">
        <v>51</v>
      </c>
      <c r="L6">
        <v>0</v>
      </c>
      <c r="M6" t="s">
        <v>112</v>
      </c>
      <c r="N6" t="s">
        <v>113</v>
      </c>
      <c r="O6" t="s">
        <v>114</v>
      </c>
      <c r="P6" t="s">
        <v>115</v>
      </c>
      <c r="Q6" t="s">
        <v>55</v>
      </c>
      <c r="R6" t="s">
        <v>116</v>
      </c>
      <c r="S6" t="s">
        <v>51</v>
      </c>
      <c r="T6" t="s">
        <v>52</v>
      </c>
      <c r="U6" t="s">
        <v>117</v>
      </c>
      <c r="V6">
        <f t="shared" si="0"/>
        <v>0</v>
      </c>
      <c r="Y6" s="11" t="str">
        <f t="shared" si="1"/>
        <v>Unleashing the Potential of Industrial IoT and Industry 5.0</v>
      </c>
    </row>
    <row r="7" spans="1:25">
      <c r="A7" t="s">
        <v>119</v>
      </c>
      <c r="B7" t="s">
        <v>120</v>
      </c>
      <c r="C7" t="s">
        <v>121</v>
      </c>
      <c r="D7" t="s">
        <v>122</v>
      </c>
      <c r="E7">
        <v>2025</v>
      </c>
      <c r="F7" t="s">
        <v>1879</v>
      </c>
      <c r="G7" t="s">
        <v>51</v>
      </c>
      <c r="I7" t="s">
        <v>51</v>
      </c>
      <c r="J7">
        <v>1023</v>
      </c>
      <c r="K7">
        <v>1027</v>
      </c>
      <c r="L7">
        <v>2</v>
      </c>
      <c r="M7" t="s">
        <v>123</v>
      </c>
      <c r="N7" t="s">
        <v>124</v>
      </c>
      <c r="O7" t="s">
        <v>125</v>
      </c>
      <c r="P7" t="s">
        <v>115</v>
      </c>
      <c r="Q7" t="s">
        <v>49</v>
      </c>
      <c r="R7" t="s">
        <v>50</v>
      </c>
      <c r="S7" t="s">
        <v>51</v>
      </c>
      <c r="T7" t="s">
        <v>52</v>
      </c>
      <c r="U7" t="s">
        <v>126</v>
      </c>
      <c r="V7">
        <f t="shared" si="0"/>
        <v>4</v>
      </c>
      <c r="Y7" s="11" t="str">
        <f t="shared" si="1"/>
        <v>Energy-Efficient Wireless Sensor Networks Optimization using Deep Q-Networks for Smart Energy Applications</v>
      </c>
    </row>
    <row r="8" spans="1:25">
      <c r="A8" t="s">
        <v>1880</v>
      </c>
      <c r="B8" t="s">
        <v>1881</v>
      </c>
      <c r="C8" t="s">
        <v>1882</v>
      </c>
      <c r="D8" t="s">
        <v>1883</v>
      </c>
      <c r="E8">
        <v>2025</v>
      </c>
      <c r="F8" t="s">
        <v>1884</v>
      </c>
      <c r="G8" t="s">
        <v>1885</v>
      </c>
      <c r="I8" t="s">
        <v>51</v>
      </c>
      <c r="J8">
        <v>1983</v>
      </c>
      <c r="K8">
        <v>1993</v>
      </c>
      <c r="L8">
        <v>0</v>
      </c>
      <c r="M8" t="s">
        <v>1886</v>
      </c>
      <c r="N8" t="s">
        <v>1887</v>
      </c>
      <c r="O8" t="s">
        <v>1888</v>
      </c>
      <c r="P8" t="s">
        <v>80</v>
      </c>
      <c r="Q8" t="s">
        <v>49</v>
      </c>
      <c r="R8" t="s">
        <v>50</v>
      </c>
      <c r="S8" t="s">
        <v>56</v>
      </c>
      <c r="T8" t="s">
        <v>52</v>
      </c>
      <c r="U8" t="s">
        <v>1889</v>
      </c>
      <c r="V8">
        <f t="shared" si="0"/>
        <v>10</v>
      </c>
      <c r="Y8" s="11" t="str">
        <f t="shared" si="1"/>
        <v>Methodology for Assessing Existing Vulnerabilities in Modbus Protocol</v>
      </c>
    </row>
    <row r="9" spans="1:25">
      <c r="A9" t="s">
        <v>130</v>
      </c>
      <c r="B9" t="s">
        <v>131</v>
      </c>
      <c r="C9" t="s">
        <v>132</v>
      </c>
      <c r="D9" t="s">
        <v>133</v>
      </c>
      <c r="E9">
        <v>2025</v>
      </c>
      <c r="F9" t="s">
        <v>134</v>
      </c>
      <c r="G9" t="s">
        <v>135</v>
      </c>
      <c r="H9">
        <v>7</v>
      </c>
      <c r="I9" t="s">
        <v>51</v>
      </c>
      <c r="J9">
        <v>8453</v>
      </c>
      <c r="K9">
        <v>8460</v>
      </c>
      <c r="L9">
        <v>9</v>
      </c>
      <c r="M9" t="s">
        <v>136</v>
      </c>
      <c r="N9" t="s">
        <v>137</v>
      </c>
      <c r="O9" t="s">
        <v>138</v>
      </c>
      <c r="P9" t="s">
        <v>115</v>
      </c>
      <c r="Q9" t="s">
        <v>55</v>
      </c>
      <c r="R9" t="s">
        <v>50</v>
      </c>
      <c r="S9" t="s">
        <v>51</v>
      </c>
      <c r="T9" t="s">
        <v>52</v>
      </c>
      <c r="U9" t="s">
        <v>139</v>
      </c>
      <c r="V9">
        <f t="shared" si="0"/>
        <v>7</v>
      </c>
      <c r="Y9" s="11" t="str">
        <f t="shared" si="1"/>
        <v>IoTForge Pro: A Security Testbed for Generating Intrusion Dataset for Industrial IoT</v>
      </c>
    </row>
    <row r="10" spans="1:25">
      <c r="A10" t="s">
        <v>140</v>
      </c>
      <c r="B10" t="s">
        <v>141</v>
      </c>
      <c r="C10" t="s">
        <v>142</v>
      </c>
      <c r="D10" t="s">
        <v>143</v>
      </c>
      <c r="E10">
        <v>2024</v>
      </c>
      <c r="F10" t="s">
        <v>144</v>
      </c>
      <c r="G10" t="s">
        <v>145</v>
      </c>
      <c r="H10">
        <v>4</v>
      </c>
      <c r="I10" t="s">
        <v>146</v>
      </c>
      <c r="L10">
        <v>1</v>
      </c>
      <c r="M10" t="s">
        <v>147</v>
      </c>
      <c r="N10" t="s">
        <v>148</v>
      </c>
      <c r="O10" t="s">
        <v>149</v>
      </c>
      <c r="P10" t="s">
        <v>150</v>
      </c>
      <c r="Q10" t="s">
        <v>55</v>
      </c>
      <c r="R10" t="s">
        <v>50</v>
      </c>
      <c r="S10" t="s">
        <v>51</v>
      </c>
      <c r="T10" t="s">
        <v>52</v>
      </c>
      <c r="U10" t="s">
        <v>151</v>
      </c>
      <c r="V10">
        <f t="shared" si="0"/>
        <v>0</v>
      </c>
      <c r="Y10" s="11" t="str">
        <f t="shared" si="1"/>
        <v>Simulation and modeling of a robust cybersecurity system for next-generation manufacturing execution</v>
      </c>
    </row>
    <row r="11" spans="1:25">
      <c r="A11" t="s">
        <v>152</v>
      </c>
      <c r="B11" t="s">
        <v>153</v>
      </c>
      <c r="C11" t="s">
        <v>154</v>
      </c>
      <c r="D11" t="s">
        <v>155</v>
      </c>
      <c r="E11">
        <v>2024</v>
      </c>
      <c r="F11" t="s">
        <v>156</v>
      </c>
      <c r="G11" t="s">
        <v>157</v>
      </c>
      <c r="I11" t="s">
        <v>158</v>
      </c>
      <c r="L11">
        <v>8</v>
      </c>
      <c r="M11" t="s">
        <v>159</v>
      </c>
      <c r="N11" t="s">
        <v>160</v>
      </c>
      <c r="O11" t="s">
        <v>161</v>
      </c>
      <c r="P11" t="s">
        <v>80</v>
      </c>
      <c r="Q11" t="s">
        <v>55</v>
      </c>
      <c r="R11" t="s">
        <v>50</v>
      </c>
      <c r="S11" t="s">
        <v>162</v>
      </c>
      <c r="T11" t="s">
        <v>52</v>
      </c>
      <c r="U11" t="s">
        <v>163</v>
      </c>
      <c r="V11">
        <f t="shared" si="0"/>
        <v>0</v>
      </c>
      <c r="Y11" s="11" t="str">
        <f t="shared" si="1"/>
        <v>Securing industrial control systems: Developing a SCADA/IoT test bench and evaluating lightweight cipher performance on hardware simulator</v>
      </c>
    </row>
    <row r="12" spans="1:25">
      <c r="A12" t="s">
        <v>168</v>
      </c>
      <c r="B12" t="s">
        <v>1890</v>
      </c>
      <c r="C12" t="s">
        <v>169</v>
      </c>
      <c r="D12" t="s">
        <v>170</v>
      </c>
      <c r="E12">
        <v>2024</v>
      </c>
      <c r="F12" t="s">
        <v>171</v>
      </c>
      <c r="G12" t="s">
        <v>172</v>
      </c>
      <c r="H12">
        <v>8</v>
      </c>
      <c r="I12" t="s">
        <v>51</v>
      </c>
      <c r="J12">
        <v>240</v>
      </c>
      <c r="K12">
        <v>245</v>
      </c>
      <c r="L12">
        <v>5</v>
      </c>
      <c r="M12" t="s">
        <v>173</v>
      </c>
      <c r="N12" t="s">
        <v>174</v>
      </c>
      <c r="O12" t="s">
        <v>175</v>
      </c>
      <c r="P12" t="s">
        <v>80</v>
      </c>
      <c r="Q12" t="s">
        <v>49</v>
      </c>
      <c r="R12" t="s">
        <v>50</v>
      </c>
      <c r="S12" t="s">
        <v>56</v>
      </c>
      <c r="T12" t="s">
        <v>52</v>
      </c>
      <c r="U12" t="s">
        <v>176</v>
      </c>
      <c r="V12">
        <f t="shared" si="0"/>
        <v>5</v>
      </c>
      <c r="Y12" s="11" t="str">
        <f t="shared" si="1"/>
        <v>OPC-UA in interoperability - a performance comparative testing</v>
      </c>
    </row>
    <row r="13" spans="1:25">
      <c r="A13" t="s">
        <v>177</v>
      </c>
      <c r="B13" t="s">
        <v>1891</v>
      </c>
      <c r="C13" t="s">
        <v>178</v>
      </c>
      <c r="D13" t="s">
        <v>179</v>
      </c>
      <c r="E13">
        <v>2024</v>
      </c>
      <c r="F13" t="s">
        <v>1892</v>
      </c>
      <c r="G13" t="s">
        <v>51</v>
      </c>
      <c r="I13" t="s">
        <v>51</v>
      </c>
      <c r="L13">
        <v>2</v>
      </c>
      <c r="M13" t="s">
        <v>180</v>
      </c>
      <c r="N13" t="s">
        <v>181</v>
      </c>
      <c r="O13" t="s">
        <v>182</v>
      </c>
      <c r="P13" t="s">
        <v>115</v>
      </c>
      <c r="Q13" t="s">
        <v>49</v>
      </c>
      <c r="R13" t="s">
        <v>50</v>
      </c>
      <c r="S13" t="s">
        <v>51</v>
      </c>
      <c r="T13" t="s">
        <v>52</v>
      </c>
      <c r="U13" t="s">
        <v>183</v>
      </c>
      <c r="V13">
        <f t="shared" si="0"/>
        <v>0</v>
      </c>
      <c r="Y13" s="11" t="str">
        <f t="shared" si="1"/>
        <v>A Comparative Analysis of Application Layer Protocols Within an Industrial Internet of Things Monitoring System</v>
      </c>
    </row>
    <row r="14" spans="1:25">
      <c r="A14" t="s">
        <v>184</v>
      </c>
      <c r="B14" t="s">
        <v>185</v>
      </c>
      <c r="C14" t="s">
        <v>186</v>
      </c>
      <c r="D14" t="s">
        <v>187</v>
      </c>
      <c r="E14">
        <v>2024</v>
      </c>
      <c r="F14" t="s">
        <v>1893</v>
      </c>
      <c r="G14" t="s">
        <v>51</v>
      </c>
      <c r="I14" t="s">
        <v>51</v>
      </c>
      <c r="J14">
        <v>37</v>
      </c>
      <c r="K14">
        <v>42</v>
      </c>
      <c r="L14">
        <v>4</v>
      </c>
      <c r="M14" t="s">
        <v>188</v>
      </c>
      <c r="N14" t="s">
        <v>189</v>
      </c>
      <c r="O14" t="s">
        <v>190</v>
      </c>
      <c r="P14" t="s">
        <v>115</v>
      </c>
      <c r="Q14" t="s">
        <v>49</v>
      </c>
      <c r="R14" t="s">
        <v>50</v>
      </c>
      <c r="S14" t="s">
        <v>51</v>
      </c>
      <c r="T14" t="s">
        <v>52</v>
      </c>
      <c r="U14" t="s">
        <v>191</v>
      </c>
      <c r="V14">
        <f t="shared" si="0"/>
        <v>5</v>
      </c>
      <c r="Y14" s="11" t="str">
        <f t="shared" si="1"/>
        <v>Holistic Risk Assessment in Industrial Control Systems: Combining Multiple Bayesian Networks with Multi-Criteria Decision Making</v>
      </c>
    </row>
    <row r="15" spans="1:25">
      <c r="A15" t="s">
        <v>192</v>
      </c>
      <c r="B15" t="s">
        <v>193</v>
      </c>
      <c r="C15" t="s">
        <v>194</v>
      </c>
      <c r="D15" t="s">
        <v>195</v>
      </c>
      <c r="E15">
        <v>2024</v>
      </c>
      <c r="F15" t="s">
        <v>1894</v>
      </c>
      <c r="G15" t="s">
        <v>51</v>
      </c>
      <c r="I15" t="s">
        <v>51</v>
      </c>
      <c r="J15">
        <v>1542</v>
      </c>
      <c r="K15">
        <v>1546</v>
      </c>
      <c r="L15">
        <v>0</v>
      </c>
      <c r="M15" t="s">
        <v>196</v>
      </c>
      <c r="N15" t="s">
        <v>197</v>
      </c>
      <c r="O15" t="s">
        <v>198</v>
      </c>
      <c r="P15" t="s">
        <v>115</v>
      </c>
      <c r="Q15" t="s">
        <v>49</v>
      </c>
      <c r="R15" t="s">
        <v>50</v>
      </c>
      <c r="S15" t="s">
        <v>51</v>
      </c>
      <c r="T15" t="s">
        <v>52</v>
      </c>
      <c r="U15" t="s">
        <v>199</v>
      </c>
      <c r="V15">
        <f t="shared" si="0"/>
        <v>4</v>
      </c>
      <c r="Y15" s="11" t="str">
        <f t="shared" si="1"/>
        <v>Enhancing Industrial Communication Protocol Fuzz Testing Through Virtualization And Intelligent Guidance</v>
      </c>
    </row>
    <row r="16" spans="1:25">
      <c r="A16" t="s">
        <v>200</v>
      </c>
      <c r="B16" t="s">
        <v>201</v>
      </c>
      <c r="C16" t="s">
        <v>202</v>
      </c>
      <c r="D16" t="s">
        <v>203</v>
      </c>
      <c r="E16">
        <v>2023</v>
      </c>
      <c r="F16" t="s">
        <v>204</v>
      </c>
      <c r="G16" t="s">
        <v>54</v>
      </c>
      <c r="I16" t="s">
        <v>205</v>
      </c>
      <c r="L16">
        <v>10</v>
      </c>
      <c r="M16" t="s">
        <v>206</v>
      </c>
      <c r="N16" t="s">
        <v>207</v>
      </c>
      <c r="O16" t="s">
        <v>208</v>
      </c>
      <c r="P16" t="s">
        <v>57</v>
      </c>
      <c r="Q16" t="s">
        <v>55</v>
      </c>
      <c r="R16" t="s">
        <v>50</v>
      </c>
      <c r="S16" t="s">
        <v>51</v>
      </c>
      <c r="T16" t="s">
        <v>52</v>
      </c>
      <c r="U16" t="s">
        <v>209</v>
      </c>
      <c r="V16">
        <f t="shared" si="0"/>
        <v>0</v>
      </c>
      <c r="Y16" s="11" t="str">
        <f t="shared" si="1"/>
        <v>SEAG: A novel dynamic security risk assessment method for industrial control systems with consideration of social engineering</v>
      </c>
    </row>
    <row r="17" spans="1:25">
      <c r="A17" t="s">
        <v>210</v>
      </c>
      <c r="B17" t="s">
        <v>211</v>
      </c>
      <c r="C17" t="s">
        <v>212</v>
      </c>
      <c r="D17" t="s">
        <v>213</v>
      </c>
      <c r="E17">
        <v>2023</v>
      </c>
      <c r="F17" t="s">
        <v>214</v>
      </c>
      <c r="G17" t="s">
        <v>135</v>
      </c>
      <c r="H17">
        <v>13</v>
      </c>
      <c r="I17" t="s">
        <v>215</v>
      </c>
      <c r="L17">
        <v>10</v>
      </c>
      <c r="M17" t="s">
        <v>216</v>
      </c>
      <c r="N17" t="s">
        <v>217</v>
      </c>
      <c r="O17" t="s">
        <v>218</v>
      </c>
      <c r="P17" t="s">
        <v>93</v>
      </c>
      <c r="Q17" t="s">
        <v>55</v>
      </c>
      <c r="R17" t="s">
        <v>50</v>
      </c>
      <c r="S17" t="s">
        <v>81</v>
      </c>
      <c r="T17" t="s">
        <v>52</v>
      </c>
      <c r="U17" t="s">
        <v>219</v>
      </c>
      <c r="V17">
        <f t="shared" si="0"/>
        <v>0</v>
      </c>
      <c r="Y17" s="11" t="str">
        <f t="shared" si="1"/>
        <v>Secure Sensor Prototype Using Hardware Security Modules and Trusted Execution Environments in a Blockchain Application: Wine Logistic Use Case</v>
      </c>
    </row>
    <row r="18" spans="1:25">
      <c r="A18" t="s">
        <v>222</v>
      </c>
      <c r="B18" t="s">
        <v>223</v>
      </c>
      <c r="C18" t="s">
        <v>224</v>
      </c>
      <c r="D18" t="s">
        <v>225</v>
      </c>
      <c r="E18">
        <v>2023</v>
      </c>
      <c r="F18" t="s">
        <v>226</v>
      </c>
      <c r="G18" t="s">
        <v>227</v>
      </c>
      <c r="H18">
        <v>2</v>
      </c>
      <c r="I18" t="s">
        <v>51</v>
      </c>
      <c r="J18">
        <v>2368</v>
      </c>
      <c r="K18">
        <v>2381</v>
      </c>
      <c r="L18">
        <v>30</v>
      </c>
      <c r="M18" t="s">
        <v>228</v>
      </c>
      <c r="N18" t="s">
        <v>229</v>
      </c>
      <c r="O18" t="s">
        <v>230</v>
      </c>
      <c r="P18" t="s">
        <v>115</v>
      </c>
      <c r="Q18" t="s">
        <v>55</v>
      </c>
      <c r="R18" t="s">
        <v>50</v>
      </c>
      <c r="S18" t="s">
        <v>51</v>
      </c>
      <c r="T18" t="s">
        <v>52</v>
      </c>
      <c r="U18" t="s">
        <v>231</v>
      </c>
      <c r="V18">
        <f t="shared" si="0"/>
        <v>13</v>
      </c>
      <c r="Y18" s="11" t="str">
        <f t="shared" si="1"/>
        <v>The SAir-IIoT Cyber Testbed as a Service: A Novel Cybertwins Architecture in IIoT-Based Smart Airports</v>
      </c>
    </row>
    <row r="19" spans="1:25">
      <c r="A19" t="s">
        <v>232</v>
      </c>
      <c r="B19" t="s">
        <v>233</v>
      </c>
      <c r="C19" t="s">
        <v>234</v>
      </c>
      <c r="D19" t="s">
        <v>235</v>
      </c>
      <c r="E19">
        <v>2023</v>
      </c>
      <c r="F19" t="s">
        <v>1895</v>
      </c>
      <c r="G19" t="s">
        <v>51</v>
      </c>
      <c r="I19" t="s">
        <v>51</v>
      </c>
      <c r="J19">
        <v>1021</v>
      </c>
      <c r="K19">
        <v>1026</v>
      </c>
      <c r="L19">
        <v>5</v>
      </c>
      <c r="M19" t="s">
        <v>236</v>
      </c>
      <c r="N19" t="s">
        <v>237</v>
      </c>
      <c r="O19" t="s">
        <v>238</v>
      </c>
      <c r="P19" t="s">
        <v>115</v>
      </c>
      <c r="Q19" t="s">
        <v>49</v>
      </c>
      <c r="R19" t="s">
        <v>50</v>
      </c>
      <c r="S19" t="s">
        <v>51</v>
      </c>
      <c r="T19" t="s">
        <v>52</v>
      </c>
      <c r="U19" t="s">
        <v>239</v>
      </c>
      <c r="V19">
        <f t="shared" si="0"/>
        <v>5</v>
      </c>
      <c r="Y19" s="11" t="str">
        <f t="shared" si="1"/>
        <v>Contention Congestion Collision Adaptive Data Rate for LoRaWAN-Based Challenging Industrial IoT</v>
      </c>
    </row>
    <row r="20" spans="1:25">
      <c r="A20" t="s">
        <v>240</v>
      </c>
      <c r="B20" t="s">
        <v>241</v>
      </c>
      <c r="C20" t="s">
        <v>242</v>
      </c>
      <c r="D20" t="s">
        <v>243</v>
      </c>
      <c r="E20">
        <v>2023</v>
      </c>
      <c r="F20" t="s">
        <v>1896</v>
      </c>
      <c r="G20" t="s">
        <v>51</v>
      </c>
      <c r="I20" t="s">
        <v>51</v>
      </c>
      <c r="J20">
        <v>774</v>
      </c>
      <c r="K20">
        <v>779</v>
      </c>
      <c r="L20">
        <v>2</v>
      </c>
      <c r="M20" t="s">
        <v>244</v>
      </c>
      <c r="N20" t="s">
        <v>245</v>
      </c>
      <c r="O20" t="s">
        <v>246</v>
      </c>
      <c r="P20" t="s">
        <v>115</v>
      </c>
      <c r="Q20" t="s">
        <v>49</v>
      </c>
      <c r="R20" t="s">
        <v>50</v>
      </c>
      <c r="S20" t="s">
        <v>51</v>
      </c>
      <c r="T20" t="s">
        <v>52</v>
      </c>
      <c r="U20" t="s">
        <v>247</v>
      </c>
      <c r="V20">
        <f t="shared" si="0"/>
        <v>5</v>
      </c>
      <c r="Y20" s="11" t="str">
        <f t="shared" si="1"/>
        <v>Performance evaluation of MQTT and CoAP communication protocols in IIoT for electrical substations based on the IEC 61850 standard</v>
      </c>
    </row>
    <row r="21" spans="1:25">
      <c r="A21" t="s">
        <v>250</v>
      </c>
      <c r="B21" t="s">
        <v>251</v>
      </c>
      <c r="C21" t="s">
        <v>252</v>
      </c>
      <c r="D21" t="s">
        <v>253</v>
      </c>
      <c r="E21">
        <v>2023</v>
      </c>
      <c r="F21" t="s">
        <v>1897</v>
      </c>
      <c r="G21" t="s">
        <v>51</v>
      </c>
      <c r="I21" t="s">
        <v>51</v>
      </c>
      <c r="L21">
        <v>1</v>
      </c>
      <c r="M21" t="s">
        <v>254</v>
      </c>
      <c r="N21" t="s">
        <v>255</v>
      </c>
      <c r="O21" t="s">
        <v>256</v>
      </c>
      <c r="P21" t="s">
        <v>115</v>
      </c>
      <c r="Q21" t="s">
        <v>49</v>
      </c>
      <c r="R21" t="s">
        <v>50</v>
      </c>
      <c r="S21" t="s">
        <v>51</v>
      </c>
      <c r="T21" t="s">
        <v>52</v>
      </c>
      <c r="U21" t="s">
        <v>257</v>
      </c>
      <c r="V21">
        <f t="shared" si="0"/>
        <v>0</v>
      </c>
      <c r="Y21" s="11" t="str">
        <f t="shared" si="1"/>
        <v>SWaP: A Water Process Testbed for ICS Security Research</v>
      </c>
    </row>
    <row r="22" spans="1:25">
      <c r="A22" t="s">
        <v>1898</v>
      </c>
      <c r="B22" t="s">
        <v>1899</v>
      </c>
      <c r="C22" t="s">
        <v>1900</v>
      </c>
      <c r="D22" t="s">
        <v>1629</v>
      </c>
      <c r="E22">
        <v>2022</v>
      </c>
      <c r="F22" t="s">
        <v>260</v>
      </c>
      <c r="G22" t="s">
        <v>261</v>
      </c>
      <c r="I22" t="s">
        <v>51</v>
      </c>
      <c r="L22">
        <v>5</v>
      </c>
      <c r="M22" t="s">
        <v>1633</v>
      </c>
      <c r="N22" t="s">
        <v>1901</v>
      </c>
      <c r="O22" t="s">
        <v>1902</v>
      </c>
      <c r="P22" t="s">
        <v>115</v>
      </c>
      <c r="Q22" t="s">
        <v>49</v>
      </c>
      <c r="R22" t="s">
        <v>50</v>
      </c>
      <c r="S22" t="s">
        <v>51</v>
      </c>
      <c r="T22" t="s">
        <v>52</v>
      </c>
      <c r="U22" t="s">
        <v>1903</v>
      </c>
      <c r="V22">
        <f t="shared" si="0"/>
        <v>0</v>
      </c>
      <c r="Y22" s="11" t="str">
        <f t="shared" si="1"/>
        <v>Towards Performance Benchmarking of Cyclic OPC UA PubSub over TSN</v>
      </c>
    </row>
    <row r="23" spans="1:25">
      <c r="A23" t="s">
        <v>1904</v>
      </c>
      <c r="B23" t="s">
        <v>1905</v>
      </c>
      <c r="C23" t="s">
        <v>1906</v>
      </c>
      <c r="D23" t="s">
        <v>591</v>
      </c>
      <c r="E23">
        <v>2022</v>
      </c>
      <c r="F23" t="s">
        <v>594</v>
      </c>
      <c r="G23" t="s">
        <v>1616</v>
      </c>
      <c r="H23">
        <v>4</v>
      </c>
      <c r="I23" t="s">
        <v>51</v>
      </c>
      <c r="J23">
        <v>2396</v>
      </c>
      <c r="K23">
        <v>2404</v>
      </c>
      <c r="L23">
        <v>2</v>
      </c>
      <c r="M23" t="s">
        <v>599</v>
      </c>
      <c r="N23" t="s">
        <v>1907</v>
      </c>
      <c r="O23" t="s">
        <v>1908</v>
      </c>
      <c r="P23" t="s">
        <v>115</v>
      </c>
      <c r="Q23" t="s">
        <v>55</v>
      </c>
      <c r="R23" t="s">
        <v>50</v>
      </c>
      <c r="S23" t="s">
        <v>51</v>
      </c>
      <c r="T23" t="s">
        <v>52</v>
      </c>
      <c r="U23" t="s">
        <v>1909</v>
      </c>
      <c r="V23">
        <f t="shared" si="0"/>
        <v>8</v>
      </c>
      <c r="Y23" s="11" t="str">
        <f t="shared" si="1"/>
        <v>Security and Effectiveness Analysis of the Gateway Integrity Checking Protocol</v>
      </c>
    </row>
    <row r="24" spans="1:25">
      <c r="A24" t="s">
        <v>262</v>
      </c>
      <c r="B24" t="s">
        <v>263</v>
      </c>
      <c r="C24" t="s">
        <v>264</v>
      </c>
      <c r="D24" t="s">
        <v>265</v>
      </c>
      <c r="E24">
        <v>2021</v>
      </c>
      <c r="F24" t="s">
        <v>266</v>
      </c>
      <c r="G24" t="s">
        <v>51</v>
      </c>
      <c r="I24" t="s">
        <v>51</v>
      </c>
      <c r="J24">
        <v>849</v>
      </c>
      <c r="K24">
        <v>860</v>
      </c>
      <c r="L24">
        <v>19</v>
      </c>
      <c r="M24" t="s">
        <v>267</v>
      </c>
      <c r="N24" t="s">
        <v>268</v>
      </c>
      <c r="O24" t="s">
        <v>269</v>
      </c>
      <c r="P24" t="s">
        <v>166</v>
      </c>
      <c r="Q24" t="s">
        <v>49</v>
      </c>
      <c r="R24" t="s">
        <v>50</v>
      </c>
      <c r="S24" t="s">
        <v>69</v>
      </c>
      <c r="T24" t="s">
        <v>52</v>
      </c>
      <c r="U24" t="s">
        <v>270</v>
      </c>
      <c r="V24">
        <f t="shared" si="0"/>
        <v>11</v>
      </c>
      <c r="Y24" s="11" t="str">
        <f t="shared" si="1"/>
        <v>ICS3Fuzzer: A Framework for Discovering Protocol Implementation Bugs in ICS Supervisory Software by Fuzzing</v>
      </c>
    </row>
    <row r="25" spans="1:25">
      <c r="A25" t="s">
        <v>271</v>
      </c>
      <c r="B25" t="s">
        <v>272</v>
      </c>
      <c r="C25" t="s">
        <v>273</v>
      </c>
      <c r="D25" t="s">
        <v>274</v>
      </c>
      <c r="E25">
        <v>2021</v>
      </c>
      <c r="F25" t="s">
        <v>220</v>
      </c>
      <c r="G25" t="s">
        <v>275</v>
      </c>
      <c r="H25">
        <v>11</v>
      </c>
      <c r="I25" t="s">
        <v>276</v>
      </c>
      <c r="L25">
        <v>100</v>
      </c>
      <c r="M25" t="s">
        <v>277</v>
      </c>
      <c r="N25" t="s">
        <v>278</v>
      </c>
      <c r="O25" t="s">
        <v>279</v>
      </c>
      <c r="P25" t="s">
        <v>280</v>
      </c>
      <c r="Q25" t="s">
        <v>55</v>
      </c>
      <c r="R25" t="s">
        <v>50</v>
      </c>
      <c r="S25" t="s">
        <v>81</v>
      </c>
      <c r="T25" t="s">
        <v>52</v>
      </c>
      <c r="U25" t="s">
        <v>281</v>
      </c>
      <c r="V25">
        <f t="shared" si="0"/>
        <v>0</v>
      </c>
      <c r="Y25" s="11" t="str">
        <f t="shared" si="1"/>
        <v>A performance analysis of internet of things networking protocols: Evaluating MQTT, CoAP, OPC UA</v>
      </c>
    </row>
    <row r="26" spans="1:25">
      <c r="A26" t="s">
        <v>282</v>
      </c>
      <c r="B26" t="s">
        <v>283</v>
      </c>
      <c r="C26" t="s">
        <v>284</v>
      </c>
      <c r="D26" t="s">
        <v>285</v>
      </c>
      <c r="E26">
        <v>2021</v>
      </c>
      <c r="F26" t="s">
        <v>134</v>
      </c>
      <c r="G26" t="s">
        <v>286</v>
      </c>
      <c r="H26">
        <v>7</v>
      </c>
      <c r="I26" t="s">
        <v>287</v>
      </c>
      <c r="J26">
        <v>5558</v>
      </c>
      <c r="K26">
        <v>5573</v>
      </c>
      <c r="L26">
        <v>55</v>
      </c>
      <c r="M26" t="s">
        <v>288</v>
      </c>
      <c r="N26" t="s">
        <v>289</v>
      </c>
      <c r="O26" t="s">
        <v>290</v>
      </c>
      <c r="P26" t="s">
        <v>115</v>
      </c>
      <c r="Q26" t="s">
        <v>55</v>
      </c>
      <c r="R26" t="s">
        <v>50</v>
      </c>
      <c r="S26" t="s">
        <v>167</v>
      </c>
      <c r="T26" t="s">
        <v>52</v>
      </c>
      <c r="U26" t="s">
        <v>291</v>
      </c>
      <c r="V26">
        <f t="shared" si="0"/>
        <v>15</v>
      </c>
      <c r="Y26" s="11" t="str">
        <f t="shared" si="1"/>
        <v>Developing a security testbed for industrial internet of things</v>
      </c>
    </row>
    <row r="27" spans="1:25">
      <c r="A27" t="s">
        <v>1910</v>
      </c>
      <c r="B27" t="s">
        <v>1911</v>
      </c>
      <c r="C27" t="s">
        <v>1912</v>
      </c>
      <c r="D27" t="s">
        <v>1913</v>
      </c>
      <c r="E27">
        <v>2021</v>
      </c>
      <c r="F27" t="s">
        <v>1914</v>
      </c>
      <c r="G27" t="s">
        <v>1915</v>
      </c>
      <c r="H27">
        <v>1</v>
      </c>
      <c r="I27" t="s">
        <v>51</v>
      </c>
      <c r="J27">
        <v>167</v>
      </c>
      <c r="K27">
        <v>174</v>
      </c>
      <c r="L27">
        <v>3</v>
      </c>
      <c r="M27" t="s">
        <v>1916</v>
      </c>
      <c r="N27" t="s">
        <v>1917</v>
      </c>
      <c r="O27" t="s">
        <v>1918</v>
      </c>
      <c r="P27" t="s">
        <v>1919</v>
      </c>
      <c r="Q27" t="s">
        <v>55</v>
      </c>
      <c r="R27" t="s">
        <v>50</v>
      </c>
      <c r="S27" t="s">
        <v>51</v>
      </c>
      <c r="T27" t="s">
        <v>52</v>
      </c>
      <c r="U27" t="s">
        <v>1920</v>
      </c>
      <c r="V27">
        <f t="shared" si="0"/>
        <v>7</v>
      </c>
      <c r="Y27" s="11" t="str">
        <f t="shared" si="1"/>
        <v>Security Transformation Technology for Electricity Metering Communication Protocol; 电能计量用通信规约安全改造技术</v>
      </c>
    </row>
    <row r="28" spans="1:25">
      <c r="A28" t="s">
        <v>292</v>
      </c>
      <c r="B28" t="s">
        <v>293</v>
      </c>
      <c r="C28" t="s">
        <v>294</v>
      </c>
      <c r="D28" t="s">
        <v>295</v>
      </c>
      <c r="E28">
        <v>2021</v>
      </c>
      <c r="F28" t="s">
        <v>1921</v>
      </c>
      <c r="G28" t="s">
        <v>51</v>
      </c>
      <c r="I28" t="s">
        <v>51</v>
      </c>
      <c r="J28">
        <v>45</v>
      </c>
      <c r="K28">
        <v>50</v>
      </c>
      <c r="L28">
        <v>5</v>
      </c>
      <c r="M28" t="s">
        <v>296</v>
      </c>
      <c r="N28" t="s">
        <v>297</v>
      </c>
      <c r="O28" t="s">
        <v>298</v>
      </c>
      <c r="P28" t="s">
        <v>115</v>
      </c>
      <c r="Q28" t="s">
        <v>49</v>
      </c>
      <c r="R28" t="s">
        <v>50</v>
      </c>
      <c r="S28" t="s">
        <v>51</v>
      </c>
      <c r="T28" t="s">
        <v>52</v>
      </c>
      <c r="U28" t="s">
        <v>299</v>
      </c>
      <c r="V28">
        <f t="shared" si="0"/>
        <v>5</v>
      </c>
      <c r="Y28" s="11" t="str">
        <f t="shared" si="1"/>
        <v>Implementation of Cyber-Physical Systems with Modbus Communication for Security Studies</v>
      </c>
    </row>
    <row r="29" spans="1:25">
      <c r="A29" t="s">
        <v>1922</v>
      </c>
      <c r="B29" t="s">
        <v>1923</v>
      </c>
      <c r="C29" t="s">
        <v>1924</v>
      </c>
      <c r="D29" t="s">
        <v>1925</v>
      </c>
      <c r="E29">
        <v>2021</v>
      </c>
      <c r="F29" t="s">
        <v>1926</v>
      </c>
      <c r="G29" t="s">
        <v>1927</v>
      </c>
      <c r="I29" t="s">
        <v>51</v>
      </c>
      <c r="J29">
        <v>736</v>
      </c>
      <c r="K29">
        <v>755</v>
      </c>
      <c r="L29">
        <v>0</v>
      </c>
      <c r="M29" t="s">
        <v>1928</v>
      </c>
      <c r="N29" t="s">
        <v>1929</v>
      </c>
      <c r="O29" t="s">
        <v>1930</v>
      </c>
      <c r="P29" t="s">
        <v>118</v>
      </c>
      <c r="Q29" t="s">
        <v>49</v>
      </c>
      <c r="R29" t="s">
        <v>50</v>
      </c>
      <c r="S29" t="s">
        <v>51</v>
      </c>
      <c r="T29" t="s">
        <v>52</v>
      </c>
      <c r="U29" t="s">
        <v>1931</v>
      </c>
      <c r="V29">
        <f t="shared" si="0"/>
        <v>19</v>
      </c>
      <c r="Y29" s="11" t="str">
        <f t="shared" si="1"/>
        <v>SCADA Testbed Implementation, Attacks, and Security Solutions</v>
      </c>
    </row>
    <row r="30" spans="1:25">
      <c r="A30" t="s">
        <v>304</v>
      </c>
      <c r="B30" t="s">
        <v>305</v>
      </c>
      <c r="C30" t="s">
        <v>306</v>
      </c>
      <c r="D30" t="s">
        <v>307</v>
      </c>
      <c r="E30">
        <v>2018</v>
      </c>
      <c r="F30" t="s">
        <v>127</v>
      </c>
      <c r="G30" t="s">
        <v>308</v>
      </c>
      <c r="H30">
        <v>5</v>
      </c>
      <c r="I30" t="s">
        <v>51</v>
      </c>
      <c r="J30">
        <v>2159</v>
      </c>
      <c r="K30">
        <v>2170</v>
      </c>
      <c r="L30">
        <v>45</v>
      </c>
      <c r="M30" t="s">
        <v>309</v>
      </c>
      <c r="N30" t="s">
        <v>310</v>
      </c>
      <c r="O30" t="s">
        <v>311</v>
      </c>
      <c r="P30" t="s">
        <v>312</v>
      </c>
      <c r="Q30" t="s">
        <v>55</v>
      </c>
      <c r="R30" t="s">
        <v>50</v>
      </c>
      <c r="S30" t="s">
        <v>51</v>
      </c>
      <c r="T30" t="s">
        <v>52</v>
      </c>
      <c r="U30" t="s">
        <v>313</v>
      </c>
      <c r="V30">
        <f t="shared" si="0"/>
        <v>11</v>
      </c>
      <c r="Y30" s="11" t="str">
        <f t="shared" si="1"/>
        <v>Performance Evaluation and Modeling of an Industrial Application-Layer Firewall</v>
      </c>
    </row>
    <row r="31" spans="1:25">
      <c r="A31" t="s">
        <v>314</v>
      </c>
      <c r="B31" t="s">
        <v>315</v>
      </c>
      <c r="C31" t="s">
        <v>316</v>
      </c>
      <c r="D31" t="s">
        <v>317</v>
      </c>
      <c r="E31">
        <v>2017</v>
      </c>
      <c r="F31" t="s">
        <v>1932</v>
      </c>
      <c r="G31" t="s">
        <v>318</v>
      </c>
      <c r="I31" t="s">
        <v>319</v>
      </c>
      <c r="J31">
        <v>70</v>
      </c>
      <c r="K31">
        <v>77</v>
      </c>
      <c r="L31">
        <v>8</v>
      </c>
      <c r="M31" t="s">
        <v>320</v>
      </c>
      <c r="N31" t="s">
        <v>321</v>
      </c>
      <c r="O31" t="s">
        <v>322</v>
      </c>
      <c r="P31" t="s">
        <v>129</v>
      </c>
      <c r="Q31" t="s">
        <v>49</v>
      </c>
      <c r="R31" t="s">
        <v>50</v>
      </c>
      <c r="S31" t="s">
        <v>51</v>
      </c>
      <c r="T31" t="s">
        <v>52</v>
      </c>
      <c r="U31" t="s">
        <v>323</v>
      </c>
      <c r="V31">
        <f t="shared" si="0"/>
        <v>7</v>
      </c>
      <c r="Y31" s="11" t="str">
        <f t="shared" si="1"/>
        <v>End-to-End Delay Evaluation of Industrial Automation Systems Based on EtherCAT</v>
      </c>
    </row>
    <row r="32" spans="1:25">
      <c r="A32" t="s">
        <v>2342</v>
      </c>
      <c r="B32" t="s">
        <v>2343</v>
      </c>
      <c r="C32" t="s">
        <v>2344</v>
      </c>
      <c r="D32" t="s">
        <v>2261</v>
      </c>
      <c r="E32">
        <v>2023</v>
      </c>
      <c r="F32" t="s">
        <v>2345</v>
      </c>
      <c r="G32">
        <v>44927</v>
      </c>
      <c r="H32" t="s">
        <v>51</v>
      </c>
      <c r="I32" t="s">
        <v>51</v>
      </c>
      <c r="L32">
        <v>4</v>
      </c>
      <c r="M32" t="s">
        <v>2268</v>
      </c>
      <c r="N32" t="s">
        <v>2346</v>
      </c>
      <c r="O32" t="s">
        <v>2347</v>
      </c>
      <c r="P32" t="s">
        <v>115</v>
      </c>
      <c r="Q32" t="s">
        <v>49</v>
      </c>
      <c r="R32" t="s">
        <v>50</v>
      </c>
      <c r="S32" t="s">
        <v>51</v>
      </c>
      <c r="T32" t="s">
        <v>52</v>
      </c>
      <c r="U32" t="s">
        <v>2348</v>
      </c>
      <c r="V32">
        <f t="shared" si="0"/>
        <v>0</v>
      </c>
      <c r="Y32" s="11" t="str">
        <f t="shared" si="1"/>
        <v>A Testbed for Evaluating Performance and Cybersecurity Implications of IEC-61850 GOOSE Hardware Implementations</v>
      </c>
    </row>
    <row r="33" spans="1:25">
      <c r="A33" t="s">
        <v>2349</v>
      </c>
      <c r="B33" t="s">
        <v>2350</v>
      </c>
      <c r="C33" t="s">
        <v>2351</v>
      </c>
      <c r="D33" t="s">
        <v>2352</v>
      </c>
      <c r="E33">
        <v>2025</v>
      </c>
      <c r="F33" t="s">
        <v>2353</v>
      </c>
      <c r="H33" t="s">
        <v>51</v>
      </c>
      <c r="I33" t="s">
        <v>51</v>
      </c>
      <c r="J33">
        <v>104</v>
      </c>
      <c r="K33">
        <v>114</v>
      </c>
      <c r="L33">
        <v>0</v>
      </c>
      <c r="M33" t="s">
        <v>2354</v>
      </c>
      <c r="N33" t="s">
        <v>2355</v>
      </c>
      <c r="O33" t="s">
        <v>2356</v>
      </c>
      <c r="P33" t="s">
        <v>2357</v>
      </c>
      <c r="Q33" t="s">
        <v>49</v>
      </c>
      <c r="R33" t="s">
        <v>50</v>
      </c>
      <c r="S33" t="s">
        <v>51</v>
      </c>
      <c r="T33" t="s">
        <v>52</v>
      </c>
      <c r="U33" t="s">
        <v>2358</v>
      </c>
      <c r="V33">
        <f t="shared" si="0"/>
        <v>10</v>
      </c>
      <c r="Y33" s="11" t="str">
        <f t="shared" si="1"/>
        <v>Integrity Enhancing Protocols: Performance and Recommendations for Nuclear Systems</v>
      </c>
    </row>
    <row r="34" spans="1:25">
      <c r="Y34" s="11"/>
    </row>
    <row r="35" spans="1:25">
      <c r="Y35" s="11"/>
    </row>
    <row r="36" spans="1:25">
      <c r="Y36" s="11"/>
    </row>
    <row r="37" spans="1:25">
      <c r="Y37" s="11"/>
    </row>
    <row r="38" spans="1:25">
      <c r="Y38" s="11"/>
    </row>
    <row r="39" spans="1:25">
      <c r="Y39" s="11"/>
    </row>
    <row r="40" spans="1:25">
      <c r="Y40" s="11"/>
    </row>
    <row r="41" spans="1:25">
      <c r="Y41" s="11"/>
    </row>
    <row r="42" spans="1:25">
      <c r="Y42" s="11"/>
    </row>
    <row r="43" spans="1:25">
      <c r="Y43" s="11"/>
    </row>
    <row r="44" spans="1:25">
      <c r="Y44" s="11"/>
    </row>
    <row r="45" spans="1:25">
      <c r="Y45" s="11"/>
    </row>
    <row r="46" spans="1:25">
      <c r="Y46" s="11"/>
    </row>
    <row r="47" spans="1:25">
      <c r="Y47" s="11"/>
    </row>
    <row r="48" spans="1:25">
      <c r="Y48" s="11"/>
    </row>
    <row r="49" spans="25:25">
      <c r="Y49" s="11"/>
    </row>
    <row r="50" spans="25:25">
      <c r="Y50" s="11"/>
    </row>
    <row r="51" spans="25:25">
      <c r="Y51" s="11"/>
    </row>
    <row r="52" spans="25:25">
      <c r="Y52" s="11"/>
    </row>
    <row r="53" spans="25:25">
      <c r="Y53" s="11"/>
    </row>
    <row r="54" spans="25:25">
      <c r="Y54" s="11"/>
    </row>
    <row r="55" spans="25:25">
      <c r="Y55" s="11"/>
    </row>
    <row r="56" spans="25:25">
      <c r="Y56" s="11"/>
    </row>
    <row r="57" spans="25:25">
      <c r="Y57" s="11"/>
    </row>
    <row r="58" spans="25:25">
      <c r="Y58" s="11"/>
    </row>
    <row r="59" spans="25:25">
      <c r="Y59" s="11"/>
    </row>
    <row r="60" spans="25:25">
      <c r="Y60" s="11"/>
    </row>
    <row r="61" spans="25:25">
      <c r="Y61" s="11"/>
    </row>
    <row r="62" spans="25:25">
      <c r="Y62" s="11"/>
    </row>
    <row r="63" spans="25:25">
      <c r="Y63" s="11"/>
    </row>
    <row r="64" spans="25:25">
      <c r="Y64" s="11"/>
    </row>
    <row r="65" spans="25:25">
      <c r="Y65" s="11"/>
    </row>
    <row r="66" spans="25:25">
      <c r="Y66" s="11"/>
    </row>
    <row r="67" spans="25:25">
      <c r="Y67" s="11"/>
    </row>
    <row r="68" spans="25:25">
      <c r="Y68" s="11"/>
    </row>
    <row r="69" spans="25:25">
      <c r="Y69" s="11"/>
    </row>
    <row r="70" spans="25:25">
      <c r="Y70" s="11"/>
    </row>
    <row r="71" spans="25:25">
      <c r="Y71" s="11"/>
    </row>
    <row r="72" spans="25:25">
      <c r="Y72" s="11"/>
    </row>
    <row r="73" spans="25:25">
      <c r="Y73" s="11"/>
    </row>
    <row r="74" spans="25:25">
      <c r="Y74" s="11"/>
    </row>
    <row r="75" spans="25:25">
      <c r="Y75" s="11"/>
    </row>
    <row r="76" spans="25:25">
      <c r="Y76" s="11"/>
    </row>
    <row r="77" spans="25:25">
      <c r="Y77" s="11"/>
    </row>
    <row r="78" spans="25:25">
      <c r="Y78" s="11"/>
    </row>
    <row r="79" spans="25:25">
      <c r="Y79" s="11"/>
    </row>
    <row r="80" spans="25:25">
      <c r="Y80" s="11"/>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DE674-1344-4AA3-8408-46B42FAEA153}">
  <dimension ref="A1:CC46"/>
  <sheetViews>
    <sheetView topLeftCell="AX1" workbookViewId="0">
      <selection activeCell="BE2" sqref="BE2:BE19"/>
    </sheetView>
  </sheetViews>
  <sheetFormatPr defaultRowHeight="12.75"/>
  <sheetData>
    <row r="1" spans="1:81">
      <c r="A1" s="31" t="s">
        <v>1167</v>
      </c>
      <c r="B1" s="31" t="s">
        <v>29</v>
      </c>
      <c r="C1" s="31" t="s">
        <v>1168</v>
      </c>
      <c r="D1" s="31" t="s">
        <v>1169</v>
      </c>
      <c r="E1" s="31" t="s">
        <v>1170</v>
      </c>
      <c r="F1" s="31" t="s">
        <v>1171</v>
      </c>
      <c r="G1" s="31" t="s">
        <v>1172</v>
      </c>
      <c r="H1" s="31" t="s">
        <v>1173</v>
      </c>
      <c r="I1" s="31" t="s">
        <v>1174</v>
      </c>
      <c r="J1" s="31" t="s">
        <v>1175</v>
      </c>
      <c r="K1" s="31" t="s">
        <v>1176</v>
      </c>
      <c r="L1" s="31" t="s">
        <v>1177</v>
      </c>
      <c r="M1" s="31" t="s">
        <v>1178</v>
      </c>
      <c r="N1" s="31" t="s">
        <v>44</v>
      </c>
      <c r="O1" s="31" t="s">
        <v>1179</v>
      </c>
      <c r="P1" s="31" t="s">
        <v>1180</v>
      </c>
      <c r="Q1" s="31" t="s">
        <v>1181</v>
      </c>
      <c r="R1" s="31" t="s">
        <v>1182</v>
      </c>
      <c r="S1" s="31" t="s">
        <v>1183</v>
      </c>
      <c r="T1" s="31" t="s">
        <v>344</v>
      </c>
      <c r="U1" s="31" t="s">
        <v>1184</v>
      </c>
      <c r="V1" s="31" t="s">
        <v>42</v>
      </c>
      <c r="W1" s="31" t="s">
        <v>1185</v>
      </c>
      <c r="X1" s="31" t="s">
        <v>1186</v>
      </c>
      <c r="Y1" s="31" t="s">
        <v>1187</v>
      </c>
      <c r="Z1" s="31" t="s">
        <v>1188</v>
      </c>
      <c r="AA1" s="31" t="s">
        <v>1189</v>
      </c>
      <c r="AB1" s="31" t="s">
        <v>1190</v>
      </c>
      <c r="AC1" s="31" t="s">
        <v>1191</v>
      </c>
      <c r="AD1" s="31" t="s">
        <v>1192</v>
      </c>
      <c r="AE1" s="31" t="s">
        <v>1193</v>
      </c>
      <c r="AF1" s="31" t="s">
        <v>1194</v>
      </c>
      <c r="AG1" s="31" t="s">
        <v>1195</v>
      </c>
      <c r="AH1" s="31" t="s">
        <v>1196</v>
      </c>
      <c r="AI1" s="31" t="s">
        <v>1197</v>
      </c>
      <c r="AJ1" s="31" t="s">
        <v>1198</v>
      </c>
      <c r="AK1" s="31" t="s">
        <v>1199</v>
      </c>
      <c r="AL1" s="31" t="s">
        <v>43</v>
      </c>
      <c r="AM1" s="31" t="s">
        <v>1200</v>
      </c>
      <c r="AN1" s="31" t="s">
        <v>1201</v>
      </c>
      <c r="AO1" s="31" t="s">
        <v>340</v>
      </c>
      <c r="AP1" s="31" t="s">
        <v>1202</v>
      </c>
      <c r="AQ1" s="31" t="s">
        <v>1203</v>
      </c>
      <c r="AR1" s="31" t="s">
        <v>1204</v>
      </c>
      <c r="AS1" s="31" t="s">
        <v>1205</v>
      </c>
      <c r="AT1" s="31" t="s">
        <v>1206</v>
      </c>
      <c r="AU1" s="31" t="s">
        <v>337</v>
      </c>
      <c r="AV1" s="31" t="s">
        <v>34</v>
      </c>
      <c r="AW1" s="31" t="s">
        <v>35</v>
      </c>
      <c r="AX1" s="31" t="s">
        <v>1207</v>
      </c>
      <c r="AY1" s="31" t="s">
        <v>1208</v>
      </c>
      <c r="AZ1" s="31" t="s">
        <v>1209</v>
      </c>
      <c r="BA1" s="31" t="s">
        <v>1210</v>
      </c>
      <c r="BB1" s="31" t="s">
        <v>338</v>
      </c>
      <c r="BC1" s="31" t="s">
        <v>339</v>
      </c>
      <c r="BD1" s="31" t="s">
        <v>1211</v>
      </c>
      <c r="BE1" s="31" t="s">
        <v>40</v>
      </c>
      <c r="BF1" s="31" t="s">
        <v>1212</v>
      </c>
      <c r="BG1" s="31" t="s">
        <v>1213</v>
      </c>
      <c r="BH1" s="31" t="s">
        <v>1214</v>
      </c>
      <c r="BI1" s="31" t="s">
        <v>1215</v>
      </c>
      <c r="BJ1" s="31" t="s">
        <v>1216</v>
      </c>
      <c r="BK1" s="31" t="s">
        <v>1217</v>
      </c>
      <c r="BL1" s="31" t="s">
        <v>1218</v>
      </c>
      <c r="BM1" s="31" t="s">
        <v>1219</v>
      </c>
      <c r="BN1" s="31" t="s">
        <v>1220</v>
      </c>
      <c r="BO1" s="31" t="s">
        <v>1221</v>
      </c>
      <c r="BP1" s="31" t="s">
        <v>1222</v>
      </c>
      <c r="BQ1" s="31" t="s">
        <v>1223</v>
      </c>
      <c r="BR1" s="31" t="s">
        <v>1224</v>
      </c>
      <c r="BS1" s="31" t="s">
        <v>1225</v>
      </c>
      <c r="BT1" s="31" t="s">
        <v>1226</v>
      </c>
      <c r="BW1" t="s">
        <v>1165</v>
      </c>
      <c r="CC1" t="s">
        <v>1400</v>
      </c>
    </row>
    <row r="2" spans="1:81">
      <c r="A2" s="31" t="s">
        <v>1227</v>
      </c>
      <c r="B2" s="31" t="s">
        <v>1228</v>
      </c>
      <c r="C2" s="31" t="s">
        <v>51</v>
      </c>
      <c r="D2" s="31" t="s">
        <v>51</v>
      </c>
      <c r="E2" s="31" t="s">
        <v>51</v>
      </c>
      <c r="F2" s="31" t="s">
        <v>1229</v>
      </c>
      <c r="G2" s="31" t="s">
        <v>51</v>
      </c>
      <c r="H2" s="31" t="s">
        <v>51</v>
      </c>
      <c r="I2" s="31" t="s">
        <v>203</v>
      </c>
      <c r="J2" s="31" t="s">
        <v>1230</v>
      </c>
      <c r="K2" s="31" t="s">
        <v>51</v>
      </c>
      <c r="L2" s="31" t="s">
        <v>51</v>
      </c>
      <c r="M2" s="31" t="s">
        <v>51</v>
      </c>
      <c r="N2" s="31" t="s">
        <v>51</v>
      </c>
      <c r="O2" s="31" t="s">
        <v>51</v>
      </c>
      <c r="P2" s="31" t="s">
        <v>51</v>
      </c>
      <c r="Q2" s="31" t="s">
        <v>51</v>
      </c>
      <c r="R2" s="31" t="s">
        <v>51</v>
      </c>
      <c r="S2" s="31" t="s">
        <v>51</v>
      </c>
      <c r="T2" s="31" t="s">
        <v>51</v>
      </c>
      <c r="U2" s="31" t="s">
        <v>51</v>
      </c>
      <c r="V2" s="31" t="s">
        <v>1933</v>
      </c>
      <c r="W2" s="31" t="s">
        <v>51</v>
      </c>
      <c r="X2" s="31" t="s">
        <v>51</v>
      </c>
      <c r="Y2" s="31" t="s">
        <v>51</v>
      </c>
      <c r="Z2" s="31" t="s">
        <v>51</v>
      </c>
      <c r="AA2" s="31" t="s">
        <v>51</v>
      </c>
      <c r="AB2" s="31" t="s">
        <v>1231</v>
      </c>
      <c r="AC2" s="31" t="s">
        <v>51</v>
      </c>
      <c r="AD2" s="31" t="s">
        <v>51</v>
      </c>
      <c r="AE2" s="31" t="s">
        <v>51</v>
      </c>
      <c r="AF2" s="31" t="s">
        <v>51</v>
      </c>
      <c r="AG2" s="31" t="s">
        <v>51</v>
      </c>
      <c r="AH2" s="31" t="s">
        <v>51</v>
      </c>
      <c r="AI2" s="31" t="s">
        <v>51</v>
      </c>
      <c r="AJ2" s="31" t="s">
        <v>51</v>
      </c>
      <c r="AK2" s="31" t="s">
        <v>51</v>
      </c>
      <c r="AL2" s="31" t="s">
        <v>51</v>
      </c>
      <c r="AM2" s="31" t="s">
        <v>51</v>
      </c>
      <c r="AN2" s="31" t="s">
        <v>51</v>
      </c>
      <c r="AO2" s="31" t="s">
        <v>1232</v>
      </c>
      <c r="AP2" s="31" t="s">
        <v>1233</v>
      </c>
      <c r="AQ2" s="31" t="s">
        <v>51</v>
      </c>
      <c r="AR2" s="31" t="s">
        <v>51</v>
      </c>
      <c r="AS2" s="31" t="s">
        <v>51</v>
      </c>
      <c r="AT2" s="31" t="s">
        <v>1234</v>
      </c>
      <c r="AU2" s="31">
        <v>2023</v>
      </c>
      <c r="AV2" s="31">
        <v>132</v>
      </c>
      <c r="AW2" s="31" t="s">
        <v>51</v>
      </c>
      <c r="AX2" s="31" t="s">
        <v>51</v>
      </c>
      <c r="AY2" s="31" t="s">
        <v>51</v>
      </c>
      <c r="AZ2" s="31" t="s">
        <v>51</v>
      </c>
      <c r="BA2" s="31" t="s">
        <v>51</v>
      </c>
      <c r="BB2" s="31" t="s">
        <v>51</v>
      </c>
      <c r="BC2" s="31" t="s">
        <v>51</v>
      </c>
      <c r="BD2" s="31">
        <v>103131</v>
      </c>
      <c r="BE2" s="31" t="s">
        <v>206</v>
      </c>
      <c r="BF2" s="31">
        <v>0</v>
      </c>
      <c r="BG2" s="31" t="s">
        <v>51</v>
      </c>
      <c r="BH2" s="31" t="s">
        <v>1235</v>
      </c>
      <c r="BI2" s="31" t="s">
        <v>51</v>
      </c>
      <c r="BJ2" s="31" t="s">
        <v>51</v>
      </c>
      <c r="BK2" s="31" t="s">
        <v>51</v>
      </c>
      <c r="BL2" s="31" t="s">
        <v>51</v>
      </c>
      <c r="BM2" s="31" t="s">
        <v>51</v>
      </c>
      <c r="BN2" s="31" t="s">
        <v>51</v>
      </c>
      <c r="BO2" s="31" t="s">
        <v>51</v>
      </c>
      <c r="BP2" s="31" t="s">
        <v>51</v>
      </c>
      <c r="BQ2" s="31" t="s">
        <v>51</v>
      </c>
      <c r="BR2" s="31" t="s">
        <v>51</v>
      </c>
      <c r="BS2" s="31" t="s">
        <v>1236</v>
      </c>
      <c r="BT2" s="31">
        <v>0</v>
      </c>
      <c r="BW2">
        <f>IFERROR($BC2-$BB2,0)</f>
        <v>0</v>
      </c>
      <c r="CC2" s="11" t="str">
        <f>HYPERLINK($BF2, $I2)</f>
        <v>SEAG: A novel dynamic security risk assessment method for industrial control systems with consideration of social engineering</v>
      </c>
    </row>
    <row r="3" spans="1:81">
      <c r="A3" s="31" t="s">
        <v>1227</v>
      </c>
      <c r="B3" s="31" t="s">
        <v>1276</v>
      </c>
      <c r="C3" s="31" t="s">
        <v>51</v>
      </c>
      <c r="D3" s="31" t="s">
        <v>51</v>
      </c>
      <c r="E3" s="31" t="s">
        <v>51</v>
      </c>
      <c r="F3" s="31" t="s">
        <v>1277</v>
      </c>
      <c r="G3" s="31" t="s">
        <v>51</v>
      </c>
      <c r="H3" s="31" t="s">
        <v>51</v>
      </c>
      <c r="I3" s="31" t="s">
        <v>427</v>
      </c>
      <c r="J3" s="31" t="s">
        <v>1278</v>
      </c>
      <c r="K3" s="31" t="s">
        <v>51</v>
      </c>
      <c r="L3" s="31" t="s">
        <v>51</v>
      </c>
      <c r="M3" s="31" t="s">
        <v>51</v>
      </c>
      <c r="N3" s="31" t="s">
        <v>51</v>
      </c>
      <c r="O3" s="31" t="s">
        <v>51</v>
      </c>
      <c r="P3" s="31" t="s">
        <v>51</v>
      </c>
      <c r="Q3" s="31" t="s">
        <v>51</v>
      </c>
      <c r="R3" s="31" t="s">
        <v>51</v>
      </c>
      <c r="S3" s="31" t="s">
        <v>51</v>
      </c>
      <c r="T3" s="31" t="s">
        <v>51</v>
      </c>
      <c r="U3" s="31" t="s">
        <v>51</v>
      </c>
      <c r="V3" s="31" t="s">
        <v>432</v>
      </c>
      <c r="W3" s="31" t="s">
        <v>51</v>
      </c>
      <c r="X3" s="31" t="s">
        <v>51</v>
      </c>
      <c r="Y3" s="31" t="s">
        <v>51</v>
      </c>
      <c r="Z3" s="31" t="s">
        <v>51</v>
      </c>
      <c r="AA3" s="31" t="s">
        <v>1279</v>
      </c>
      <c r="AB3" s="31" t="s">
        <v>1280</v>
      </c>
      <c r="AC3" s="31" t="s">
        <v>51</v>
      </c>
      <c r="AD3" s="31" t="s">
        <v>51</v>
      </c>
      <c r="AE3" s="31" t="s">
        <v>51</v>
      </c>
      <c r="AF3" s="31" t="s">
        <v>51</v>
      </c>
      <c r="AG3" s="31" t="s">
        <v>51</v>
      </c>
      <c r="AH3" s="31" t="s">
        <v>51</v>
      </c>
      <c r="AI3" s="31" t="s">
        <v>51</v>
      </c>
      <c r="AJ3" s="31" t="s">
        <v>51</v>
      </c>
      <c r="AK3" s="31" t="s">
        <v>51</v>
      </c>
      <c r="AL3" s="31" t="s">
        <v>51</v>
      </c>
      <c r="AM3" s="31" t="s">
        <v>51</v>
      </c>
      <c r="AN3" s="31" t="s">
        <v>51</v>
      </c>
      <c r="AO3" s="31" t="s">
        <v>425</v>
      </c>
      <c r="AP3" s="31" t="s">
        <v>51</v>
      </c>
      <c r="AQ3" s="31" t="s">
        <v>51</v>
      </c>
      <c r="AR3" s="31" t="s">
        <v>51</v>
      </c>
      <c r="AS3" s="31" t="s">
        <v>51</v>
      </c>
      <c r="AT3" s="31" t="s">
        <v>1281</v>
      </c>
      <c r="AU3" s="31">
        <v>2021</v>
      </c>
      <c r="AV3" s="31">
        <v>8</v>
      </c>
      <c r="AW3" s="31">
        <v>7</v>
      </c>
      <c r="AX3" s="31" t="s">
        <v>51</v>
      </c>
      <c r="AY3" s="31" t="s">
        <v>51</v>
      </c>
      <c r="AZ3" s="31" t="s">
        <v>51</v>
      </c>
      <c r="BA3" s="31" t="s">
        <v>51</v>
      </c>
      <c r="BB3" s="31">
        <v>5558</v>
      </c>
      <c r="BC3" s="31">
        <v>5573</v>
      </c>
      <c r="BD3" s="31" t="s">
        <v>51</v>
      </c>
      <c r="BE3" s="31" t="s">
        <v>288</v>
      </c>
      <c r="BF3" s="31">
        <v>0</v>
      </c>
      <c r="BG3" s="31" t="s">
        <v>51</v>
      </c>
      <c r="BH3" s="31" t="s">
        <v>51</v>
      </c>
      <c r="BI3" s="31" t="s">
        <v>51</v>
      </c>
      <c r="BJ3" s="31" t="s">
        <v>51</v>
      </c>
      <c r="BK3" s="31" t="s">
        <v>51</v>
      </c>
      <c r="BL3" s="31" t="s">
        <v>51</v>
      </c>
      <c r="BM3" s="31" t="s">
        <v>51</v>
      </c>
      <c r="BN3" s="31" t="s">
        <v>51</v>
      </c>
      <c r="BO3" s="31" t="s">
        <v>51</v>
      </c>
      <c r="BP3" s="31" t="s">
        <v>51</v>
      </c>
      <c r="BQ3" s="31" t="s">
        <v>51</v>
      </c>
      <c r="BR3" s="31" t="s">
        <v>51</v>
      </c>
      <c r="BS3" s="31" t="s">
        <v>1282</v>
      </c>
      <c r="BT3" s="31">
        <v>0</v>
      </c>
      <c r="BW3">
        <f t="shared" ref="BW3:BW19" si="0">IFERROR($BC3-$BB3,0)</f>
        <v>15</v>
      </c>
      <c r="CC3" s="11" t="str">
        <f t="shared" ref="CC3:CC19" si="1">HYPERLINK($BF3, $I3)</f>
        <v>Developing a Security Testbed for Industrial Internet of Things</v>
      </c>
    </row>
    <row r="4" spans="1:81">
      <c r="A4" s="31" t="s">
        <v>1227</v>
      </c>
      <c r="B4" s="31" t="s">
        <v>1238</v>
      </c>
      <c r="C4" s="31" t="s">
        <v>51</v>
      </c>
      <c r="D4" s="31" t="s">
        <v>51</v>
      </c>
      <c r="E4" s="31" t="s">
        <v>51</v>
      </c>
      <c r="F4" s="31" t="s">
        <v>1239</v>
      </c>
      <c r="G4" s="31" t="s">
        <v>51</v>
      </c>
      <c r="H4" s="31" t="s">
        <v>51</v>
      </c>
      <c r="I4" s="31" t="s">
        <v>155</v>
      </c>
      <c r="J4" s="31" t="s">
        <v>1240</v>
      </c>
      <c r="K4" s="31" t="s">
        <v>51</v>
      </c>
      <c r="L4" s="31" t="s">
        <v>51</v>
      </c>
      <c r="M4" s="31" t="s">
        <v>51</v>
      </c>
      <c r="N4" s="31" t="s">
        <v>51</v>
      </c>
      <c r="O4" s="31" t="s">
        <v>51</v>
      </c>
      <c r="P4" s="31" t="s">
        <v>51</v>
      </c>
      <c r="Q4" s="31" t="s">
        <v>51</v>
      </c>
      <c r="R4" s="31" t="s">
        <v>51</v>
      </c>
      <c r="S4" s="31" t="s">
        <v>51</v>
      </c>
      <c r="T4" s="31" t="s">
        <v>51</v>
      </c>
      <c r="U4" s="31" t="s">
        <v>51</v>
      </c>
      <c r="V4" s="31" t="s">
        <v>1934</v>
      </c>
      <c r="W4" s="31" t="s">
        <v>51</v>
      </c>
      <c r="X4" s="31" t="s">
        <v>51</v>
      </c>
      <c r="Y4" s="31" t="s">
        <v>51</v>
      </c>
      <c r="Z4" s="31" t="s">
        <v>51</v>
      </c>
      <c r="AA4" s="31" t="s">
        <v>1241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1242</v>
      </c>
      <c r="AP4" s="31" t="s">
        <v>1243</v>
      </c>
      <c r="AQ4" s="31" t="s">
        <v>51</v>
      </c>
      <c r="AR4" s="31" t="s">
        <v>51</v>
      </c>
      <c r="AS4" s="31" t="s">
        <v>51</v>
      </c>
      <c r="AT4" s="31" t="s">
        <v>1234</v>
      </c>
      <c r="AU4" s="31">
        <v>2024</v>
      </c>
      <c r="AV4" s="31">
        <v>47</v>
      </c>
      <c r="AW4" s="31" t="s">
        <v>51</v>
      </c>
      <c r="AX4" s="31" t="s">
        <v>51</v>
      </c>
      <c r="AY4" s="31" t="s">
        <v>51</v>
      </c>
      <c r="AZ4" s="31" t="s">
        <v>51</v>
      </c>
      <c r="BA4" s="31" t="s">
        <v>51</v>
      </c>
      <c r="BB4" s="31" t="s">
        <v>51</v>
      </c>
      <c r="BC4" s="31" t="s">
        <v>51</v>
      </c>
      <c r="BD4" s="31">
        <v>100705</v>
      </c>
      <c r="BE4" s="31" t="s">
        <v>159</v>
      </c>
      <c r="BF4" s="31">
        <v>0</v>
      </c>
      <c r="BG4" s="31" t="s">
        <v>51</v>
      </c>
      <c r="BH4" s="31" t="s">
        <v>1244</v>
      </c>
      <c r="BI4" s="31" t="s">
        <v>51</v>
      </c>
      <c r="BJ4" s="31" t="s">
        <v>51</v>
      </c>
      <c r="BK4" s="31" t="s">
        <v>51</v>
      </c>
      <c r="BL4" s="31" t="s">
        <v>51</v>
      </c>
      <c r="BM4" s="31" t="s">
        <v>51</v>
      </c>
      <c r="BN4" s="31" t="s">
        <v>51</v>
      </c>
      <c r="BO4" s="31" t="s">
        <v>51</v>
      </c>
      <c r="BP4" s="31" t="s">
        <v>51</v>
      </c>
      <c r="BQ4" s="31" t="s">
        <v>51</v>
      </c>
      <c r="BR4" s="31" t="s">
        <v>51</v>
      </c>
      <c r="BS4" s="31" t="s">
        <v>1245</v>
      </c>
      <c r="BT4" s="31">
        <v>0</v>
      </c>
      <c r="BW4">
        <f t="shared" si="0"/>
        <v>0</v>
      </c>
      <c r="CC4" s="11" t="str">
        <f t="shared" si="1"/>
        <v>Securing industrial control systems: Developing a SCADA/IoT test bench and evaluating lightweight cipher performance on hardware simulator</v>
      </c>
    </row>
    <row r="5" spans="1:81">
      <c r="A5" s="31" t="s">
        <v>1227</v>
      </c>
      <c r="B5" s="31" t="s">
        <v>1315</v>
      </c>
      <c r="C5" s="31" t="s">
        <v>51</v>
      </c>
      <c r="D5" s="31" t="s">
        <v>51</v>
      </c>
      <c r="E5" s="31" t="s">
        <v>51</v>
      </c>
      <c r="F5" s="31" t="s">
        <v>1316</v>
      </c>
      <c r="G5" s="31" t="s">
        <v>51</v>
      </c>
      <c r="H5" s="31" t="s">
        <v>51</v>
      </c>
      <c r="I5" s="31" t="s">
        <v>133</v>
      </c>
      <c r="J5" s="31" t="s">
        <v>1278</v>
      </c>
      <c r="K5" s="31" t="s">
        <v>51</v>
      </c>
      <c r="L5" s="31" t="s">
        <v>51</v>
      </c>
      <c r="M5" s="31" t="s">
        <v>51</v>
      </c>
      <c r="N5" s="31" t="s">
        <v>51</v>
      </c>
      <c r="O5" s="31" t="s">
        <v>51</v>
      </c>
      <c r="P5" s="31" t="s">
        <v>51</v>
      </c>
      <c r="Q5" s="31" t="s">
        <v>51</v>
      </c>
      <c r="R5" s="31" t="s">
        <v>51</v>
      </c>
      <c r="S5" s="31" t="s">
        <v>51</v>
      </c>
      <c r="T5" s="31" t="s">
        <v>51</v>
      </c>
      <c r="U5" s="31" t="s">
        <v>51</v>
      </c>
      <c r="V5" s="31" t="s">
        <v>550</v>
      </c>
      <c r="W5" s="31" t="s">
        <v>51</v>
      </c>
      <c r="X5" s="31" t="s">
        <v>51</v>
      </c>
      <c r="Y5" s="31" t="s">
        <v>51</v>
      </c>
      <c r="Z5" s="31" t="s">
        <v>51</v>
      </c>
      <c r="AA5" s="31" t="s">
        <v>1317</v>
      </c>
      <c r="AB5" s="31" t="s">
        <v>1935</v>
      </c>
      <c r="AC5" s="31" t="s">
        <v>51</v>
      </c>
      <c r="AD5" s="31" t="s">
        <v>51</v>
      </c>
      <c r="AE5" s="31" t="s">
        <v>51</v>
      </c>
      <c r="AF5" s="31" t="s">
        <v>51</v>
      </c>
      <c r="AG5" s="31" t="s">
        <v>51</v>
      </c>
      <c r="AH5" s="31" t="s">
        <v>51</v>
      </c>
      <c r="AI5" s="31" t="s">
        <v>51</v>
      </c>
      <c r="AJ5" s="31" t="s">
        <v>51</v>
      </c>
      <c r="AK5" s="31" t="s">
        <v>51</v>
      </c>
      <c r="AL5" s="31" t="s">
        <v>51</v>
      </c>
      <c r="AM5" s="31" t="s">
        <v>51</v>
      </c>
      <c r="AN5" s="31" t="s">
        <v>51</v>
      </c>
      <c r="AO5" s="31" t="s">
        <v>425</v>
      </c>
      <c r="AP5" s="31" t="s">
        <v>51</v>
      </c>
      <c r="AQ5" s="31" t="s">
        <v>51</v>
      </c>
      <c r="AR5" s="31" t="s">
        <v>51</v>
      </c>
      <c r="AS5" s="31" t="s">
        <v>51</v>
      </c>
      <c r="AT5" s="31" t="s">
        <v>1281</v>
      </c>
      <c r="AU5" s="31">
        <v>2025</v>
      </c>
      <c r="AV5" s="31">
        <v>12</v>
      </c>
      <c r="AW5" s="31">
        <v>7</v>
      </c>
      <c r="AX5" s="31" t="s">
        <v>51</v>
      </c>
      <c r="AY5" s="31" t="s">
        <v>51</v>
      </c>
      <c r="AZ5" s="31" t="s">
        <v>51</v>
      </c>
      <c r="BA5" s="31" t="s">
        <v>51</v>
      </c>
      <c r="BB5" s="31">
        <v>8453</v>
      </c>
      <c r="BC5" s="31">
        <v>8460</v>
      </c>
      <c r="BD5" s="31" t="s">
        <v>51</v>
      </c>
      <c r="BE5" s="31" t="s">
        <v>136</v>
      </c>
      <c r="BF5" s="31">
        <v>0</v>
      </c>
      <c r="BG5" s="31" t="s">
        <v>51</v>
      </c>
      <c r="BH5" s="31" t="s">
        <v>51</v>
      </c>
      <c r="BI5" s="31" t="s">
        <v>51</v>
      </c>
      <c r="BJ5" s="31" t="s">
        <v>51</v>
      </c>
      <c r="BK5" s="31" t="s">
        <v>51</v>
      </c>
      <c r="BL5" s="31" t="s">
        <v>51</v>
      </c>
      <c r="BM5" s="31" t="s">
        <v>51</v>
      </c>
      <c r="BN5" s="31" t="s">
        <v>51</v>
      </c>
      <c r="BO5" s="31" t="s">
        <v>51</v>
      </c>
      <c r="BP5" s="31" t="s">
        <v>51</v>
      </c>
      <c r="BQ5" s="31" t="s">
        <v>51</v>
      </c>
      <c r="BR5" s="31" t="s">
        <v>51</v>
      </c>
      <c r="BS5" s="31" t="s">
        <v>1318</v>
      </c>
      <c r="BT5" s="31">
        <v>0</v>
      </c>
      <c r="BW5">
        <f t="shared" si="0"/>
        <v>7</v>
      </c>
      <c r="CC5" s="11" t="str">
        <f t="shared" si="1"/>
        <v>IoTForge Pro: A Security Testbed for Generating Intrusion Dataset for Industrial IoT</v>
      </c>
    </row>
    <row r="6" spans="1:81">
      <c r="A6" s="31" t="s">
        <v>1227</v>
      </c>
      <c r="B6" s="31" t="s">
        <v>1320</v>
      </c>
      <c r="C6" s="31" t="s">
        <v>51</v>
      </c>
      <c r="D6" s="31" t="s">
        <v>51</v>
      </c>
      <c r="E6" s="31" t="s">
        <v>51</v>
      </c>
      <c r="F6" s="31" t="s">
        <v>1321</v>
      </c>
      <c r="G6" s="31" t="s">
        <v>51</v>
      </c>
      <c r="H6" s="31" t="s">
        <v>51</v>
      </c>
      <c r="I6" s="31" t="s">
        <v>225</v>
      </c>
      <c r="J6" s="31" t="s">
        <v>1322</v>
      </c>
      <c r="K6" s="31" t="s">
        <v>51</v>
      </c>
      <c r="L6" s="31" t="s">
        <v>51</v>
      </c>
      <c r="M6" s="31" t="s">
        <v>51</v>
      </c>
      <c r="N6" s="31" t="s">
        <v>51</v>
      </c>
      <c r="O6" s="31" t="s">
        <v>51</v>
      </c>
      <c r="P6" s="31" t="s">
        <v>51</v>
      </c>
      <c r="Q6" s="31" t="s">
        <v>51</v>
      </c>
      <c r="R6" s="31" t="s">
        <v>51</v>
      </c>
      <c r="S6" s="31" t="s">
        <v>51</v>
      </c>
      <c r="T6" s="31" t="s">
        <v>51</v>
      </c>
      <c r="U6" s="31" t="s">
        <v>51</v>
      </c>
      <c r="V6" s="31" t="s">
        <v>406</v>
      </c>
      <c r="W6" s="31" t="s">
        <v>51</v>
      </c>
      <c r="X6" s="31" t="s">
        <v>51</v>
      </c>
      <c r="Y6" s="31" t="s">
        <v>51</v>
      </c>
      <c r="Z6" s="31" t="s">
        <v>51</v>
      </c>
      <c r="AA6" s="31" t="s">
        <v>1936</v>
      </c>
      <c r="AB6" s="31" t="s">
        <v>1937</v>
      </c>
      <c r="AC6" s="31" t="s">
        <v>51</v>
      </c>
      <c r="AD6" s="31" t="s">
        <v>51</v>
      </c>
      <c r="AE6" s="31" t="s">
        <v>51</v>
      </c>
      <c r="AF6" s="31" t="s">
        <v>51</v>
      </c>
      <c r="AG6" s="31" t="s">
        <v>51</v>
      </c>
      <c r="AH6" s="31" t="s">
        <v>51</v>
      </c>
      <c r="AI6" s="31" t="s">
        <v>51</v>
      </c>
      <c r="AJ6" s="31" t="s">
        <v>51</v>
      </c>
      <c r="AK6" s="31" t="s">
        <v>51</v>
      </c>
      <c r="AL6" s="31" t="s">
        <v>51</v>
      </c>
      <c r="AM6" s="31" t="s">
        <v>51</v>
      </c>
      <c r="AN6" s="31" t="s">
        <v>51</v>
      </c>
      <c r="AO6" s="31" t="s">
        <v>1323</v>
      </c>
      <c r="AP6" s="31" t="s">
        <v>407</v>
      </c>
      <c r="AQ6" s="31" t="s">
        <v>51</v>
      </c>
      <c r="AR6" s="31" t="s">
        <v>51</v>
      </c>
      <c r="AS6" s="31" t="s">
        <v>51</v>
      </c>
      <c r="AT6" s="31" t="s">
        <v>1324</v>
      </c>
      <c r="AU6" s="31">
        <v>2023</v>
      </c>
      <c r="AV6" s="31">
        <v>24</v>
      </c>
      <c r="AW6" s="31">
        <v>2</v>
      </c>
      <c r="AX6" s="31" t="s">
        <v>51</v>
      </c>
      <c r="AY6" s="31" t="s">
        <v>51</v>
      </c>
      <c r="AZ6" s="31" t="s">
        <v>51</v>
      </c>
      <c r="BA6" s="31" t="s">
        <v>51</v>
      </c>
      <c r="BB6" s="31">
        <v>2368</v>
      </c>
      <c r="BC6" s="31">
        <v>2381</v>
      </c>
      <c r="BD6" s="31" t="s">
        <v>51</v>
      </c>
      <c r="BE6" s="31" t="s">
        <v>228</v>
      </c>
      <c r="BF6" s="31">
        <v>0</v>
      </c>
      <c r="BG6" s="31" t="s">
        <v>51</v>
      </c>
      <c r="BH6" s="31" t="s">
        <v>1325</v>
      </c>
      <c r="BI6" s="31" t="s">
        <v>51</v>
      </c>
      <c r="BJ6" s="31" t="s">
        <v>51</v>
      </c>
      <c r="BK6" s="31" t="s">
        <v>51</v>
      </c>
      <c r="BL6" s="31" t="s">
        <v>51</v>
      </c>
      <c r="BM6" s="31" t="s">
        <v>51</v>
      </c>
      <c r="BN6" s="31" t="s">
        <v>51</v>
      </c>
      <c r="BO6" s="31" t="s">
        <v>51</v>
      </c>
      <c r="BP6" s="31" t="s">
        <v>51</v>
      </c>
      <c r="BQ6" s="31" t="s">
        <v>51</v>
      </c>
      <c r="BR6" s="31" t="s">
        <v>51</v>
      </c>
      <c r="BS6" s="31" t="s">
        <v>1326</v>
      </c>
      <c r="BT6" s="31">
        <v>0</v>
      </c>
      <c r="BW6">
        <f t="shared" si="0"/>
        <v>13</v>
      </c>
      <c r="CC6" s="11" t="str">
        <f t="shared" si="1"/>
        <v>The SAir-IIoT Cyber Testbed as a Service: A Novel Cybertwins Architecture in IIoT-Based Smart Airports</v>
      </c>
    </row>
    <row r="7" spans="1:81">
      <c r="A7" s="31" t="s">
        <v>1237</v>
      </c>
      <c r="B7" s="31" t="s">
        <v>1253</v>
      </c>
      <c r="C7" s="31" t="s">
        <v>51</v>
      </c>
      <c r="D7" s="31" t="s">
        <v>51</v>
      </c>
      <c r="E7" s="31" t="s">
        <v>1254</v>
      </c>
      <c r="F7" s="31" t="s">
        <v>1255</v>
      </c>
      <c r="G7" s="31" t="s">
        <v>51</v>
      </c>
      <c r="H7" s="31" t="s">
        <v>51</v>
      </c>
      <c r="I7" s="31" t="s">
        <v>1256</v>
      </c>
      <c r="J7" s="31" t="s">
        <v>1257</v>
      </c>
      <c r="K7" s="31" t="s">
        <v>1258</v>
      </c>
      <c r="L7" s="31" t="s">
        <v>51</v>
      </c>
      <c r="M7" s="31" t="s">
        <v>51</v>
      </c>
      <c r="N7" s="31" t="s">
        <v>51</v>
      </c>
      <c r="O7" s="31" t="s">
        <v>1259</v>
      </c>
      <c r="P7" s="31" t="s">
        <v>1260</v>
      </c>
      <c r="Q7" s="31" t="s">
        <v>1261</v>
      </c>
      <c r="R7" s="31" t="s">
        <v>1262</v>
      </c>
      <c r="S7" s="31" t="s">
        <v>51</v>
      </c>
      <c r="T7" s="31" t="s">
        <v>51</v>
      </c>
      <c r="U7" s="31" t="s">
        <v>51</v>
      </c>
      <c r="V7" s="31" t="s">
        <v>893</v>
      </c>
      <c r="W7" s="31" t="s">
        <v>51</v>
      </c>
      <c r="X7" s="31" t="s">
        <v>51</v>
      </c>
      <c r="Y7" s="31" t="s">
        <v>51</v>
      </c>
      <c r="Z7" s="31" t="s">
        <v>51</v>
      </c>
      <c r="AA7" s="31" t="s">
        <v>1938</v>
      </c>
      <c r="AB7" s="31" t="s">
        <v>1939</v>
      </c>
      <c r="AC7" s="31" t="s">
        <v>51</v>
      </c>
      <c r="AD7" s="31" t="s">
        <v>51</v>
      </c>
      <c r="AE7" s="31" t="s">
        <v>51</v>
      </c>
      <c r="AF7" s="31" t="s">
        <v>51</v>
      </c>
      <c r="AG7" s="31" t="s">
        <v>51</v>
      </c>
      <c r="AH7" s="31" t="s">
        <v>51</v>
      </c>
      <c r="AI7" s="31" t="s">
        <v>51</v>
      </c>
      <c r="AJ7" s="31" t="s">
        <v>51</v>
      </c>
      <c r="AK7" s="31" t="s">
        <v>51</v>
      </c>
      <c r="AL7" s="31" t="s">
        <v>51</v>
      </c>
      <c r="AM7" s="31" t="s">
        <v>51</v>
      </c>
      <c r="AN7" s="31" t="s">
        <v>51</v>
      </c>
      <c r="AO7" s="31" t="s">
        <v>894</v>
      </c>
      <c r="AP7" s="31" t="s">
        <v>51</v>
      </c>
      <c r="AQ7" s="31" t="s">
        <v>1263</v>
      </c>
      <c r="AR7" s="31" t="s">
        <v>51</v>
      </c>
      <c r="AS7" s="31" t="s">
        <v>51</v>
      </c>
      <c r="AT7" s="31" t="s">
        <v>51</v>
      </c>
      <c r="AU7" s="31">
        <v>2017</v>
      </c>
      <c r="AV7" s="31" t="s">
        <v>51</v>
      </c>
      <c r="AW7" s="31" t="s">
        <v>51</v>
      </c>
      <c r="AX7" s="31" t="s">
        <v>51</v>
      </c>
      <c r="AY7" s="31" t="s">
        <v>51</v>
      </c>
      <c r="AZ7" s="31" t="s">
        <v>51</v>
      </c>
      <c r="BA7" s="31" t="s">
        <v>51</v>
      </c>
      <c r="BB7" s="31">
        <v>70</v>
      </c>
      <c r="BC7" s="31">
        <v>77</v>
      </c>
      <c r="BD7" s="31" t="s">
        <v>51</v>
      </c>
      <c r="BE7" s="31" t="s">
        <v>320</v>
      </c>
      <c r="BF7" s="31">
        <v>0</v>
      </c>
      <c r="BG7" s="31" t="s">
        <v>51</v>
      </c>
      <c r="BH7" s="31" t="s">
        <v>51</v>
      </c>
      <c r="BI7" s="31" t="s">
        <v>51</v>
      </c>
      <c r="BJ7" s="31" t="s">
        <v>51</v>
      </c>
      <c r="BK7" s="31" t="s">
        <v>51</v>
      </c>
      <c r="BL7" s="31" t="s">
        <v>51</v>
      </c>
      <c r="BM7" s="31" t="s">
        <v>51</v>
      </c>
      <c r="BN7" s="31" t="s">
        <v>51</v>
      </c>
      <c r="BO7" s="31" t="s">
        <v>51</v>
      </c>
      <c r="BP7" s="31" t="s">
        <v>51</v>
      </c>
      <c r="BQ7" s="31" t="s">
        <v>51</v>
      </c>
      <c r="BR7" s="31" t="s">
        <v>51</v>
      </c>
      <c r="BS7" s="31" t="s">
        <v>1264</v>
      </c>
      <c r="BT7" s="31">
        <v>0</v>
      </c>
      <c r="BW7">
        <f t="shared" si="0"/>
        <v>7</v>
      </c>
      <c r="CC7" s="11" t="str">
        <f t="shared" si="1"/>
        <v>End-to-end Delay Evaluation of Industrial Automation Systems based on EtherCAT</v>
      </c>
    </row>
    <row r="8" spans="1:81">
      <c r="A8" s="31" t="s">
        <v>1237</v>
      </c>
      <c r="B8" s="31" t="s">
        <v>1940</v>
      </c>
      <c r="C8" s="31" t="s">
        <v>51</v>
      </c>
      <c r="D8" s="31" t="s">
        <v>51</v>
      </c>
      <c r="E8" s="31" t="s">
        <v>19</v>
      </c>
      <c r="F8" s="31" t="s">
        <v>1941</v>
      </c>
      <c r="G8" s="31" t="s">
        <v>51</v>
      </c>
      <c r="H8" s="31" t="s">
        <v>51</v>
      </c>
      <c r="I8" s="31" t="s">
        <v>1629</v>
      </c>
      <c r="J8" s="31" t="s">
        <v>1292</v>
      </c>
      <c r="K8" s="31" t="s">
        <v>1293</v>
      </c>
      <c r="L8" s="31" t="s">
        <v>51</v>
      </c>
      <c r="M8" s="31" t="s">
        <v>51</v>
      </c>
      <c r="N8" s="31" t="s">
        <v>51</v>
      </c>
      <c r="O8" s="31" t="s">
        <v>1294</v>
      </c>
      <c r="P8" s="31" t="s">
        <v>1295</v>
      </c>
      <c r="Q8" s="31" t="s">
        <v>1296</v>
      </c>
      <c r="R8" s="31" t="s">
        <v>19</v>
      </c>
      <c r="S8" s="31" t="s">
        <v>51</v>
      </c>
      <c r="T8" s="31" t="s">
        <v>51</v>
      </c>
      <c r="U8" s="31" t="s">
        <v>51</v>
      </c>
      <c r="V8" s="31" t="s">
        <v>1632</v>
      </c>
      <c r="W8" s="31" t="s">
        <v>51</v>
      </c>
      <c r="X8" s="31" t="s">
        <v>51</v>
      </c>
      <c r="Y8" s="31" t="s">
        <v>51</v>
      </c>
      <c r="Z8" s="31" t="s">
        <v>51</v>
      </c>
      <c r="AA8" s="31" t="s">
        <v>51</v>
      </c>
      <c r="AB8" s="31" t="s">
        <v>51</v>
      </c>
      <c r="AC8" s="31" t="s">
        <v>51</v>
      </c>
      <c r="AD8" s="31" t="s">
        <v>51</v>
      </c>
      <c r="AE8" s="31" t="s">
        <v>51</v>
      </c>
      <c r="AF8" s="31" t="s">
        <v>51</v>
      </c>
      <c r="AG8" s="31" t="s">
        <v>51</v>
      </c>
      <c r="AH8" s="31" t="s">
        <v>51</v>
      </c>
      <c r="AI8" s="31" t="s">
        <v>51</v>
      </c>
      <c r="AJ8" s="31" t="s">
        <v>51</v>
      </c>
      <c r="AK8" s="31" t="s">
        <v>51</v>
      </c>
      <c r="AL8" s="31" t="s">
        <v>51</v>
      </c>
      <c r="AM8" s="31" t="s">
        <v>51</v>
      </c>
      <c r="AN8" s="31" t="s">
        <v>51</v>
      </c>
      <c r="AO8" s="31" t="s">
        <v>1297</v>
      </c>
      <c r="AP8" s="31" t="s">
        <v>361</v>
      </c>
      <c r="AQ8" s="31" t="s">
        <v>503</v>
      </c>
      <c r="AR8" s="31" t="s">
        <v>51</v>
      </c>
      <c r="AS8" s="31" t="s">
        <v>51</v>
      </c>
      <c r="AT8" s="31" t="s">
        <v>51</v>
      </c>
      <c r="AU8" s="31">
        <v>2022</v>
      </c>
      <c r="AV8" s="31" t="s">
        <v>51</v>
      </c>
      <c r="AW8" s="31" t="s">
        <v>51</v>
      </c>
      <c r="AX8" s="31" t="s">
        <v>51</v>
      </c>
      <c r="AY8" s="31" t="s">
        <v>51</v>
      </c>
      <c r="AZ8" s="31" t="s">
        <v>51</v>
      </c>
      <c r="BA8" s="31" t="s">
        <v>51</v>
      </c>
      <c r="BB8" s="31" t="s">
        <v>51</v>
      </c>
      <c r="BC8" s="31" t="s">
        <v>51</v>
      </c>
      <c r="BD8" s="31" t="s">
        <v>51</v>
      </c>
      <c r="BE8" s="31" t="s">
        <v>1633</v>
      </c>
      <c r="BF8" s="31">
        <v>0</v>
      </c>
      <c r="BG8" s="31" t="s">
        <v>51</v>
      </c>
      <c r="BH8" s="31" t="s">
        <v>51</v>
      </c>
      <c r="BI8" s="31" t="s">
        <v>51</v>
      </c>
      <c r="BJ8" s="31" t="s">
        <v>51</v>
      </c>
      <c r="BK8" s="31" t="s">
        <v>51</v>
      </c>
      <c r="BL8" s="31" t="s">
        <v>51</v>
      </c>
      <c r="BM8" s="31" t="s">
        <v>51</v>
      </c>
      <c r="BN8" s="31" t="s">
        <v>51</v>
      </c>
      <c r="BO8" s="31" t="s">
        <v>51</v>
      </c>
      <c r="BP8" s="31" t="s">
        <v>51</v>
      </c>
      <c r="BQ8" s="31" t="s">
        <v>51</v>
      </c>
      <c r="BR8" s="31" t="s">
        <v>51</v>
      </c>
      <c r="BS8" s="31" t="s">
        <v>1942</v>
      </c>
      <c r="BT8" s="31">
        <v>0</v>
      </c>
      <c r="BW8">
        <f t="shared" si="0"/>
        <v>0</v>
      </c>
      <c r="CC8" s="11" t="str">
        <f t="shared" si="1"/>
        <v>Towards Performance Benchmarking of Cyclic OPC UA PubSub over TSN</v>
      </c>
    </row>
    <row r="9" spans="1:81">
      <c r="A9" s="31" t="s">
        <v>1237</v>
      </c>
      <c r="B9" s="31" t="s">
        <v>1330</v>
      </c>
      <c r="C9" s="31" t="s">
        <v>51</v>
      </c>
      <c r="D9" s="31" t="s">
        <v>51</v>
      </c>
      <c r="E9" s="31" t="s">
        <v>19</v>
      </c>
      <c r="F9" s="31" t="s">
        <v>1331</v>
      </c>
      <c r="G9" s="31" t="s">
        <v>51</v>
      </c>
      <c r="H9" s="31" t="s">
        <v>51</v>
      </c>
      <c r="I9" s="31" t="s">
        <v>1332</v>
      </c>
      <c r="J9" s="31" t="s">
        <v>1333</v>
      </c>
      <c r="K9" s="31" t="s">
        <v>1334</v>
      </c>
      <c r="L9" s="31" t="s">
        <v>51</v>
      </c>
      <c r="M9" s="31" t="s">
        <v>51</v>
      </c>
      <c r="N9" s="31" t="s">
        <v>51</v>
      </c>
      <c r="O9" s="31" t="s">
        <v>1335</v>
      </c>
      <c r="P9" s="31" t="s">
        <v>1336</v>
      </c>
      <c r="Q9" s="31" t="s">
        <v>1337</v>
      </c>
      <c r="R9" s="31" t="s">
        <v>1338</v>
      </c>
      <c r="S9" s="31" t="s">
        <v>51</v>
      </c>
      <c r="T9" s="31" t="s">
        <v>51</v>
      </c>
      <c r="U9" s="31" t="s">
        <v>51</v>
      </c>
      <c r="V9" s="31" t="s">
        <v>394</v>
      </c>
      <c r="W9" s="31" t="s">
        <v>51</v>
      </c>
      <c r="X9" s="31" t="s">
        <v>51</v>
      </c>
      <c r="Y9" s="31" t="s">
        <v>51</v>
      </c>
      <c r="Z9" s="31" t="s">
        <v>51</v>
      </c>
      <c r="AA9" s="31" t="s">
        <v>1943</v>
      </c>
      <c r="AB9" s="31" t="s">
        <v>51</v>
      </c>
      <c r="AC9" s="31" t="s">
        <v>51</v>
      </c>
      <c r="AD9" s="31" t="s">
        <v>51</v>
      </c>
      <c r="AE9" s="31" t="s">
        <v>51</v>
      </c>
      <c r="AF9" s="31" t="s">
        <v>51</v>
      </c>
      <c r="AG9" s="31" t="s">
        <v>51</v>
      </c>
      <c r="AH9" s="31" t="s">
        <v>51</v>
      </c>
      <c r="AI9" s="31" t="s">
        <v>51</v>
      </c>
      <c r="AJ9" s="31" t="s">
        <v>51</v>
      </c>
      <c r="AK9" s="31" t="s">
        <v>51</v>
      </c>
      <c r="AL9" s="31" t="s">
        <v>51</v>
      </c>
      <c r="AM9" s="31" t="s">
        <v>51</v>
      </c>
      <c r="AN9" s="31" t="s">
        <v>51</v>
      </c>
      <c r="AO9" s="31" t="s">
        <v>1339</v>
      </c>
      <c r="AP9" s="31" t="s">
        <v>51</v>
      </c>
      <c r="AQ9" s="31" t="s">
        <v>1340</v>
      </c>
      <c r="AR9" s="31" t="s">
        <v>51</v>
      </c>
      <c r="AS9" s="31" t="s">
        <v>51</v>
      </c>
      <c r="AT9" s="31" t="s">
        <v>51</v>
      </c>
      <c r="AU9" s="31">
        <v>2024</v>
      </c>
      <c r="AV9" s="31" t="s">
        <v>51</v>
      </c>
      <c r="AW9" s="31" t="s">
        <v>51</v>
      </c>
      <c r="AX9" s="31" t="s">
        <v>51</v>
      </c>
      <c r="AY9" s="31" t="s">
        <v>51</v>
      </c>
      <c r="AZ9" s="31" t="s">
        <v>51</v>
      </c>
      <c r="BA9" s="31" t="s">
        <v>51</v>
      </c>
      <c r="BB9" s="31" t="s">
        <v>51</v>
      </c>
      <c r="BC9" s="31" t="s">
        <v>51</v>
      </c>
      <c r="BD9" s="31" t="s">
        <v>51</v>
      </c>
      <c r="BE9" s="31" t="s">
        <v>180</v>
      </c>
      <c r="BF9" s="31">
        <v>0</v>
      </c>
      <c r="BG9" s="31" t="s">
        <v>51</v>
      </c>
      <c r="BH9" s="31" t="s">
        <v>51</v>
      </c>
      <c r="BI9" s="31" t="s">
        <v>51</v>
      </c>
      <c r="BJ9" s="31" t="s">
        <v>51</v>
      </c>
      <c r="BK9" s="31" t="s">
        <v>51</v>
      </c>
      <c r="BL9" s="31" t="s">
        <v>51</v>
      </c>
      <c r="BM9" s="31" t="s">
        <v>51</v>
      </c>
      <c r="BN9" s="31" t="s">
        <v>51</v>
      </c>
      <c r="BO9" s="31" t="s">
        <v>51</v>
      </c>
      <c r="BP9" s="31" t="s">
        <v>51</v>
      </c>
      <c r="BQ9" s="31" t="s">
        <v>51</v>
      </c>
      <c r="BR9" s="31" t="s">
        <v>51</v>
      </c>
      <c r="BS9" s="31" t="s">
        <v>1341</v>
      </c>
      <c r="BT9" s="31">
        <v>0</v>
      </c>
      <c r="BW9">
        <f t="shared" si="0"/>
        <v>0</v>
      </c>
      <c r="CC9" s="11" t="str">
        <f t="shared" si="1"/>
        <v>A Comparative Analysis of Application Layer Protocols within an Industrial Internet of Things Monitoring System</v>
      </c>
    </row>
    <row r="10" spans="1:81">
      <c r="A10" s="31" t="s">
        <v>1237</v>
      </c>
      <c r="B10" s="31" t="s">
        <v>1265</v>
      </c>
      <c r="C10" s="31" t="s">
        <v>51</v>
      </c>
      <c r="D10" s="31" t="s">
        <v>51</v>
      </c>
      <c r="E10" s="31" t="s">
        <v>19</v>
      </c>
      <c r="F10" s="31" t="s">
        <v>1266</v>
      </c>
      <c r="G10" s="31" t="s">
        <v>51</v>
      </c>
      <c r="H10" s="31" t="s">
        <v>51</v>
      </c>
      <c r="I10" s="31" t="s">
        <v>187</v>
      </c>
      <c r="J10" s="31" t="s">
        <v>1267</v>
      </c>
      <c r="K10" s="31" t="s">
        <v>1268</v>
      </c>
      <c r="L10" s="31" t="s">
        <v>51</v>
      </c>
      <c r="M10" s="31" t="s">
        <v>51</v>
      </c>
      <c r="N10" s="31" t="s">
        <v>51</v>
      </c>
      <c r="O10" s="31" t="s">
        <v>1269</v>
      </c>
      <c r="P10" s="31" t="s">
        <v>1270</v>
      </c>
      <c r="Q10" s="31" t="s">
        <v>1271</v>
      </c>
      <c r="R10" s="31" t="s">
        <v>1272</v>
      </c>
      <c r="S10" s="31" t="s">
        <v>51</v>
      </c>
      <c r="T10" s="31" t="s">
        <v>51</v>
      </c>
      <c r="U10" s="31" t="s">
        <v>51</v>
      </c>
      <c r="V10" s="31" t="s">
        <v>1944</v>
      </c>
      <c r="W10" s="31" t="s">
        <v>51</v>
      </c>
      <c r="X10" s="31" t="s">
        <v>51</v>
      </c>
      <c r="Y10" s="31" t="s">
        <v>51</v>
      </c>
      <c r="Z10" s="31" t="s">
        <v>51</v>
      </c>
      <c r="AA10" s="31" t="s">
        <v>1273</v>
      </c>
      <c r="AB10" s="31" t="s">
        <v>51</v>
      </c>
      <c r="AC10" s="31" t="s">
        <v>51</v>
      </c>
      <c r="AD10" s="31" t="s">
        <v>51</v>
      </c>
      <c r="AE10" s="31" t="s">
        <v>51</v>
      </c>
      <c r="AF10" s="31" t="s">
        <v>51</v>
      </c>
      <c r="AG10" s="31" t="s">
        <v>51</v>
      </c>
      <c r="AH10" s="31" t="s">
        <v>51</v>
      </c>
      <c r="AI10" s="31" t="s">
        <v>51</v>
      </c>
      <c r="AJ10" s="31" t="s">
        <v>51</v>
      </c>
      <c r="AK10" s="31" t="s">
        <v>51</v>
      </c>
      <c r="AL10" s="31" t="s">
        <v>51</v>
      </c>
      <c r="AM10" s="31" t="s">
        <v>51</v>
      </c>
      <c r="AN10" s="31" t="s">
        <v>51</v>
      </c>
      <c r="AO10" s="31" t="s">
        <v>1274</v>
      </c>
      <c r="AP10" s="31" t="s">
        <v>51</v>
      </c>
      <c r="AQ10" s="31" t="s">
        <v>1000</v>
      </c>
      <c r="AR10" s="31" t="s">
        <v>51</v>
      </c>
      <c r="AS10" s="31" t="s">
        <v>51</v>
      </c>
      <c r="AT10" s="31" t="s">
        <v>51</v>
      </c>
      <c r="AU10" s="31">
        <v>2024</v>
      </c>
      <c r="AV10" s="31" t="s">
        <v>51</v>
      </c>
      <c r="AW10" s="31" t="s">
        <v>51</v>
      </c>
      <c r="AX10" s="31" t="s">
        <v>51</v>
      </c>
      <c r="AY10" s="31" t="s">
        <v>51</v>
      </c>
      <c r="AZ10" s="31" t="s">
        <v>51</v>
      </c>
      <c r="BA10" s="31" t="s">
        <v>51</v>
      </c>
      <c r="BB10" s="31">
        <v>37</v>
      </c>
      <c r="BC10" s="31">
        <v>42</v>
      </c>
      <c r="BD10" s="31" t="s">
        <v>51</v>
      </c>
      <c r="BE10" s="31" t="s">
        <v>188</v>
      </c>
      <c r="BF10" s="31">
        <v>0</v>
      </c>
      <c r="BG10" s="31" t="s">
        <v>51</v>
      </c>
      <c r="BH10" s="31" t="s">
        <v>51</v>
      </c>
      <c r="BI10" s="31" t="s">
        <v>51</v>
      </c>
      <c r="BJ10" s="31" t="s">
        <v>51</v>
      </c>
      <c r="BK10" s="31" t="s">
        <v>51</v>
      </c>
      <c r="BL10" s="31" t="s">
        <v>51</v>
      </c>
      <c r="BM10" s="31" t="s">
        <v>51</v>
      </c>
      <c r="BN10" s="31" t="s">
        <v>51</v>
      </c>
      <c r="BO10" s="31" t="s">
        <v>51</v>
      </c>
      <c r="BP10" s="31" t="s">
        <v>51</v>
      </c>
      <c r="BQ10" s="31" t="s">
        <v>51</v>
      </c>
      <c r="BR10" s="31" t="s">
        <v>51</v>
      </c>
      <c r="BS10" s="31" t="s">
        <v>1275</v>
      </c>
      <c r="BT10" s="31">
        <v>0</v>
      </c>
      <c r="BW10">
        <f t="shared" si="0"/>
        <v>5</v>
      </c>
      <c r="CC10" s="11" t="str">
        <f t="shared" si="1"/>
        <v>Holistic Risk Assessment in Industrial Control Systems: Combining Multiple Bayesian Networks with Multi-Criteria Decision Making</v>
      </c>
    </row>
    <row r="11" spans="1:81">
      <c r="A11" s="31" t="s">
        <v>1227</v>
      </c>
      <c r="B11" s="31" t="s">
        <v>1284</v>
      </c>
      <c r="C11" s="31" t="s">
        <v>51</v>
      </c>
      <c r="D11" s="31" t="s">
        <v>51</v>
      </c>
      <c r="E11" s="31" t="s">
        <v>51</v>
      </c>
      <c r="F11" s="31" t="s">
        <v>1285</v>
      </c>
      <c r="G11" s="31" t="s">
        <v>51</v>
      </c>
      <c r="H11" s="31" t="s">
        <v>51</v>
      </c>
      <c r="I11" s="31" t="s">
        <v>307</v>
      </c>
      <c r="J11" s="31" t="s">
        <v>1286</v>
      </c>
      <c r="K11" s="31" t="s">
        <v>51</v>
      </c>
      <c r="L11" s="31" t="s">
        <v>51</v>
      </c>
      <c r="M11" s="31" t="s">
        <v>51</v>
      </c>
      <c r="N11" s="31" t="s">
        <v>51</v>
      </c>
      <c r="O11" s="31" t="s">
        <v>51</v>
      </c>
      <c r="P11" s="31" t="s">
        <v>51</v>
      </c>
      <c r="Q11" s="31" t="s">
        <v>51</v>
      </c>
      <c r="R11" s="31" t="s">
        <v>51</v>
      </c>
      <c r="S11" s="31" t="s">
        <v>51</v>
      </c>
      <c r="T11" s="31" t="s">
        <v>51</v>
      </c>
      <c r="U11" s="31" t="s">
        <v>51</v>
      </c>
      <c r="V11" s="31" t="s">
        <v>1945</v>
      </c>
      <c r="W11" s="31" t="s">
        <v>51</v>
      </c>
      <c r="X11" s="31" t="s">
        <v>51</v>
      </c>
      <c r="Y11" s="31" t="s">
        <v>51</v>
      </c>
      <c r="Z11" s="31" t="s">
        <v>51</v>
      </c>
      <c r="AA11" s="31" t="s">
        <v>1287</v>
      </c>
      <c r="AB11" s="31" t="s">
        <v>1288</v>
      </c>
      <c r="AC11" s="31" t="s">
        <v>51</v>
      </c>
      <c r="AD11" s="31" t="s">
        <v>51</v>
      </c>
      <c r="AE11" s="31" t="s">
        <v>51</v>
      </c>
      <c r="AF11" s="31" t="s">
        <v>51</v>
      </c>
      <c r="AG11" s="31" t="s">
        <v>51</v>
      </c>
      <c r="AH11" s="31" t="s">
        <v>51</v>
      </c>
      <c r="AI11" s="31" t="s">
        <v>51</v>
      </c>
      <c r="AJ11" s="31" t="s">
        <v>51</v>
      </c>
      <c r="AK11" s="31" t="s">
        <v>51</v>
      </c>
      <c r="AL11" s="31" t="s">
        <v>51</v>
      </c>
      <c r="AM11" s="31" t="s">
        <v>51</v>
      </c>
      <c r="AN11" s="31" t="s">
        <v>51</v>
      </c>
      <c r="AO11" s="31" t="s">
        <v>1289</v>
      </c>
      <c r="AP11" s="31" t="s">
        <v>426</v>
      </c>
      <c r="AQ11" s="31" t="s">
        <v>51</v>
      </c>
      <c r="AR11" s="31" t="s">
        <v>51</v>
      </c>
      <c r="AS11" s="31" t="s">
        <v>51</v>
      </c>
      <c r="AT11" s="31" t="s">
        <v>1290</v>
      </c>
      <c r="AU11" s="31">
        <v>2018</v>
      </c>
      <c r="AV11" s="31">
        <v>14</v>
      </c>
      <c r="AW11" s="31">
        <v>5</v>
      </c>
      <c r="AX11" s="31" t="s">
        <v>51</v>
      </c>
      <c r="AY11" s="31" t="s">
        <v>51</v>
      </c>
      <c r="AZ11" s="31" t="s">
        <v>51</v>
      </c>
      <c r="BA11" s="31" t="s">
        <v>51</v>
      </c>
      <c r="BB11" s="31">
        <v>2159</v>
      </c>
      <c r="BC11" s="31">
        <v>2170</v>
      </c>
      <c r="BD11" s="31" t="s">
        <v>51</v>
      </c>
      <c r="BE11" s="31" t="s">
        <v>309</v>
      </c>
      <c r="BF11" s="31">
        <v>0</v>
      </c>
      <c r="BG11" s="31" t="s">
        <v>51</v>
      </c>
      <c r="BH11" s="31" t="s">
        <v>51</v>
      </c>
      <c r="BI11" s="31" t="s">
        <v>51</v>
      </c>
      <c r="BJ11" s="31" t="s">
        <v>51</v>
      </c>
      <c r="BK11" s="31" t="s">
        <v>51</v>
      </c>
      <c r="BL11" s="31" t="s">
        <v>51</v>
      </c>
      <c r="BM11" s="31" t="s">
        <v>51</v>
      </c>
      <c r="BN11" s="31" t="s">
        <v>51</v>
      </c>
      <c r="BO11" s="31" t="s">
        <v>51</v>
      </c>
      <c r="BP11" s="31" t="s">
        <v>51</v>
      </c>
      <c r="BQ11" s="31" t="s">
        <v>51</v>
      </c>
      <c r="BR11" s="31" t="s">
        <v>51</v>
      </c>
      <c r="BS11" s="31" t="s">
        <v>1291</v>
      </c>
      <c r="BT11" s="31">
        <v>0</v>
      </c>
      <c r="BW11">
        <f t="shared" si="0"/>
        <v>11</v>
      </c>
      <c r="CC11" s="11" t="str">
        <f t="shared" si="1"/>
        <v>Performance Evaluation and Modeling of an Industrial Application-Layer Firewall</v>
      </c>
    </row>
    <row r="12" spans="1:81">
      <c r="A12" s="31" t="s">
        <v>1227</v>
      </c>
      <c r="B12" s="31" t="s">
        <v>1342</v>
      </c>
      <c r="C12" s="31" t="s">
        <v>51</v>
      </c>
      <c r="D12" s="31" t="s">
        <v>51</v>
      </c>
      <c r="E12" s="31" t="s">
        <v>51</v>
      </c>
      <c r="F12" s="31" t="s">
        <v>1343</v>
      </c>
      <c r="G12" s="31" t="s">
        <v>51</v>
      </c>
      <c r="H12" s="31" t="s">
        <v>51</v>
      </c>
      <c r="I12" s="31" t="s">
        <v>1344</v>
      </c>
      <c r="J12" s="31" t="s">
        <v>1327</v>
      </c>
      <c r="K12" s="31" t="s">
        <v>51</v>
      </c>
      <c r="L12" s="31" t="s">
        <v>51</v>
      </c>
      <c r="M12" s="31" t="s">
        <v>51</v>
      </c>
      <c r="N12" s="31" t="s">
        <v>51</v>
      </c>
      <c r="O12" s="31" t="s">
        <v>51</v>
      </c>
      <c r="P12" s="31" t="s">
        <v>51</v>
      </c>
      <c r="Q12" s="31" t="s">
        <v>51</v>
      </c>
      <c r="R12" s="31" t="s">
        <v>51</v>
      </c>
      <c r="S12" s="31" t="s">
        <v>51</v>
      </c>
      <c r="T12" s="31" t="s">
        <v>51</v>
      </c>
      <c r="U12" s="31" t="s">
        <v>51</v>
      </c>
      <c r="V12" s="31" t="s">
        <v>1946</v>
      </c>
      <c r="W12" s="31" t="s">
        <v>51</v>
      </c>
      <c r="X12" s="31" t="s">
        <v>51</v>
      </c>
      <c r="Y12" s="31" t="s">
        <v>51</v>
      </c>
      <c r="Z12" s="31" t="s">
        <v>51</v>
      </c>
      <c r="AA12" s="31" t="s">
        <v>1947</v>
      </c>
      <c r="AB12" s="31" t="s">
        <v>1948</v>
      </c>
      <c r="AC12" s="31" t="s">
        <v>51</v>
      </c>
      <c r="AD12" s="31" t="s">
        <v>51</v>
      </c>
      <c r="AE12" s="31" t="s">
        <v>51</v>
      </c>
      <c r="AF12" s="31" t="s">
        <v>51</v>
      </c>
      <c r="AG12" s="31" t="s">
        <v>51</v>
      </c>
      <c r="AH12" s="31" t="s">
        <v>51</v>
      </c>
      <c r="AI12" s="31" t="s">
        <v>51</v>
      </c>
      <c r="AJ12" s="31" t="s">
        <v>51</v>
      </c>
      <c r="AK12" s="31" t="s">
        <v>51</v>
      </c>
      <c r="AL12" s="31" t="s">
        <v>51</v>
      </c>
      <c r="AM12" s="31" t="s">
        <v>51</v>
      </c>
      <c r="AN12" s="31" t="s">
        <v>51</v>
      </c>
      <c r="AO12" s="31" t="s">
        <v>51</v>
      </c>
      <c r="AP12" s="31" t="s">
        <v>1328</v>
      </c>
      <c r="AQ12" s="31" t="s">
        <v>51</v>
      </c>
      <c r="AR12" s="31" t="s">
        <v>51</v>
      </c>
      <c r="AS12" s="31" t="s">
        <v>51</v>
      </c>
      <c r="AT12" s="31" t="s">
        <v>1319</v>
      </c>
      <c r="AU12" s="31">
        <v>2021</v>
      </c>
      <c r="AV12" s="31">
        <v>11</v>
      </c>
      <c r="AW12" s="31">
        <v>11</v>
      </c>
      <c r="AX12" s="31" t="s">
        <v>51</v>
      </c>
      <c r="AY12" s="31" t="s">
        <v>51</v>
      </c>
      <c r="AZ12" s="31" t="s">
        <v>51</v>
      </c>
      <c r="BA12" s="31" t="s">
        <v>51</v>
      </c>
      <c r="BB12" s="31" t="s">
        <v>51</v>
      </c>
      <c r="BC12" s="31" t="s">
        <v>51</v>
      </c>
      <c r="BD12" s="31">
        <v>4879</v>
      </c>
      <c r="BE12" s="31" t="s">
        <v>277</v>
      </c>
      <c r="BF12" s="31">
        <v>0</v>
      </c>
      <c r="BG12" s="31" t="s">
        <v>51</v>
      </c>
      <c r="BH12" s="31" t="s">
        <v>51</v>
      </c>
      <c r="BI12" s="31" t="s">
        <v>51</v>
      </c>
      <c r="BJ12" s="31" t="s">
        <v>51</v>
      </c>
      <c r="BK12" s="31" t="s">
        <v>51</v>
      </c>
      <c r="BL12" s="31" t="s">
        <v>51</v>
      </c>
      <c r="BM12" s="31" t="s">
        <v>51</v>
      </c>
      <c r="BN12" s="31" t="s">
        <v>51</v>
      </c>
      <c r="BO12" s="31" t="s">
        <v>51</v>
      </c>
      <c r="BP12" s="31" t="s">
        <v>51</v>
      </c>
      <c r="BQ12" s="31" t="s">
        <v>51</v>
      </c>
      <c r="BR12" s="31" t="s">
        <v>51</v>
      </c>
      <c r="BS12" s="31" t="s">
        <v>1345</v>
      </c>
      <c r="BT12" s="31">
        <v>0</v>
      </c>
      <c r="BW12">
        <f t="shared" si="0"/>
        <v>0</v>
      </c>
      <c r="CC12" s="11" t="str">
        <f t="shared" si="1"/>
        <v>A Performance Analysis of Internet of Things Networking Protocols: Evaluating MQTT, CoAP, OPC UA</v>
      </c>
    </row>
    <row r="13" spans="1:81">
      <c r="A13" s="31" t="s">
        <v>1227</v>
      </c>
      <c r="B13" s="31" t="s">
        <v>1346</v>
      </c>
      <c r="C13" s="31" t="s">
        <v>51</v>
      </c>
      <c r="D13" s="31" t="s">
        <v>51</v>
      </c>
      <c r="E13" s="31" t="s">
        <v>51</v>
      </c>
      <c r="F13" s="31" t="s">
        <v>1347</v>
      </c>
      <c r="G13" s="31" t="s">
        <v>51</v>
      </c>
      <c r="H13" s="31" t="s">
        <v>51</v>
      </c>
      <c r="I13" s="31" t="s">
        <v>213</v>
      </c>
      <c r="J13" s="31" t="s">
        <v>1348</v>
      </c>
      <c r="K13" s="31" t="s">
        <v>51</v>
      </c>
      <c r="L13" s="31" t="s">
        <v>51</v>
      </c>
      <c r="M13" s="31" t="s">
        <v>51</v>
      </c>
      <c r="N13" s="31" t="s">
        <v>51</v>
      </c>
      <c r="O13" s="31" t="s">
        <v>51</v>
      </c>
      <c r="P13" s="31" t="s">
        <v>51</v>
      </c>
      <c r="Q13" s="31" t="s">
        <v>51</v>
      </c>
      <c r="R13" s="31" t="s">
        <v>51</v>
      </c>
      <c r="S13" s="31" t="s">
        <v>51</v>
      </c>
      <c r="T13" s="31" t="s">
        <v>51</v>
      </c>
      <c r="U13" s="31" t="s">
        <v>51</v>
      </c>
      <c r="V13" s="31" t="s">
        <v>1949</v>
      </c>
      <c r="W13" s="31" t="s">
        <v>51</v>
      </c>
      <c r="X13" s="31" t="s">
        <v>51</v>
      </c>
      <c r="Y13" s="31" t="s">
        <v>51</v>
      </c>
      <c r="Z13" s="31" t="s">
        <v>51</v>
      </c>
      <c r="AA13" s="31" t="s">
        <v>1950</v>
      </c>
      <c r="AB13" s="31" t="s">
        <v>1951</v>
      </c>
      <c r="AC13" s="31" t="s">
        <v>51</v>
      </c>
      <c r="AD13" s="31" t="s">
        <v>51</v>
      </c>
      <c r="AE13" s="31" t="s">
        <v>51</v>
      </c>
      <c r="AF13" s="31" t="s">
        <v>51</v>
      </c>
      <c r="AG13" s="31" t="s">
        <v>51</v>
      </c>
      <c r="AH13" s="31" t="s">
        <v>51</v>
      </c>
      <c r="AI13" s="31" t="s">
        <v>51</v>
      </c>
      <c r="AJ13" s="31" t="s">
        <v>51</v>
      </c>
      <c r="AK13" s="31" t="s">
        <v>51</v>
      </c>
      <c r="AL13" s="31" t="s">
        <v>51</v>
      </c>
      <c r="AM13" s="31" t="s">
        <v>51</v>
      </c>
      <c r="AN13" s="31" t="s">
        <v>51</v>
      </c>
      <c r="AO13" s="31" t="s">
        <v>1349</v>
      </c>
      <c r="AP13" s="31" t="s">
        <v>51</v>
      </c>
      <c r="AQ13" s="31" t="s">
        <v>51</v>
      </c>
      <c r="AR13" s="31" t="s">
        <v>51</v>
      </c>
      <c r="AS13" s="31" t="s">
        <v>51</v>
      </c>
      <c r="AT13" s="31" t="s">
        <v>1329</v>
      </c>
      <c r="AU13" s="31">
        <v>2023</v>
      </c>
      <c r="AV13" s="31">
        <v>12</v>
      </c>
      <c r="AW13" s="31">
        <v>13</v>
      </c>
      <c r="AX13" s="31" t="s">
        <v>51</v>
      </c>
      <c r="AY13" s="31" t="s">
        <v>51</v>
      </c>
      <c r="AZ13" s="31" t="s">
        <v>51</v>
      </c>
      <c r="BA13" s="31" t="s">
        <v>51</v>
      </c>
      <c r="BB13" s="31" t="s">
        <v>51</v>
      </c>
      <c r="BC13" s="31" t="s">
        <v>51</v>
      </c>
      <c r="BD13" s="31">
        <v>2987</v>
      </c>
      <c r="BE13" s="31" t="s">
        <v>216</v>
      </c>
      <c r="BF13" s="31">
        <v>0</v>
      </c>
      <c r="BG13" s="31" t="s">
        <v>51</v>
      </c>
      <c r="BH13" s="31" t="s">
        <v>51</v>
      </c>
      <c r="BI13" s="31" t="s">
        <v>51</v>
      </c>
      <c r="BJ13" s="31" t="s">
        <v>51</v>
      </c>
      <c r="BK13" s="31" t="s">
        <v>51</v>
      </c>
      <c r="BL13" s="31" t="s">
        <v>51</v>
      </c>
      <c r="BM13" s="31" t="s">
        <v>51</v>
      </c>
      <c r="BN13" s="31" t="s">
        <v>51</v>
      </c>
      <c r="BO13" s="31" t="s">
        <v>51</v>
      </c>
      <c r="BP13" s="31" t="s">
        <v>51</v>
      </c>
      <c r="BQ13" s="31" t="s">
        <v>51</v>
      </c>
      <c r="BR13" s="31" t="s">
        <v>51</v>
      </c>
      <c r="BS13" s="31" t="s">
        <v>1350</v>
      </c>
      <c r="BT13" s="31">
        <v>0</v>
      </c>
      <c r="BW13">
        <f t="shared" si="0"/>
        <v>0</v>
      </c>
      <c r="CC13" s="11" t="str">
        <f t="shared" si="1"/>
        <v>Secure Sensor Prototype Using Hardware Security Modules and Trusted Execution Environments in a Blockchain Application: Wine Logistic Use Case</v>
      </c>
    </row>
    <row r="14" spans="1:81">
      <c r="A14" s="31" t="s">
        <v>1227</v>
      </c>
      <c r="B14" s="31" t="s">
        <v>1246</v>
      </c>
      <c r="C14" s="31" t="s">
        <v>51</v>
      </c>
      <c r="D14" s="31" t="s">
        <v>51</v>
      </c>
      <c r="E14" s="31" t="s">
        <v>51</v>
      </c>
      <c r="F14" s="31" t="s">
        <v>1247</v>
      </c>
      <c r="G14" s="31" t="s">
        <v>51</v>
      </c>
      <c r="H14" s="31" t="s">
        <v>51</v>
      </c>
      <c r="I14" s="31" t="s">
        <v>73</v>
      </c>
      <c r="J14" s="31" t="s">
        <v>1248</v>
      </c>
      <c r="K14" s="31" t="s">
        <v>51</v>
      </c>
      <c r="L14" s="31" t="s">
        <v>51</v>
      </c>
      <c r="M14" s="31" t="s">
        <v>51</v>
      </c>
      <c r="N14" s="31" t="s">
        <v>51</v>
      </c>
      <c r="O14" s="31" t="s">
        <v>51</v>
      </c>
      <c r="P14" s="31" t="s">
        <v>51</v>
      </c>
      <c r="Q14" s="31" t="s">
        <v>51</v>
      </c>
      <c r="R14" s="31" t="s">
        <v>51</v>
      </c>
      <c r="S14" s="31" t="s">
        <v>51</v>
      </c>
      <c r="T14" s="31" t="s">
        <v>51</v>
      </c>
      <c r="U14" s="31" t="s">
        <v>51</v>
      </c>
      <c r="V14" s="31" t="s">
        <v>1952</v>
      </c>
      <c r="W14" s="31" t="s">
        <v>51</v>
      </c>
      <c r="X14" s="31" t="s">
        <v>51</v>
      </c>
      <c r="Y14" s="31" t="s">
        <v>51</v>
      </c>
      <c r="Z14" s="31" t="s">
        <v>51</v>
      </c>
      <c r="AA14" s="31" t="s">
        <v>1953</v>
      </c>
      <c r="AB14" s="31" t="s">
        <v>1954</v>
      </c>
      <c r="AC14" s="31" t="s">
        <v>51</v>
      </c>
      <c r="AD14" s="31" t="s">
        <v>51</v>
      </c>
      <c r="AE14" s="31" t="s">
        <v>51</v>
      </c>
      <c r="AF14" s="31" t="s">
        <v>51</v>
      </c>
      <c r="AG14" s="31" t="s">
        <v>51</v>
      </c>
      <c r="AH14" s="31" t="s">
        <v>51</v>
      </c>
      <c r="AI14" s="31" t="s">
        <v>51</v>
      </c>
      <c r="AJ14" s="31" t="s">
        <v>51</v>
      </c>
      <c r="AK14" s="31" t="s">
        <v>51</v>
      </c>
      <c r="AL14" s="31" t="s">
        <v>51</v>
      </c>
      <c r="AM14" s="31" t="s">
        <v>51</v>
      </c>
      <c r="AN14" s="31" t="s">
        <v>51</v>
      </c>
      <c r="AO14" s="31" t="s">
        <v>1249</v>
      </c>
      <c r="AP14" s="31" t="s">
        <v>51</v>
      </c>
      <c r="AQ14" s="31" t="s">
        <v>51</v>
      </c>
      <c r="AR14" s="31" t="s">
        <v>51</v>
      </c>
      <c r="AS14" s="31" t="s">
        <v>51</v>
      </c>
      <c r="AT14" s="31" t="s">
        <v>1250</v>
      </c>
      <c r="AU14" s="31">
        <v>2025</v>
      </c>
      <c r="AV14" s="31">
        <v>31</v>
      </c>
      <c r="AW14" s="31" t="s">
        <v>51</v>
      </c>
      <c r="AX14" s="31" t="s">
        <v>51</v>
      </c>
      <c r="AY14" s="31" t="s">
        <v>51</v>
      </c>
      <c r="AZ14" s="31" t="s">
        <v>51</v>
      </c>
      <c r="BA14" s="31" t="s">
        <v>51</v>
      </c>
      <c r="BB14" s="31" t="s">
        <v>51</v>
      </c>
      <c r="BC14" s="31" t="s">
        <v>51</v>
      </c>
      <c r="BD14" s="31">
        <v>102196</v>
      </c>
      <c r="BE14" s="31" t="s">
        <v>77</v>
      </c>
      <c r="BF14" s="31">
        <v>0</v>
      </c>
      <c r="BG14" s="31" t="s">
        <v>51</v>
      </c>
      <c r="BH14" s="31" t="s">
        <v>1251</v>
      </c>
      <c r="BI14" s="31" t="s">
        <v>51</v>
      </c>
      <c r="BJ14" s="31" t="s">
        <v>51</v>
      </c>
      <c r="BK14" s="31" t="s">
        <v>51</v>
      </c>
      <c r="BL14" s="31" t="s">
        <v>51</v>
      </c>
      <c r="BM14" s="31" t="s">
        <v>51</v>
      </c>
      <c r="BN14" s="31" t="s">
        <v>51</v>
      </c>
      <c r="BO14" s="31" t="s">
        <v>51</v>
      </c>
      <c r="BP14" s="31" t="s">
        <v>51</v>
      </c>
      <c r="BQ14" s="31" t="s">
        <v>51</v>
      </c>
      <c r="BR14" s="31" t="s">
        <v>51</v>
      </c>
      <c r="BS14" s="31" t="s">
        <v>1252</v>
      </c>
      <c r="BT14" s="31">
        <v>0</v>
      </c>
      <c r="BW14">
        <f t="shared" si="0"/>
        <v>0</v>
      </c>
      <c r="CC14" s="11" t="str">
        <f t="shared" si="1"/>
        <v>Cyber4OT dataset: Network traces for cyber-security vulnerability evaluation in industrial control systems</v>
      </c>
    </row>
    <row r="15" spans="1:81">
      <c r="A15" s="31" t="s">
        <v>1237</v>
      </c>
      <c r="B15" s="31" t="s">
        <v>1306</v>
      </c>
      <c r="C15" s="31" t="s">
        <v>51</v>
      </c>
      <c r="D15" s="31" t="s">
        <v>51</v>
      </c>
      <c r="E15" s="31" t="s">
        <v>1283</v>
      </c>
      <c r="F15" s="31" t="s">
        <v>1307</v>
      </c>
      <c r="G15" s="31" t="s">
        <v>51</v>
      </c>
      <c r="H15" s="31" t="s">
        <v>51</v>
      </c>
      <c r="I15" s="31" t="s">
        <v>265</v>
      </c>
      <c r="J15" s="31" t="s">
        <v>1308</v>
      </c>
      <c r="K15" s="31" t="s">
        <v>51</v>
      </c>
      <c r="L15" s="31" t="s">
        <v>51</v>
      </c>
      <c r="M15" s="31" t="s">
        <v>51</v>
      </c>
      <c r="N15" s="31" t="s">
        <v>51</v>
      </c>
      <c r="O15" s="31" t="s">
        <v>1309</v>
      </c>
      <c r="P15" s="31" t="s">
        <v>1310</v>
      </c>
      <c r="Q15" s="31" t="s">
        <v>1311</v>
      </c>
      <c r="R15" s="31" t="s">
        <v>1312</v>
      </c>
      <c r="S15" s="31" t="s">
        <v>51</v>
      </c>
      <c r="T15" s="31" t="s">
        <v>51</v>
      </c>
      <c r="U15" s="31" t="s">
        <v>51</v>
      </c>
      <c r="V15" s="31" t="s">
        <v>1955</v>
      </c>
      <c r="W15" s="31" t="s">
        <v>51</v>
      </c>
      <c r="X15" s="31" t="s">
        <v>51</v>
      </c>
      <c r="Y15" s="31" t="s">
        <v>51</v>
      </c>
      <c r="Z15" s="31" t="s">
        <v>51</v>
      </c>
      <c r="AA15" s="31" t="s">
        <v>1956</v>
      </c>
      <c r="AB15" s="31" t="s">
        <v>1957</v>
      </c>
      <c r="AC15" s="31" t="s">
        <v>51</v>
      </c>
      <c r="AD15" s="31" t="s">
        <v>51</v>
      </c>
      <c r="AE15" s="31" t="s">
        <v>51</v>
      </c>
      <c r="AF15" s="31" t="s">
        <v>51</v>
      </c>
      <c r="AG15" s="31" t="s">
        <v>51</v>
      </c>
      <c r="AH15" s="31" t="s">
        <v>51</v>
      </c>
      <c r="AI15" s="31" t="s">
        <v>51</v>
      </c>
      <c r="AJ15" s="31" t="s">
        <v>51</v>
      </c>
      <c r="AK15" s="31" t="s">
        <v>51</v>
      </c>
      <c r="AL15" s="31" t="s">
        <v>51</v>
      </c>
      <c r="AM15" s="31" t="s">
        <v>51</v>
      </c>
      <c r="AN15" s="31" t="s">
        <v>51</v>
      </c>
      <c r="AO15" s="31" t="s">
        <v>51</v>
      </c>
      <c r="AP15" s="31" t="s">
        <v>51</v>
      </c>
      <c r="AQ15" s="31" t="s">
        <v>1313</v>
      </c>
      <c r="AR15" s="31" t="s">
        <v>51</v>
      </c>
      <c r="AS15" s="31" t="s">
        <v>51</v>
      </c>
      <c r="AT15" s="31" t="s">
        <v>51</v>
      </c>
      <c r="AU15" s="31">
        <v>2021</v>
      </c>
      <c r="AV15" s="31" t="s">
        <v>51</v>
      </c>
      <c r="AW15" s="31" t="s">
        <v>51</v>
      </c>
      <c r="AX15" s="31" t="s">
        <v>51</v>
      </c>
      <c r="AY15" s="31" t="s">
        <v>51</v>
      </c>
      <c r="AZ15" s="31" t="s">
        <v>51</v>
      </c>
      <c r="BA15" s="31" t="s">
        <v>51</v>
      </c>
      <c r="BB15" s="31">
        <v>849</v>
      </c>
      <c r="BC15" s="31">
        <v>860</v>
      </c>
      <c r="BD15" s="31" t="s">
        <v>51</v>
      </c>
      <c r="BE15" s="31" t="s">
        <v>267</v>
      </c>
      <c r="BF15" s="31">
        <v>0</v>
      </c>
      <c r="BG15" s="31" t="s">
        <v>51</v>
      </c>
      <c r="BH15" s="31" t="s">
        <v>51</v>
      </c>
      <c r="BI15" s="31" t="s">
        <v>51</v>
      </c>
      <c r="BJ15" s="31" t="s">
        <v>51</v>
      </c>
      <c r="BK15" s="31" t="s">
        <v>51</v>
      </c>
      <c r="BL15" s="31" t="s">
        <v>51</v>
      </c>
      <c r="BM15" s="31" t="s">
        <v>51</v>
      </c>
      <c r="BN15" s="31" t="s">
        <v>51</v>
      </c>
      <c r="BO15" s="31" t="s">
        <v>51</v>
      </c>
      <c r="BP15" s="31" t="s">
        <v>51</v>
      </c>
      <c r="BQ15" s="31" t="s">
        <v>51</v>
      </c>
      <c r="BR15" s="31" t="s">
        <v>51</v>
      </c>
      <c r="BS15" s="31" t="s">
        <v>1314</v>
      </c>
      <c r="BT15" s="31">
        <v>0</v>
      </c>
      <c r="BW15">
        <f t="shared" si="0"/>
        <v>11</v>
      </c>
      <c r="CC15" s="11" t="str">
        <f t="shared" si="1"/>
        <v>ICS3Fuzzer: A Framework for Discovering Protocol Implementation Bugs in ICS Supervisory Software by Fuzzing</v>
      </c>
    </row>
    <row r="16" spans="1:81">
      <c r="A16" s="31" t="s">
        <v>1237</v>
      </c>
      <c r="B16" s="31" t="s">
        <v>1351</v>
      </c>
      <c r="C16" s="31" t="s">
        <v>51</v>
      </c>
      <c r="D16" s="31" t="s">
        <v>51</v>
      </c>
      <c r="E16" s="31" t="s">
        <v>19</v>
      </c>
      <c r="F16" s="31" t="s">
        <v>1352</v>
      </c>
      <c r="G16" s="31" t="s">
        <v>51</v>
      </c>
      <c r="H16" s="31" t="s">
        <v>51</v>
      </c>
      <c r="I16" s="31" t="s">
        <v>122</v>
      </c>
      <c r="J16" s="31" t="s">
        <v>1353</v>
      </c>
      <c r="K16" s="31" t="s">
        <v>51</v>
      </c>
      <c r="L16" s="31" t="s">
        <v>51</v>
      </c>
      <c r="M16" s="31" t="s">
        <v>51</v>
      </c>
      <c r="N16" s="31" t="s">
        <v>51</v>
      </c>
      <c r="O16" s="31" t="s">
        <v>1354</v>
      </c>
      <c r="P16" s="31" t="s">
        <v>1355</v>
      </c>
      <c r="Q16" s="31" t="s">
        <v>1356</v>
      </c>
      <c r="R16" s="31" t="s">
        <v>1272</v>
      </c>
      <c r="S16" s="31" t="s">
        <v>51</v>
      </c>
      <c r="T16" s="31" t="s">
        <v>51</v>
      </c>
      <c r="U16" s="31" t="s">
        <v>51</v>
      </c>
      <c r="V16" s="31" t="s">
        <v>1159</v>
      </c>
      <c r="W16" s="31" t="s">
        <v>51</v>
      </c>
      <c r="X16" s="31" t="s">
        <v>51</v>
      </c>
      <c r="Y16" s="31" t="s">
        <v>51</v>
      </c>
      <c r="Z16" s="31" t="s">
        <v>51</v>
      </c>
      <c r="AA16" s="31" t="s">
        <v>1958</v>
      </c>
      <c r="AB16" s="31" t="s">
        <v>1959</v>
      </c>
      <c r="AC16" s="31" t="s">
        <v>51</v>
      </c>
      <c r="AD16" s="31" t="s">
        <v>51</v>
      </c>
      <c r="AE16" s="31" t="s">
        <v>51</v>
      </c>
      <c r="AF16" s="31" t="s">
        <v>51</v>
      </c>
      <c r="AG16" s="31" t="s">
        <v>51</v>
      </c>
      <c r="AH16" s="31" t="s">
        <v>51</v>
      </c>
      <c r="AI16" s="31" t="s">
        <v>51</v>
      </c>
      <c r="AJ16" s="31" t="s">
        <v>51</v>
      </c>
      <c r="AK16" s="31" t="s">
        <v>51</v>
      </c>
      <c r="AL16" s="31" t="s">
        <v>51</v>
      </c>
      <c r="AM16" s="31" t="s">
        <v>51</v>
      </c>
      <c r="AN16" s="31" t="s">
        <v>51</v>
      </c>
      <c r="AO16" s="31" t="s">
        <v>51</v>
      </c>
      <c r="AP16" s="31" t="s">
        <v>51</v>
      </c>
      <c r="AQ16" s="31" t="s">
        <v>1357</v>
      </c>
      <c r="AR16" s="31" t="s">
        <v>51</v>
      </c>
      <c r="AS16" s="31" t="s">
        <v>51</v>
      </c>
      <c r="AT16" s="31" t="s">
        <v>51</v>
      </c>
      <c r="AU16" s="31">
        <v>2025</v>
      </c>
      <c r="AV16" s="31" t="s">
        <v>51</v>
      </c>
      <c r="AW16" s="31" t="s">
        <v>51</v>
      </c>
      <c r="AX16" s="31" t="s">
        <v>51</v>
      </c>
      <c r="AY16" s="31" t="s">
        <v>51</v>
      </c>
      <c r="AZ16" s="31" t="s">
        <v>51</v>
      </c>
      <c r="BA16" s="31" t="s">
        <v>51</v>
      </c>
      <c r="BB16" s="31">
        <v>1023</v>
      </c>
      <c r="BC16" s="31">
        <v>1027</v>
      </c>
      <c r="BD16" s="31" t="s">
        <v>51</v>
      </c>
      <c r="BE16" s="31" t="s">
        <v>123</v>
      </c>
      <c r="BF16" s="31">
        <v>0</v>
      </c>
      <c r="BG16" s="31" t="s">
        <v>51</v>
      </c>
      <c r="BH16" s="31" t="s">
        <v>51</v>
      </c>
      <c r="BI16" s="31" t="s">
        <v>51</v>
      </c>
      <c r="BJ16" s="31" t="s">
        <v>51</v>
      </c>
      <c r="BK16" s="31" t="s">
        <v>51</v>
      </c>
      <c r="BL16" s="31" t="s">
        <v>51</v>
      </c>
      <c r="BM16" s="31" t="s">
        <v>51</v>
      </c>
      <c r="BN16" s="31" t="s">
        <v>51</v>
      </c>
      <c r="BO16" s="31" t="s">
        <v>51</v>
      </c>
      <c r="BP16" s="31" t="s">
        <v>51</v>
      </c>
      <c r="BQ16" s="31" t="s">
        <v>51</v>
      </c>
      <c r="BR16" s="31" t="s">
        <v>51</v>
      </c>
      <c r="BS16" s="31" t="s">
        <v>1358</v>
      </c>
      <c r="BT16" s="31">
        <v>0</v>
      </c>
      <c r="BW16">
        <f t="shared" si="0"/>
        <v>4</v>
      </c>
      <c r="CC16" s="11" t="str">
        <f t="shared" si="1"/>
        <v>Energy-Efficient Wireless Sensor Networks Optimization using Deep Q-Networks for Smart Energy Applications</v>
      </c>
    </row>
    <row r="17" spans="1:81">
      <c r="A17" s="31" t="s">
        <v>1227</v>
      </c>
      <c r="B17" s="31" t="s">
        <v>1359</v>
      </c>
      <c r="C17" s="31" t="s">
        <v>51</v>
      </c>
      <c r="D17" s="31" t="s">
        <v>51</v>
      </c>
      <c r="E17" s="31" t="s">
        <v>51</v>
      </c>
      <c r="F17" s="31" t="s">
        <v>1360</v>
      </c>
      <c r="G17" s="31" t="s">
        <v>51</v>
      </c>
      <c r="H17" s="31" t="s">
        <v>51</v>
      </c>
      <c r="I17" s="31" t="s">
        <v>86</v>
      </c>
      <c r="J17" s="31" t="s">
        <v>1361</v>
      </c>
      <c r="K17" s="31" t="s">
        <v>51</v>
      </c>
      <c r="L17" s="31" t="s">
        <v>51</v>
      </c>
      <c r="M17" s="31" t="s">
        <v>51</v>
      </c>
      <c r="N17" s="31" t="s">
        <v>51</v>
      </c>
      <c r="O17" s="31" t="s">
        <v>51</v>
      </c>
      <c r="P17" s="31" t="s">
        <v>51</v>
      </c>
      <c r="Q17" s="31" t="s">
        <v>51</v>
      </c>
      <c r="R17" s="31" t="s">
        <v>51</v>
      </c>
      <c r="S17" s="31" t="s">
        <v>51</v>
      </c>
      <c r="T17" s="31" t="s">
        <v>51</v>
      </c>
      <c r="U17" s="31" t="s">
        <v>51</v>
      </c>
      <c r="V17" s="31" t="s">
        <v>1960</v>
      </c>
      <c r="W17" s="31" t="s">
        <v>51</v>
      </c>
      <c r="X17" s="31" t="s">
        <v>51</v>
      </c>
      <c r="Y17" s="31" t="s">
        <v>51</v>
      </c>
      <c r="Z17" s="31" t="s">
        <v>51</v>
      </c>
      <c r="AA17" s="31" t="s">
        <v>1961</v>
      </c>
      <c r="AB17" s="31" t="s">
        <v>1962</v>
      </c>
      <c r="AC17" s="31" t="s">
        <v>51</v>
      </c>
      <c r="AD17" s="31" t="s">
        <v>51</v>
      </c>
      <c r="AE17" s="31" t="s">
        <v>51</v>
      </c>
      <c r="AF17" s="31" t="s">
        <v>51</v>
      </c>
      <c r="AG17" s="31" t="s">
        <v>51</v>
      </c>
      <c r="AH17" s="31" t="s">
        <v>51</v>
      </c>
      <c r="AI17" s="31" t="s">
        <v>51</v>
      </c>
      <c r="AJ17" s="31" t="s">
        <v>51</v>
      </c>
      <c r="AK17" s="31" t="s">
        <v>51</v>
      </c>
      <c r="AL17" s="31" t="s">
        <v>51</v>
      </c>
      <c r="AM17" s="31" t="s">
        <v>51</v>
      </c>
      <c r="AN17" s="31" t="s">
        <v>51</v>
      </c>
      <c r="AO17" s="31" t="s">
        <v>1362</v>
      </c>
      <c r="AP17" s="31" t="s">
        <v>51</v>
      </c>
      <c r="AQ17" s="31" t="s">
        <v>51</v>
      </c>
      <c r="AR17" s="31" t="s">
        <v>51</v>
      </c>
      <c r="AS17" s="31" t="s">
        <v>51</v>
      </c>
      <c r="AT17" s="31" t="s">
        <v>1363</v>
      </c>
      <c r="AU17" s="31">
        <v>2025</v>
      </c>
      <c r="AV17" s="31">
        <v>17</v>
      </c>
      <c r="AW17" s="31">
        <v>7</v>
      </c>
      <c r="AX17" s="31" t="s">
        <v>51</v>
      </c>
      <c r="AY17" s="31" t="s">
        <v>51</v>
      </c>
      <c r="AZ17" s="31" t="s">
        <v>51</v>
      </c>
      <c r="BA17" s="31" t="s">
        <v>51</v>
      </c>
      <c r="BB17" s="31" t="s">
        <v>51</v>
      </c>
      <c r="BC17" s="31" t="s">
        <v>51</v>
      </c>
      <c r="BD17" s="31">
        <v>286</v>
      </c>
      <c r="BE17" s="31" t="s">
        <v>90</v>
      </c>
      <c r="BF17" s="31">
        <v>0</v>
      </c>
      <c r="BG17" s="31" t="s">
        <v>51</v>
      </c>
      <c r="BH17" s="31" t="s">
        <v>51</v>
      </c>
      <c r="BI17" s="31" t="s">
        <v>51</v>
      </c>
      <c r="BJ17" s="31" t="s">
        <v>51</v>
      </c>
      <c r="BK17" s="31" t="s">
        <v>51</v>
      </c>
      <c r="BL17" s="31" t="s">
        <v>51</v>
      </c>
      <c r="BM17" s="31" t="s">
        <v>51</v>
      </c>
      <c r="BN17" s="31" t="s">
        <v>51</v>
      </c>
      <c r="BO17" s="31" t="s">
        <v>51</v>
      </c>
      <c r="BP17" s="31" t="s">
        <v>51</v>
      </c>
      <c r="BQ17" s="31" t="s">
        <v>51</v>
      </c>
      <c r="BR17" s="31" t="s">
        <v>51</v>
      </c>
      <c r="BS17" s="31" t="s">
        <v>1364</v>
      </c>
      <c r="BT17" s="31">
        <v>0</v>
      </c>
      <c r="BW17">
        <f t="shared" si="0"/>
        <v>0</v>
      </c>
      <c r="CC17" s="11" t="str">
        <f t="shared" si="1"/>
        <v>Exponential Backoff and Its Security Implications for Safety-Critical OT Protocols over TCP/IP Networks</v>
      </c>
    </row>
    <row r="18" spans="1:81">
      <c r="A18" s="31" t="s">
        <v>1227</v>
      </c>
      <c r="B18" s="31" t="s">
        <v>1963</v>
      </c>
      <c r="C18" s="31" t="s">
        <v>51</v>
      </c>
      <c r="D18" s="31" t="s">
        <v>51</v>
      </c>
      <c r="E18" s="31" t="s">
        <v>51</v>
      </c>
      <c r="F18" s="31" t="s">
        <v>1964</v>
      </c>
      <c r="G18" s="31" t="s">
        <v>51</v>
      </c>
      <c r="H18" s="31" t="s">
        <v>51</v>
      </c>
      <c r="I18" s="31" t="s">
        <v>591</v>
      </c>
      <c r="J18" s="31" t="s">
        <v>1965</v>
      </c>
      <c r="K18" s="31" t="s">
        <v>51</v>
      </c>
      <c r="L18" s="31" t="s">
        <v>51</v>
      </c>
      <c r="M18" s="31" t="s">
        <v>51</v>
      </c>
      <c r="N18" s="31" t="s">
        <v>51</v>
      </c>
      <c r="O18" s="31" t="s">
        <v>51</v>
      </c>
      <c r="P18" s="31" t="s">
        <v>51</v>
      </c>
      <c r="Q18" s="31" t="s">
        <v>51</v>
      </c>
      <c r="R18" s="31" t="s">
        <v>51</v>
      </c>
      <c r="S18" s="31" t="s">
        <v>51</v>
      </c>
      <c r="T18" s="31" t="s">
        <v>51</v>
      </c>
      <c r="U18" s="31" t="s">
        <v>51</v>
      </c>
      <c r="V18" s="31" t="s">
        <v>597</v>
      </c>
      <c r="W18" s="31" t="s">
        <v>51</v>
      </c>
      <c r="X18" s="31" t="s">
        <v>51</v>
      </c>
      <c r="Y18" s="31" t="s">
        <v>51</v>
      </c>
      <c r="Z18" s="31" t="s">
        <v>51</v>
      </c>
      <c r="AA18" s="31" t="s">
        <v>1966</v>
      </c>
      <c r="AB18" s="31" t="s">
        <v>1967</v>
      </c>
      <c r="AC18" s="31" t="s">
        <v>51</v>
      </c>
      <c r="AD18" s="31" t="s">
        <v>51</v>
      </c>
      <c r="AE18" s="31" t="s">
        <v>51</v>
      </c>
      <c r="AF18" s="31" t="s">
        <v>51</v>
      </c>
      <c r="AG18" s="31" t="s">
        <v>51</v>
      </c>
      <c r="AH18" s="31" t="s">
        <v>51</v>
      </c>
      <c r="AI18" s="31" t="s">
        <v>51</v>
      </c>
      <c r="AJ18" s="31" t="s">
        <v>51</v>
      </c>
      <c r="AK18" s="31" t="s">
        <v>51</v>
      </c>
      <c r="AL18" s="31" t="s">
        <v>51</v>
      </c>
      <c r="AM18" s="31" t="s">
        <v>51</v>
      </c>
      <c r="AN18" s="31" t="s">
        <v>51</v>
      </c>
      <c r="AO18" s="31" t="s">
        <v>1968</v>
      </c>
      <c r="AP18" s="31" t="s">
        <v>598</v>
      </c>
      <c r="AQ18" s="31" t="s">
        <v>51</v>
      </c>
      <c r="AR18" s="31" t="s">
        <v>51</v>
      </c>
      <c r="AS18" s="31" t="s">
        <v>51</v>
      </c>
      <c r="AT18" s="31" t="s">
        <v>1969</v>
      </c>
      <c r="AU18" s="31">
        <v>2022</v>
      </c>
      <c r="AV18" s="31">
        <v>19</v>
      </c>
      <c r="AW18" s="31">
        <v>4</v>
      </c>
      <c r="AX18" s="31" t="s">
        <v>51</v>
      </c>
      <c r="AY18" s="31" t="s">
        <v>51</v>
      </c>
      <c r="AZ18" s="31" t="s">
        <v>51</v>
      </c>
      <c r="BA18" s="31" t="s">
        <v>51</v>
      </c>
      <c r="BB18" s="31">
        <v>2396</v>
      </c>
      <c r="BC18" s="31">
        <v>2404</v>
      </c>
      <c r="BD18" s="31" t="s">
        <v>51</v>
      </c>
      <c r="BE18" s="31" t="s">
        <v>599</v>
      </c>
      <c r="BF18" s="31">
        <v>0</v>
      </c>
      <c r="BG18" s="31" t="s">
        <v>51</v>
      </c>
      <c r="BH18" s="31" t="s">
        <v>51</v>
      </c>
      <c r="BI18" s="31" t="s">
        <v>51</v>
      </c>
      <c r="BJ18" s="31" t="s">
        <v>51</v>
      </c>
      <c r="BK18" s="31" t="s">
        <v>51</v>
      </c>
      <c r="BL18" s="31" t="s">
        <v>51</v>
      </c>
      <c r="BM18" s="31" t="s">
        <v>51</v>
      </c>
      <c r="BN18" s="31" t="s">
        <v>51</v>
      </c>
      <c r="BO18" s="31" t="s">
        <v>51</v>
      </c>
      <c r="BP18" s="31" t="s">
        <v>51</v>
      </c>
      <c r="BQ18" s="31" t="s">
        <v>51</v>
      </c>
      <c r="BR18" s="31" t="s">
        <v>51</v>
      </c>
      <c r="BS18" s="31" t="s">
        <v>1970</v>
      </c>
      <c r="BT18" s="31">
        <v>0</v>
      </c>
      <c r="BW18">
        <f t="shared" si="0"/>
        <v>8</v>
      </c>
      <c r="CC18" s="11" t="str">
        <f t="shared" si="1"/>
        <v>Security and Effectiveness Analysis of the Gateway Integrity Checking Protocol</v>
      </c>
    </row>
    <row r="19" spans="1:81">
      <c r="A19" s="31" t="s">
        <v>1227</v>
      </c>
      <c r="B19" s="31" t="s">
        <v>1298</v>
      </c>
      <c r="C19" s="31" t="s">
        <v>51</v>
      </c>
      <c r="D19" s="31" t="s">
        <v>51</v>
      </c>
      <c r="E19" s="31" t="s">
        <v>51</v>
      </c>
      <c r="F19" s="31" t="s">
        <v>1299</v>
      </c>
      <c r="G19" s="31" t="s">
        <v>51</v>
      </c>
      <c r="H19" s="31" t="s">
        <v>51</v>
      </c>
      <c r="I19" s="31" t="s">
        <v>143</v>
      </c>
      <c r="J19" s="31" t="s">
        <v>1300</v>
      </c>
      <c r="K19" s="31" t="s">
        <v>51</v>
      </c>
      <c r="L19" s="31" t="s">
        <v>51</v>
      </c>
      <c r="M19" s="31" t="s">
        <v>51</v>
      </c>
      <c r="N19" s="31" t="s">
        <v>51</v>
      </c>
      <c r="O19" s="31" t="s">
        <v>51</v>
      </c>
      <c r="P19" s="31" t="s">
        <v>51</v>
      </c>
      <c r="Q19" s="31" t="s">
        <v>51</v>
      </c>
      <c r="R19" s="31" t="s">
        <v>51</v>
      </c>
      <c r="S19" s="31" t="s">
        <v>51</v>
      </c>
      <c r="T19" s="31" t="s">
        <v>51</v>
      </c>
      <c r="U19" s="31" t="s">
        <v>51</v>
      </c>
      <c r="V19" s="31" t="s">
        <v>1971</v>
      </c>
      <c r="W19" s="31" t="s">
        <v>51</v>
      </c>
      <c r="X19" s="31" t="s">
        <v>51</v>
      </c>
      <c r="Y19" s="31" t="s">
        <v>51</v>
      </c>
      <c r="Z19" s="31" t="s">
        <v>51</v>
      </c>
      <c r="AA19" s="31" t="s">
        <v>1301</v>
      </c>
      <c r="AB19" s="31" t="s">
        <v>1302</v>
      </c>
      <c r="AC19" s="31" t="s">
        <v>51</v>
      </c>
      <c r="AD19" s="31" t="s">
        <v>51</v>
      </c>
      <c r="AE19" s="31" t="s">
        <v>51</v>
      </c>
      <c r="AF19" s="31" t="s">
        <v>51</v>
      </c>
      <c r="AG19" s="31" t="s">
        <v>51</v>
      </c>
      <c r="AH19" s="31" t="s">
        <v>51</v>
      </c>
      <c r="AI19" s="31" t="s">
        <v>51</v>
      </c>
      <c r="AJ19" s="31" t="s">
        <v>51</v>
      </c>
      <c r="AK19" s="31" t="s">
        <v>51</v>
      </c>
      <c r="AL19" s="31" t="s">
        <v>51</v>
      </c>
      <c r="AM19" s="31" t="s">
        <v>51</v>
      </c>
      <c r="AN19" s="31" t="s">
        <v>51</v>
      </c>
      <c r="AO19" s="31" t="s">
        <v>1303</v>
      </c>
      <c r="AP19" s="31" t="s">
        <v>51</v>
      </c>
      <c r="AQ19" s="31" t="s">
        <v>51</v>
      </c>
      <c r="AR19" s="31" t="s">
        <v>51</v>
      </c>
      <c r="AS19" s="31" t="s">
        <v>51</v>
      </c>
      <c r="AT19" s="31" t="s">
        <v>1304</v>
      </c>
      <c r="AU19" s="31">
        <v>2024</v>
      </c>
      <c r="AV19" s="31">
        <v>6</v>
      </c>
      <c r="AW19" s="31">
        <v>4</v>
      </c>
      <c r="AX19" s="31" t="s">
        <v>51</v>
      </c>
      <c r="AY19" s="31" t="s">
        <v>51</v>
      </c>
      <c r="AZ19" s="31" t="s">
        <v>51</v>
      </c>
      <c r="BA19" s="31" t="s">
        <v>51</v>
      </c>
      <c r="BB19" s="31" t="s">
        <v>51</v>
      </c>
      <c r="BC19" s="31" t="s">
        <v>51</v>
      </c>
      <c r="BD19" s="31">
        <v>45425</v>
      </c>
      <c r="BE19" s="31" t="s">
        <v>147</v>
      </c>
      <c r="BF19" s="31">
        <v>0</v>
      </c>
      <c r="BG19" s="31" t="s">
        <v>51</v>
      </c>
      <c r="BH19" s="31" t="s">
        <v>51</v>
      </c>
      <c r="BI19" s="31" t="s">
        <v>51</v>
      </c>
      <c r="BJ19" s="31" t="s">
        <v>51</v>
      </c>
      <c r="BK19" s="31" t="s">
        <v>51</v>
      </c>
      <c r="BL19" s="31" t="s">
        <v>51</v>
      </c>
      <c r="BM19" s="31" t="s">
        <v>51</v>
      </c>
      <c r="BN19" s="31" t="s">
        <v>51</v>
      </c>
      <c r="BO19" s="31" t="s">
        <v>51</v>
      </c>
      <c r="BP19" s="31" t="s">
        <v>51</v>
      </c>
      <c r="BQ19" s="31" t="s">
        <v>51</v>
      </c>
      <c r="BR19" s="31" t="s">
        <v>51</v>
      </c>
      <c r="BS19" s="31" t="s">
        <v>1305</v>
      </c>
      <c r="BT19" s="31">
        <v>0</v>
      </c>
      <c r="BW19">
        <f t="shared" si="0"/>
        <v>0</v>
      </c>
      <c r="CC19" s="11" t="str">
        <f t="shared" si="1"/>
        <v>Simulation and modeling of a robust cybersecurity system for next-generation manufacturing execution</v>
      </c>
    </row>
    <row r="20" spans="1:8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CC20" s="11"/>
    </row>
    <row r="21" spans="1:8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CC21" s="11"/>
    </row>
    <row r="22" spans="1:8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CC22" s="11"/>
    </row>
    <row r="23" spans="1:8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CC23" s="11"/>
    </row>
    <row r="24" spans="1:8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CC24" s="11"/>
    </row>
    <row r="25" spans="1:81">
      <c r="CC25" s="11"/>
    </row>
    <row r="26" spans="1:81">
      <c r="CC26" s="11"/>
    </row>
    <row r="27" spans="1:81">
      <c r="CC27" s="11"/>
    </row>
    <row r="28" spans="1:81">
      <c r="CC28" s="11"/>
    </row>
    <row r="29" spans="1:81">
      <c r="CC29" s="11"/>
    </row>
    <row r="30" spans="1:81">
      <c r="CC30" s="11"/>
    </row>
    <row r="31" spans="1:81">
      <c r="CC31" s="11"/>
    </row>
    <row r="32" spans="1:81">
      <c r="CC32" s="11"/>
    </row>
    <row r="33" spans="81:81">
      <c r="CC33" s="11"/>
    </row>
    <row r="34" spans="81:81">
      <c r="CC34" s="11"/>
    </row>
    <row r="35" spans="81:81">
      <c r="CC35" s="11"/>
    </row>
    <row r="36" spans="81:81">
      <c r="CC36" s="11"/>
    </row>
    <row r="37" spans="81:81">
      <c r="CC37" s="11"/>
    </row>
    <row r="38" spans="81:81">
      <c r="CC38" s="11"/>
    </row>
    <row r="39" spans="81:81">
      <c r="CC39" s="11"/>
    </row>
    <row r="40" spans="81:81">
      <c r="CC40" s="11"/>
    </row>
    <row r="41" spans="81:81">
      <c r="CC41" s="11"/>
    </row>
    <row r="42" spans="81:81">
      <c r="CC42" s="11"/>
    </row>
    <row r="43" spans="81:81">
      <c r="CC43" s="11"/>
    </row>
    <row r="44" spans="81:81">
      <c r="CC44" s="11"/>
    </row>
    <row r="45" spans="81:81">
      <c r="CC45" s="11"/>
    </row>
    <row r="46" spans="81:81">
      <c r="CC46" s="1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9412-CCC7-4A9E-976B-D3BF94A0F22E}">
  <dimension ref="A1:M82"/>
  <sheetViews>
    <sheetView topLeftCell="B2" workbookViewId="0">
      <selection activeCell="F2" sqref="F2:F42"/>
    </sheetView>
  </sheetViews>
  <sheetFormatPr defaultRowHeight="12.75"/>
  <cols>
    <col min="1" max="2" width="81.140625" bestFit="1" customWidth="1"/>
    <col min="3" max="3" width="7.28515625" bestFit="1" customWidth="1"/>
    <col min="4" max="4" width="48.28515625" bestFit="1" customWidth="1"/>
    <col min="5" max="5" width="9.5703125" bestFit="1" customWidth="1"/>
    <col min="6" max="6" width="23.140625" bestFit="1" customWidth="1"/>
    <col min="7" max="7" width="81.140625" bestFit="1" customWidth="1"/>
    <col min="8" max="8" width="12.7109375" bestFit="1" customWidth="1"/>
    <col min="9" max="9" width="81.140625" bestFit="1" customWidth="1"/>
  </cols>
  <sheetData>
    <row r="1" spans="1:13">
      <c r="A1" t="s">
        <v>1367</v>
      </c>
      <c r="B1" t="s">
        <v>1368</v>
      </c>
      <c r="C1" t="s">
        <v>1369</v>
      </c>
      <c r="D1" t="s">
        <v>1370</v>
      </c>
      <c r="E1" t="s">
        <v>1371</v>
      </c>
      <c r="F1" t="s">
        <v>1372</v>
      </c>
      <c r="G1" t="s">
        <v>1373</v>
      </c>
      <c r="H1" t="s">
        <v>1374</v>
      </c>
      <c r="I1" t="s">
        <v>1375</v>
      </c>
      <c r="M1" t="s">
        <v>1400</v>
      </c>
    </row>
    <row r="2" spans="1:13">
      <c r="A2" t="s">
        <v>1972</v>
      </c>
      <c r="B2" t="s">
        <v>1973</v>
      </c>
      <c r="C2">
        <v>2024</v>
      </c>
      <c r="D2" t="s">
        <v>1974</v>
      </c>
      <c r="E2" t="s">
        <v>51</v>
      </c>
      <c r="F2" t="s">
        <v>1975</v>
      </c>
      <c r="G2" t="s">
        <v>1976</v>
      </c>
      <c r="H2">
        <v>12</v>
      </c>
      <c r="I2" t="s">
        <v>1977</v>
      </c>
      <c r="M2" s="11" t="str">
        <f>HYPERLINK($D2,$B2)</f>
        <v>ICSNet: A Hybrid-Interaction Honeynet for Industrial Control Systems</v>
      </c>
    </row>
    <row r="3" spans="1:13">
      <c r="A3" t="s">
        <v>1377</v>
      </c>
      <c r="B3" t="s">
        <v>1378</v>
      </c>
      <c r="C3">
        <v>2024</v>
      </c>
      <c r="D3" t="s">
        <v>1978</v>
      </c>
      <c r="E3" t="s">
        <v>1379</v>
      </c>
      <c r="F3" t="s">
        <v>1380</v>
      </c>
      <c r="G3" t="s">
        <v>1979</v>
      </c>
      <c r="H3">
        <v>31</v>
      </c>
      <c r="I3" t="s">
        <v>1381</v>
      </c>
      <c r="M3" s="11" t="str">
        <f t="shared" ref="M3:M42" si="0">HYPERLINK($D3,$B3)</f>
        <v>RTPL: A Real-Time Communication Protocol for LoRa Network</v>
      </c>
    </row>
    <row r="4" spans="1:13">
      <c r="A4" t="s">
        <v>1980</v>
      </c>
      <c r="B4" t="s">
        <v>1981</v>
      </c>
      <c r="C4">
        <v>2024</v>
      </c>
      <c r="D4" t="s">
        <v>1982</v>
      </c>
      <c r="E4" t="s">
        <v>51</v>
      </c>
      <c r="F4" t="s">
        <v>1983</v>
      </c>
      <c r="G4" t="s">
        <v>1984</v>
      </c>
      <c r="H4">
        <v>9</v>
      </c>
      <c r="I4" t="s">
        <v>1985</v>
      </c>
      <c r="M4" s="11" t="str">
        <f t="shared" si="0"/>
        <v>EmuFlex: A Flexible OT Testbed for Security Experiments with OPC UA</v>
      </c>
    </row>
    <row r="5" spans="1:13">
      <c r="A5" t="s">
        <v>1382</v>
      </c>
      <c r="B5" t="s">
        <v>1383</v>
      </c>
      <c r="C5">
        <v>2021</v>
      </c>
      <c r="D5" t="s">
        <v>1986</v>
      </c>
      <c r="E5" t="s">
        <v>1376</v>
      </c>
      <c r="F5" t="s">
        <v>1384</v>
      </c>
      <c r="G5" t="s">
        <v>1385</v>
      </c>
      <c r="H5">
        <v>35</v>
      </c>
      <c r="I5" t="s">
        <v>1386</v>
      </c>
      <c r="M5" s="11" t="str">
        <f t="shared" si="0"/>
        <v>A Comprehensive Survey on Interoperability for IIoT: Taxonomy, Standards, and Future Directions</v>
      </c>
    </row>
    <row r="6" spans="1:13">
      <c r="A6" t="s">
        <v>1987</v>
      </c>
      <c r="B6" t="s">
        <v>1988</v>
      </c>
      <c r="C6">
        <v>2024</v>
      </c>
      <c r="D6" t="s">
        <v>1989</v>
      </c>
      <c r="E6" t="s">
        <v>51</v>
      </c>
      <c r="F6" t="s">
        <v>1990</v>
      </c>
      <c r="G6" t="s">
        <v>1991</v>
      </c>
      <c r="H6">
        <v>17</v>
      </c>
      <c r="I6" t="s">
        <v>1992</v>
      </c>
      <c r="M6" s="11" t="str">
        <f t="shared" si="0"/>
        <v>On Practical Realization of Evasion Attacks for Industrial Control Systems</v>
      </c>
    </row>
    <row r="7" spans="1:13">
      <c r="A7" t="s">
        <v>1993</v>
      </c>
      <c r="B7" t="s">
        <v>1994</v>
      </c>
      <c r="C7">
        <v>2024</v>
      </c>
      <c r="D7" t="s">
        <v>1995</v>
      </c>
      <c r="E7" t="s">
        <v>51</v>
      </c>
      <c r="F7" t="s">
        <v>1996</v>
      </c>
      <c r="G7" t="s">
        <v>1997</v>
      </c>
      <c r="H7">
        <v>5</v>
      </c>
      <c r="I7" t="s">
        <v>1998</v>
      </c>
      <c r="M7" s="11" t="str">
        <f t="shared" si="0"/>
        <v>An Industrial Internet of Things (IIoT) platform for intelligent wind turbine gearbox fault detection with automatic annotation</v>
      </c>
    </row>
    <row r="8" spans="1:13">
      <c r="A8" t="s">
        <v>1999</v>
      </c>
      <c r="B8" t="s">
        <v>1517</v>
      </c>
      <c r="C8">
        <v>2024</v>
      </c>
      <c r="D8" t="s">
        <v>2000</v>
      </c>
      <c r="E8" t="s">
        <v>51</v>
      </c>
      <c r="F8" t="s">
        <v>1518</v>
      </c>
      <c r="G8" t="s">
        <v>2001</v>
      </c>
      <c r="H8">
        <v>7</v>
      </c>
      <c r="I8" t="s">
        <v>2002</v>
      </c>
      <c r="M8" s="11" t="str">
        <f t="shared" si="0"/>
        <v>Examining the Suitability of Stream Ciphers for Modbus-TCP Encryption on Resource Constrained Devices</v>
      </c>
    </row>
    <row r="9" spans="1:13">
      <c r="A9" t="s">
        <v>2003</v>
      </c>
      <c r="B9" t="s">
        <v>2004</v>
      </c>
      <c r="C9">
        <v>2023</v>
      </c>
      <c r="D9" t="s">
        <v>2005</v>
      </c>
      <c r="E9" t="s">
        <v>51</v>
      </c>
      <c r="F9" t="s">
        <v>2006</v>
      </c>
      <c r="G9" t="s">
        <v>2007</v>
      </c>
      <c r="H9">
        <v>10</v>
      </c>
      <c r="I9" t="s">
        <v>2008</v>
      </c>
      <c r="M9" s="11" t="str">
        <f t="shared" si="0"/>
        <v>HoneyICS: A High-interaction Physics-aware Honeynet for Industrial Control Systems</v>
      </c>
    </row>
    <row r="10" spans="1:13">
      <c r="A10" t="s">
        <v>2009</v>
      </c>
      <c r="B10" t="s">
        <v>2010</v>
      </c>
      <c r="C10">
        <v>2024</v>
      </c>
      <c r="D10" t="s">
        <v>2011</v>
      </c>
      <c r="E10" t="s">
        <v>51</v>
      </c>
      <c r="F10" t="s">
        <v>2012</v>
      </c>
      <c r="G10" t="s">
        <v>2013</v>
      </c>
      <c r="H10">
        <v>8</v>
      </c>
      <c r="I10" t="s">
        <v>2014</v>
      </c>
      <c r="M10" s="11" t="str">
        <f t="shared" si="0"/>
        <v>The PRECINCT Ecosystem Platform for Critical Infrastructure Protection: Architecture, Deployment and Transferability</v>
      </c>
    </row>
    <row r="11" spans="1:13">
      <c r="A11" t="s">
        <v>2015</v>
      </c>
      <c r="B11" t="s">
        <v>2016</v>
      </c>
      <c r="C11">
        <v>2021</v>
      </c>
      <c r="D11" t="s">
        <v>2017</v>
      </c>
      <c r="E11" t="s">
        <v>51</v>
      </c>
      <c r="F11" t="s">
        <v>2018</v>
      </c>
      <c r="G11" t="s">
        <v>2019</v>
      </c>
      <c r="H11">
        <v>6</v>
      </c>
      <c r="I11" t="s">
        <v>2020</v>
      </c>
      <c r="M11" s="11" t="str">
        <f t="shared" si="0"/>
        <v>Controller-in-the-Middle: Attacks on Software Defined Networks in Industrial Control Systems</v>
      </c>
    </row>
    <row r="12" spans="1:13">
      <c r="A12" t="s">
        <v>2021</v>
      </c>
      <c r="B12" t="s">
        <v>2022</v>
      </c>
      <c r="C12">
        <v>2025</v>
      </c>
      <c r="D12" t="s">
        <v>2023</v>
      </c>
      <c r="E12" t="s">
        <v>51</v>
      </c>
      <c r="F12" t="s">
        <v>2024</v>
      </c>
      <c r="G12" t="s">
        <v>2025</v>
      </c>
      <c r="H12">
        <v>8</v>
      </c>
      <c r="I12" t="s">
        <v>2026</v>
      </c>
      <c r="M12" s="11" t="str">
        <f t="shared" si="0"/>
        <v>Identifying key attacks on an IEEE 9-Bus System by leveraging the MITRE ATT&amp;amp;CK ICS Matrix</v>
      </c>
    </row>
    <row r="13" spans="1:13">
      <c r="A13" t="s">
        <v>2027</v>
      </c>
      <c r="B13" t="s">
        <v>2028</v>
      </c>
      <c r="C13">
        <v>2022</v>
      </c>
      <c r="D13" t="s">
        <v>2029</v>
      </c>
      <c r="E13" t="s">
        <v>51</v>
      </c>
      <c r="F13" t="s">
        <v>2030</v>
      </c>
      <c r="G13" t="s">
        <v>2031</v>
      </c>
      <c r="H13">
        <v>12</v>
      </c>
      <c r="I13" t="s">
        <v>2032</v>
      </c>
      <c r="M13" s="11" t="str">
        <f t="shared" si="0"/>
        <v>SoK: A Taxonomy for Contrasting Industrial Control Systems Asset Discovery Tools</v>
      </c>
    </row>
    <row r="14" spans="1:13">
      <c r="A14" t="s">
        <v>2033</v>
      </c>
      <c r="B14" t="s">
        <v>2034</v>
      </c>
      <c r="C14">
        <v>2024</v>
      </c>
      <c r="D14" t="s">
        <v>2035</v>
      </c>
      <c r="E14" t="s">
        <v>51</v>
      </c>
      <c r="F14" t="s">
        <v>2036</v>
      </c>
      <c r="G14" t="s">
        <v>2037</v>
      </c>
      <c r="H14">
        <v>14</v>
      </c>
      <c r="I14" t="s">
        <v>2038</v>
      </c>
      <c r="M14" s="11" t="str">
        <f t="shared" si="0"/>
        <v>"If You Build it, They will Come" - A Blueprint for ICS-focused Capture-The-Flag Competitions</v>
      </c>
    </row>
    <row r="15" spans="1:13">
      <c r="A15" t="s">
        <v>2039</v>
      </c>
      <c r="B15" t="s">
        <v>2040</v>
      </c>
      <c r="C15">
        <v>2025</v>
      </c>
      <c r="D15" t="s">
        <v>2041</v>
      </c>
      <c r="E15" t="s">
        <v>51</v>
      </c>
      <c r="F15" t="s">
        <v>2042</v>
      </c>
      <c r="G15" t="s">
        <v>2043</v>
      </c>
      <c r="H15">
        <v>8</v>
      </c>
      <c r="I15" t="s">
        <v>2044</v>
      </c>
      <c r="M15" s="11" t="str">
        <f t="shared" si="0"/>
        <v>Research on the Secure Transmission Mechanism of Time Series Data in Power Plants</v>
      </c>
    </row>
    <row r="16" spans="1:13">
      <c r="A16" t="s">
        <v>2045</v>
      </c>
      <c r="B16" t="s">
        <v>2046</v>
      </c>
      <c r="C16">
        <v>2022</v>
      </c>
      <c r="D16" t="s">
        <v>2047</v>
      </c>
      <c r="E16" t="s">
        <v>51</v>
      </c>
      <c r="F16" t="s">
        <v>2048</v>
      </c>
      <c r="G16" t="s">
        <v>2049</v>
      </c>
      <c r="H16">
        <v>9</v>
      </c>
      <c r="I16" t="s">
        <v>2050</v>
      </c>
      <c r="M16" s="11" t="str">
        <f t="shared" si="0"/>
        <v>Modelling IoT Application Requirements for Benchmarking IoT Middleware Platforms</v>
      </c>
    </row>
    <row r="17" spans="1:13">
      <c r="A17" t="s">
        <v>2051</v>
      </c>
      <c r="B17" t="s">
        <v>2052</v>
      </c>
      <c r="C17">
        <v>2023</v>
      </c>
      <c r="D17" t="s">
        <v>2053</v>
      </c>
      <c r="E17" t="s">
        <v>51</v>
      </c>
      <c r="F17" t="s">
        <v>2054</v>
      </c>
      <c r="G17" t="s">
        <v>2055</v>
      </c>
      <c r="H17">
        <v>9</v>
      </c>
      <c r="I17" t="s">
        <v>2056</v>
      </c>
      <c r="M17" s="11" t="str">
        <f t="shared" si="0"/>
        <v>A Forensic I/O Recorder for Industrial Control Systems Using PLCs and OPC UA</v>
      </c>
    </row>
    <row r="18" spans="1:13">
      <c r="A18" t="s">
        <v>2057</v>
      </c>
      <c r="B18" t="s">
        <v>2058</v>
      </c>
      <c r="C18">
        <v>2022</v>
      </c>
      <c r="D18" t="s">
        <v>2059</v>
      </c>
      <c r="E18" t="s">
        <v>51</v>
      </c>
      <c r="F18" t="s">
        <v>2060</v>
      </c>
      <c r="G18" t="s">
        <v>2061</v>
      </c>
      <c r="H18">
        <v>10</v>
      </c>
      <c r="I18" t="s">
        <v>2062</v>
      </c>
      <c r="M18" s="11" t="str">
        <f t="shared" si="0"/>
        <v>Employing Digital Twins for Security-by-Design System Testing</v>
      </c>
    </row>
    <row r="19" spans="1:13">
      <c r="A19" t="s">
        <v>2063</v>
      </c>
      <c r="B19" t="s">
        <v>2064</v>
      </c>
      <c r="C19">
        <v>2021</v>
      </c>
      <c r="D19" t="s">
        <v>2065</v>
      </c>
      <c r="E19" t="s">
        <v>51</v>
      </c>
      <c r="F19" t="s">
        <v>2066</v>
      </c>
      <c r="G19" t="s">
        <v>2067</v>
      </c>
      <c r="H19">
        <v>7</v>
      </c>
      <c r="I19" t="s">
        <v>2068</v>
      </c>
      <c r="M19" s="11" t="str">
        <f t="shared" si="0"/>
        <v>Exploration and practice of industrial control system information security incident emergency exercise</v>
      </c>
    </row>
    <row r="20" spans="1:13">
      <c r="A20" t="s">
        <v>2069</v>
      </c>
      <c r="B20" t="s">
        <v>2070</v>
      </c>
      <c r="C20">
        <v>2025</v>
      </c>
      <c r="D20" t="s">
        <v>2071</v>
      </c>
      <c r="E20" t="s">
        <v>51</v>
      </c>
      <c r="F20" t="s">
        <v>2072</v>
      </c>
      <c r="G20" t="s">
        <v>2073</v>
      </c>
      <c r="H20">
        <v>6</v>
      </c>
      <c r="I20" t="s">
        <v>2074</v>
      </c>
      <c r="M20" s="11" t="str">
        <f t="shared" si="0"/>
        <v>QPUF 3.0: Sustainable Cybersecurity of Smart Grid through Security-By-Design based on Quantum-PUF and Quantum Key Distribution</v>
      </c>
    </row>
    <row r="21" spans="1:13">
      <c r="A21" t="s">
        <v>2075</v>
      </c>
      <c r="B21" t="s">
        <v>2076</v>
      </c>
      <c r="C21">
        <v>2025</v>
      </c>
      <c r="D21" t="s">
        <v>2077</v>
      </c>
      <c r="E21" t="s">
        <v>51</v>
      </c>
      <c r="F21" t="s">
        <v>2078</v>
      </c>
      <c r="G21" t="s">
        <v>2079</v>
      </c>
      <c r="H21">
        <v>6</v>
      </c>
      <c r="I21" t="s">
        <v>2080</v>
      </c>
      <c r="M21" s="11" t="str">
        <f t="shared" si="0"/>
        <v>Comparative Analysis and Implementation of HTTP3, MQTT, and CoAP for IoT Applications</v>
      </c>
    </row>
    <row r="22" spans="1:13">
      <c r="A22" t="s">
        <v>2081</v>
      </c>
      <c r="B22" t="s">
        <v>2082</v>
      </c>
      <c r="C22">
        <v>2023</v>
      </c>
      <c r="D22" t="s">
        <v>2083</v>
      </c>
      <c r="E22" t="s">
        <v>51</v>
      </c>
      <c r="F22" t="s">
        <v>2084</v>
      </c>
      <c r="G22" t="s">
        <v>2085</v>
      </c>
      <c r="H22">
        <v>7</v>
      </c>
      <c r="I22" t="s">
        <v>2086</v>
      </c>
      <c r="M22" s="11" t="str">
        <f t="shared" si="0"/>
        <v>D&amp;amp;R of Digital Twin-based Intelligent Control Practical Training System</v>
      </c>
    </row>
    <row r="23" spans="1:13">
      <c r="A23" t="s">
        <v>2087</v>
      </c>
      <c r="B23" t="s">
        <v>164</v>
      </c>
      <c r="C23">
        <v>2024</v>
      </c>
      <c r="D23" t="s">
        <v>2088</v>
      </c>
      <c r="E23" t="s">
        <v>51</v>
      </c>
      <c r="F23" t="s">
        <v>165</v>
      </c>
      <c r="G23" t="s">
        <v>2089</v>
      </c>
      <c r="H23">
        <v>10</v>
      </c>
      <c r="I23" t="s">
        <v>2090</v>
      </c>
      <c r="M23" s="11" t="str">
        <f t="shared" si="0"/>
        <v>A Model-based Approach for Assessing the Security of Cyber-Physical Systems</v>
      </c>
    </row>
    <row r="24" spans="1:13">
      <c r="A24" t="s">
        <v>1388</v>
      </c>
      <c r="B24" t="s">
        <v>1389</v>
      </c>
      <c r="C24">
        <v>2024</v>
      </c>
      <c r="D24" t="s">
        <v>2091</v>
      </c>
      <c r="E24" t="s">
        <v>1376</v>
      </c>
      <c r="F24" t="s">
        <v>1390</v>
      </c>
      <c r="G24" t="s">
        <v>1391</v>
      </c>
      <c r="H24">
        <v>36</v>
      </c>
      <c r="I24" t="s">
        <v>1392</v>
      </c>
      <c r="M24" s="11" t="str">
        <f t="shared" si="0"/>
        <v>A Survey of Protocol Fuzzing</v>
      </c>
    </row>
    <row r="25" spans="1:13">
      <c r="A25" t="s">
        <v>2092</v>
      </c>
      <c r="B25" t="s">
        <v>2093</v>
      </c>
      <c r="C25">
        <v>2021</v>
      </c>
      <c r="D25" t="s">
        <v>2094</v>
      </c>
      <c r="E25" t="s">
        <v>51</v>
      </c>
      <c r="F25" t="s">
        <v>2095</v>
      </c>
      <c r="G25" t="s">
        <v>2096</v>
      </c>
      <c r="H25">
        <v>9</v>
      </c>
      <c r="I25" t="s">
        <v>2097</v>
      </c>
      <c r="M25" s="11" t="str">
        <f t="shared" si="0"/>
        <v>Enabling Industry 4.0 Communication Protocol Interoperability: An OPC UA Case Study</v>
      </c>
    </row>
    <row r="26" spans="1:13">
      <c r="A26" t="s">
        <v>2098</v>
      </c>
      <c r="B26" t="s">
        <v>2099</v>
      </c>
      <c r="C26">
        <v>2023</v>
      </c>
      <c r="D26" t="s">
        <v>2100</v>
      </c>
      <c r="E26" t="s">
        <v>51</v>
      </c>
      <c r="F26" t="s">
        <v>2101</v>
      </c>
      <c r="G26" t="s">
        <v>2102</v>
      </c>
      <c r="H26">
        <v>6</v>
      </c>
      <c r="I26" t="s">
        <v>2103</v>
      </c>
      <c r="M26" s="11" t="str">
        <f t="shared" si="0"/>
        <v>Using Machine Learning to detect abnormalities on Modbus/TCP Networks</v>
      </c>
    </row>
    <row r="27" spans="1:13">
      <c r="A27" t="s">
        <v>2104</v>
      </c>
      <c r="B27" t="s">
        <v>2105</v>
      </c>
      <c r="C27">
        <v>2021</v>
      </c>
      <c r="D27" t="s">
        <v>2106</v>
      </c>
      <c r="E27" t="s">
        <v>51</v>
      </c>
      <c r="F27" t="s">
        <v>2107</v>
      </c>
      <c r="G27" t="s">
        <v>2108</v>
      </c>
      <c r="H27">
        <v>7</v>
      </c>
      <c r="I27" t="s">
        <v>2109</v>
      </c>
      <c r="M27" s="11" t="str">
        <f t="shared" si="0"/>
        <v>A Medium-Interaction Emulation and Monitoring System for Operational Technology</v>
      </c>
    </row>
    <row r="28" spans="1:13">
      <c r="A28" t="s">
        <v>2110</v>
      </c>
      <c r="B28" t="s">
        <v>2111</v>
      </c>
      <c r="C28">
        <v>2021</v>
      </c>
      <c r="D28" t="s">
        <v>2112</v>
      </c>
      <c r="E28" t="s">
        <v>51</v>
      </c>
      <c r="F28" t="s">
        <v>2113</v>
      </c>
      <c r="G28" t="s">
        <v>2114</v>
      </c>
      <c r="H28">
        <v>12</v>
      </c>
      <c r="I28" t="s">
        <v>2115</v>
      </c>
      <c r="M28" s="11" t="str">
        <f t="shared" si="0"/>
        <v>vBump: Securing Ethernet-based Industrial Control System Networks with VLAN-based Traffic Aggregation</v>
      </c>
    </row>
    <row r="29" spans="1:13">
      <c r="A29" t="s">
        <v>2116</v>
      </c>
      <c r="B29" t="s">
        <v>2117</v>
      </c>
      <c r="C29">
        <v>2022</v>
      </c>
      <c r="D29" t="s">
        <v>2118</v>
      </c>
      <c r="E29" t="s">
        <v>51</v>
      </c>
      <c r="F29" t="s">
        <v>2119</v>
      </c>
      <c r="G29" t="s">
        <v>2120</v>
      </c>
      <c r="H29">
        <v>15</v>
      </c>
      <c r="I29" t="s">
        <v>2121</v>
      </c>
      <c r="M29" s="11" t="str">
        <f t="shared" si="0"/>
        <v>BayesImposter: Bayesian Estimation Based.bss Imposter Attack on Industrial Control Systems</v>
      </c>
    </row>
    <row r="30" spans="1:13">
      <c r="A30" t="s">
        <v>1307</v>
      </c>
      <c r="B30" t="s">
        <v>265</v>
      </c>
      <c r="C30">
        <v>2021</v>
      </c>
      <c r="D30" t="s">
        <v>2122</v>
      </c>
      <c r="E30" t="s">
        <v>51</v>
      </c>
      <c r="F30" t="s">
        <v>267</v>
      </c>
      <c r="G30" t="s">
        <v>1955</v>
      </c>
      <c r="H30">
        <v>12</v>
      </c>
      <c r="I30" t="s">
        <v>2123</v>
      </c>
      <c r="M30" s="11" t="str">
        <f t="shared" si="0"/>
        <v>ICS3Fuzzer: A Framework for Discovering Protocol Implementation Bugs in ICS Supervisory Software by Fuzzing</v>
      </c>
    </row>
    <row r="31" spans="1:13">
      <c r="A31" t="s">
        <v>2124</v>
      </c>
      <c r="B31" t="s">
        <v>2125</v>
      </c>
      <c r="C31">
        <v>2024</v>
      </c>
      <c r="D31" t="s">
        <v>2126</v>
      </c>
      <c r="E31" t="s">
        <v>51</v>
      </c>
      <c r="F31" t="s">
        <v>2127</v>
      </c>
      <c r="G31" t="s">
        <v>2128</v>
      </c>
      <c r="H31">
        <v>9</v>
      </c>
      <c r="I31" t="s">
        <v>2129</v>
      </c>
      <c r="M31" s="11" t="str">
        <f t="shared" si="0"/>
        <v>Adaptability of Microservices Architecture in IoT Systems : A Comprehensive Review</v>
      </c>
    </row>
    <row r="32" spans="1:13">
      <c r="A32" t="s">
        <v>1393</v>
      </c>
      <c r="B32" t="s">
        <v>1394</v>
      </c>
      <c r="C32">
        <v>2024</v>
      </c>
      <c r="D32" t="s">
        <v>2130</v>
      </c>
      <c r="E32" t="s">
        <v>1387</v>
      </c>
      <c r="F32" t="s">
        <v>1395</v>
      </c>
      <c r="G32" t="s">
        <v>2131</v>
      </c>
      <c r="H32">
        <v>23</v>
      </c>
      <c r="I32" t="s">
        <v>1396</v>
      </c>
      <c r="M32" s="11" t="str">
        <f t="shared" si="0"/>
        <v>BEANet: An Energy-efficient BLE Solution for High-capacity Equipment Area Network</v>
      </c>
    </row>
    <row r="33" spans="1:13">
      <c r="A33" t="s">
        <v>2132</v>
      </c>
      <c r="B33" t="s">
        <v>2133</v>
      </c>
      <c r="C33">
        <v>2022</v>
      </c>
      <c r="D33" t="s">
        <v>2134</v>
      </c>
      <c r="E33" t="s">
        <v>51</v>
      </c>
      <c r="F33" t="s">
        <v>2135</v>
      </c>
      <c r="G33" t="s">
        <v>2136</v>
      </c>
      <c r="H33">
        <v>9</v>
      </c>
      <c r="I33" t="s">
        <v>2137</v>
      </c>
      <c r="M33" s="11" t="str">
        <f t="shared" si="0"/>
        <v>Old MacDonald had a smart farm: Building a testbed to study cybersecurity in smart dairy farming</v>
      </c>
    </row>
    <row r="34" spans="1:13">
      <c r="A34" t="s">
        <v>2138</v>
      </c>
      <c r="B34" t="s">
        <v>2139</v>
      </c>
      <c r="C34">
        <v>2024</v>
      </c>
      <c r="D34" t="s">
        <v>2140</v>
      </c>
      <c r="E34" t="s">
        <v>51</v>
      </c>
      <c r="F34" t="s">
        <v>2141</v>
      </c>
      <c r="G34" t="s">
        <v>2142</v>
      </c>
      <c r="H34">
        <v>6</v>
      </c>
      <c r="I34" t="s">
        <v>2143</v>
      </c>
      <c r="M34" s="11" t="str">
        <f t="shared" si="0"/>
        <v>From Playground to Battleground: Cyber Range Training for Industrial Cybersecurity Education</v>
      </c>
    </row>
    <row r="35" spans="1:13">
      <c r="A35" t="s">
        <v>2144</v>
      </c>
      <c r="B35" t="s">
        <v>2145</v>
      </c>
      <c r="C35">
        <v>2022</v>
      </c>
      <c r="D35" t="s">
        <v>2146</v>
      </c>
      <c r="E35" t="s">
        <v>51</v>
      </c>
      <c r="F35" t="s">
        <v>2147</v>
      </c>
      <c r="G35" t="s">
        <v>2148</v>
      </c>
      <c r="H35">
        <v>7</v>
      </c>
      <c r="I35" t="s">
        <v>2149</v>
      </c>
      <c r="M35" s="11" t="str">
        <f t="shared" si="0"/>
        <v>Design and Implementation of Hardware and Peripheral System for IoT Gateway</v>
      </c>
    </row>
    <row r="36" spans="1:13">
      <c r="A36" t="s">
        <v>2150</v>
      </c>
      <c r="B36" t="s">
        <v>2151</v>
      </c>
      <c r="C36">
        <v>2024</v>
      </c>
      <c r="D36" t="s">
        <v>2152</v>
      </c>
      <c r="E36" t="s">
        <v>51</v>
      </c>
      <c r="F36" t="s">
        <v>2153</v>
      </c>
      <c r="G36" t="s">
        <v>2154</v>
      </c>
      <c r="H36">
        <v>11</v>
      </c>
      <c r="I36" t="s">
        <v>2155</v>
      </c>
      <c r="M36" s="11" t="str">
        <f t="shared" si="0"/>
        <v>A Digital Twin Architecture for the Provisioning, Management, and Monitoring of Heterogenous IoT Devices</v>
      </c>
    </row>
    <row r="37" spans="1:13">
      <c r="A37" t="s">
        <v>2156</v>
      </c>
      <c r="B37" t="s">
        <v>2157</v>
      </c>
      <c r="C37">
        <v>2024</v>
      </c>
      <c r="D37" t="s">
        <v>2158</v>
      </c>
      <c r="E37" t="s">
        <v>51</v>
      </c>
      <c r="F37" t="s">
        <v>2159</v>
      </c>
      <c r="G37" t="s">
        <v>2160</v>
      </c>
      <c r="H37">
        <v>9</v>
      </c>
      <c r="I37" t="s">
        <v>51</v>
      </c>
      <c r="M37" s="11" t="str">
        <f t="shared" si="0"/>
        <v>A Time-Sensitive Network Traffic Scheduling Method Under Critical Time-Triggered Stream Constraints</v>
      </c>
    </row>
    <row r="38" spans="1:13">
      <c r="A38" t="s">
        <v>2161</v>
      </c>
      <c r="B38" t="s">
        <v>2162</v>
      </c>
      <c r="C38">
        <v>2021</v>
      </c>
      <c r="D38" t="s">
        <v>2163</v>
      </c>
      <c r="E38" t="s">
        <v>51</v>
      </c>
      <c r="F38" t="s">
        <v>2164</v>
      </c>
      <c r="G38" t="s">
        <v>2165</v>
      </c>
      <c r="H38">
        <v>7</v>
      </c>
      <c r="I38" t="s">
        <v>2166</v>
      </c>
      <c r="M38" s="11" t="str">
        <f t="shared" si="0"/>
        <v>Model-Driven approach to Cyber Risk Analysis in Industry 4.0</v>
      </c>
    </row>
    <row r="39" spans="1:13">
      <c r="A39" t="s">
        <v>2167</v>
      </c>
      <c r="B39" t="s">
        <v>2168</v>
      </c>
      <c r="C39">
        <v>2024</v>
      </c>
      <c r="D39" t="s">
        <v>2169</v>
      </c>
      <c r="E39" t="s">
        <v>51</v>
      </c>
      <c r="F39" t="s">
        <v>2170</v>
      </c>
      <c r="G39" t="s">
        <v>2171</v>
      </c>
      <c r="H39">
        <v>7</v>
      </c>
      <c r="I39" t="s">
        <v>51</v>
      </c>
      <c r="M39" s="11" t="str">
        <f t="shared" si="0"/>
        <v>Research on the realization of distance education practical training courses based on digital twin technology</v>
      </c>
    </row>
    <row r="40" spans="1:13">
      <c r="A40" t="s">
        <v>2172</v>
      </c>
      <c r="B40" t="s">
        <v>2173</v>
      </c>
      <c r="C40">
        <v>2021</v>
      </c>
      <c r="D40" t="s">
        <v>2174</v>
      </c>
      <c r="E40" t="s">
        <v>51</v>
      </c>
      <c r="F40" t="s">
        <v>2175</v>
      </c>
      <c r="G40" t="s">
        <v>2176</v>
      </c>
      <c r="H40">
        <v>14</v>
      </c>
      <c r="I40" t="s">
        <v>2177</v>
      </c>
      <c r="M40" s="11" t="str">
        <f t="shared" si="0"/>
        <v>Sentinel: A Robust Intrusion Detection System for IoT Networks Using Kernel-Level System Information</v>
      </c>
    </row>
    <row r="41" spans="1:13">
      <c r="A41" t="s">
        <v>2361</v>
      </c>
      <c r="B41" t="s">
        <v>2362</v>
      </c>
      <c r="C41">
        <v>2024</v>
      </c>
      <c r="D41" t="s">
        <v>2363</v>
      </c>
      <c r="E41" t="s">
        <v>51</v>
      </c>
      <c r="F41" t="s">
        <v>2364</v>
      </c>
      <c r="G41" t="s">
        <v>2365</v>
      </c>
      <c r="H41">
        <v>9</v>
      </c>
      <c r="I41" t="s">
        <v>2366</v>
      </c>
      <c r="M41" s="11" t="str">
        <f t="shared" si="0"/>
        <v>Identification of industrial devices based on payload</v>
      </c>
    </row>
    <row r="42" spans="1:13">
      <c r="A42" t="s">
        <v>2167</v>
      </c>
      <c r="B42" t="s">
        <v>2168</v>
      </c>
      <c r="C42">
        <v>2024</v>
      </c>
      <c r="D42" t="s">
        <v>2169</v>
      </c>
      <c r="E42" t="s">
        <v>51</v>
      </c>
      <c r="F42" t="s">
        <v>2170</v>
      </c>
      <c r="G42" t="s">
        <v>2171</v>
      </c>
      <c r="H42">
        <v>7</v>
      </c>
      <c r="I42" t="s">
        <v>51</v>
      </c>
      <c r="M42" s="11" t="str">
        <f t="shared" si="0"/>
        <v>Research on the realization of distance education practical training courses based on digital twin technology</v>
      </c>
    </row>
    <row r="43" spans="1:13">
      <c r="M43" s="11"/>
    </row>
    <row r="44" spans="1:13">
      <c r="M44" s="11"/>
    </row>
    <row r="45" spans="1:13">
      <c r="M45" s="11"/>
    </row>
    <row r="46" spans="1:13">
      <c r="M46" s="11"/>
    </row>
    <row r="47" spans="1:13">
      <c r="M47" s="11"/>
    </row>
    <row r="48" spans="1:13">
      <c r="M48" s="11"/>
    </row>
    <row r="49" spans="13:13">
      <c r="M49" s="11"/>
    </row>
    <row r="50" spans="13:13">
      <c r="M50" s="11"/>
    </row>
    <row r="51" spans="13:13">
      <c r="M51" s="11"/>
    </row>
    <row r="52" spans="13:13">
      <c r="M52" s="11"/>
    </row>
    <row r="53" spans="13:13">
      <c r="M53" s="11"/>
    </row>
    <row r="54" spans="13:13">
      <c r="M54" s="11"/>
    </row>
    <row r="55" spans="13:13">
      <c r="M55" s="11"/>
    </row>
    <row r="56" spans="13:13">
      <c r="M56" s="11"/>
    </row>
    <row r="57" spans="13:13">
      <c r="M57" s="11"/>
    </row>
    <row r="58" spans="13:13">
      <c r="M58" s="11"/>
    </row>
    <row r="59" spans="13:13">
      <c r="M59" s="11"/>
    </row>
    <row r="60" spans="13:13">
      <c r="M60" s="11"/>
    </row>
    <row r="61" spans="13:13">
      <c r="M61" s="11"/>
    </row>
    <row r="62" spans="13:13">
      <c r="M62" s="11"/>
    </row>
    <row r="63" spans="13:13">
      <c r="M63" s="11"/>
    </row>
    <row r="64" spans="13:13">
      <c r="M64" s="11"/>
    </row>
    <row r="65" spans="13:13">
      <c r="M65" s="11"/>
    </row>
    <row r="66" spans="13:13">
      <c r="M66" s="11"/>
    </row>
    <row r="67" spans="13:13">
      <c r="M67" s="11"/>
    </row>
    <row r="68" spans="13:13">
      <c r="M68" s="11"/>
    </row>
    <row r="69" spans="13:13">
      <c r="M69" s="11"/>
    </row>
    <row r="70" spans="13:13">
      <c r="M70" s="11"/>
    </row>
    <row r="71" spans="13:13">
      <c r="M71" s="11"/>
    </row>
    <row r="72" spans="13:13">
      <c r="M72" s="11"/>
    </row>
    <row r="73" spans="13:13">
      <c r="M73" s="11"/>
    </row>
    <row r="74" spans="13:13">
      <c r="M74" s="11"/>
    </row>
    <row r="75" spans="13:13">
      <c r="M75" s="11"/>
    </row>
    <row r="76" spans="13:13">
      <c r="M76" s="11"/>
    </row>
    <row r="77" spans="13:13">
      <c r="M77" s="11"/>
    </row>
    <row r="78" spans="13:13">
      <c r="M78" s="11"/>
    </row>
    <row r="79" spans="13:13">
      <c r="M79" s="11"/>
    </row>
    <row r="80" spans="13:13">
      <c r="M80" s="11"/>
    </row>
    <row r="81" spans="13:13">
      <c r="M81" s="11"/>
    </row>
    <row r="82" spans="13:13">
      <c r="M82" s="1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TemplafyTemplateConfiguration><![CDATA[{"transformationConfigurations":[],"templateName":"ABB Excel Template_20250808","templateDescription":"","enableDocumentContentUpdater":false,"version":"2.0"}]]></TemplafyTemplateConfiguration>
</file>

<file path=customXml/item2.xml><?xml version="1.0" encoding="utf-8"?>
<TemplafyFormConfiguration><![CDATA[{"formFields":[],"formDataEntries":[]}]]></TemplafyFormConfiguration>
</file>

<file path=customXml/item3.xml>��
</file>

<file path=customXml/itemProps1.xml><?xml version="1.0" encoding="utf-8"?>
<ds:datastoreItem xmlns:ds="http://schemas.openxmlformats.org/officeDocument/2006/customXml" ds:itemID="{330AB371-4956-474F-B192-5E83C364172A}">
  <ds:schemaRefs/>
</ds:datastoreItem>
</file>

<file path=customXml/itemProps2.xml><?xml version="1.0" encoding="utf-8"?>
<ds:datastoreItem xmlns:ds="http://schemas.openxmlformats.org/officeDocument/2006/customXml" ds:itemID="{33AFE24D-024C-4D19-9BBA-2FD568CDA0AE}">
  <ds:schemaRefs/>
</ds:datastoreItem>
</file>

<file path=customXml/itemProps3.xml><?xml version="1.0" encoding="utf-8"?>
<ds:datastoreItem xmlns:ds="http://schemas.openxmlformats.org/officeDocument/2006/customXml" ds:itemID="{0452F8B0-280D-4F00-82D5-9682BD0AB7CE}">
  <ds:schemaRefs>
    <ds:schemaRef ds:uri="http://schemas.microsoft.com/DataMashup"/>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Search Strings</vt:lpstr>
      <vt:lpstr>Results before duplicates</vt:lpstr>
      <vt:lpstr>Results after duplicates</vt:lpstr>
      <vt:lpstr>Title_and_Abstract_Screening</vt:lpstr>
      <vt:lpstr>Fulltext_Screening</vt:lpstr>
      <vt:lpstr>Snowballing-it1-before-duplicat</vt:lpstr>
      <vt:lpstr>Snowballing-it1-after-duplicate</vt:lpstr>
      <vt:lpstr>Snowballing-it1-filtering</vt:lpstr>
      <vt:lpstr>Snowballing-it1-screening</vt:lpstr>
      <vt:lpstr>Snowballing-it1-fultxtscreening</vt:lpstr>
      <vt:lpstr>Snowballing-it2-before-dupl</vt:lpstr>
      <vt:lpstr>Snowballing-it2-after-dupl</vt:lpstr>
      <vt:lpstr>Snowballing-it2-filtering</vt:lpstr>
      <vt:lpstr>Snowballing-it2-screening</vt:lpstr>
      <vt:lpstr>Snowballing-it2-fultxtscree</vt:lpstr>
      <vt:lpstr>Snowballing-it3-before-dupl</vt:lpstr>
      <vt:lpstr>Snowballing-it3-after-dupl</vt:lpstr>
      <vt:lpstr>Snowballing-it3-filtering</vt:lpstr>
      <vt:lpstr>Snowballing-it3-screening</vt:lpstr>
      <vt:lpstr>Snowballing-it3-fultxtscreen</vt:lpstr>
      <vt:lpstr>Final Papers</vt:lpstr>
      <vt:lpstr>RAW_DATA -&gt;</vt:lpstr>
      <vt:lpstr>citations-it1-studies</vt:lpstr>
      <vt:lpstr>references-it1-studies</vt:lpstr>
      <vt:lpstr>citations-it2-studies</vt:lpstr>
      <vt:lpstr>references-it2-studies</vt:lpstr>
      <vt:lpstr>citations-it3-studies</vt:lpstr>
      <vt:lpstr>references-it3-studies</vt:lpstr>
      <vt:lpstr>ALL_DOI</vt:lpstr>
      <vt:lpstr>IEEE_NEW</vt:lpstr>
      <vt:lpstr>SCOPUS_NEW</vt:lpstr>
      <vt:lpstr>WoS_NEW</vt:lpstr>
      <vt:lpstr>ACM_NEW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2026-01-22T09:41:22Z</dcterms:created>
  <dcterms:modified xsi:type="dcterms:W3CDTF">2026-04-24T19:53:38Z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abb</vt:lpwstr>
  </property>
  <property fmtid="{D5CDD505-2E9C-101B-9397-08002B2CF9AE}" pid="3" name="TemplafyTemplateId">
    <vt:lpwstr>1247182594363097566</vt:lpwstr>
  </property>
  <property fmtid="{D5CDD505-2E9C-101B-9397-08002B2CF9AE}" pid="4" name="TemplafyUserProfileId">
    <vt:lpwstr>1360859555248734251</vt:lpwstr>
  </property>
  <property fmtid="{D5CDD505-2E9C-101B-9397-08002B2CF9AE}" pid="5" name="TemplafyLanguageCode">
    <vt:lpwstr>en-US</vt:lpwstr>
  </property>
  <property fmtid="{D5CDD505-2E9C-101B-9397-08002B2CF9AE}" pid="6" name="TemplafyFromBlank">
    <vt:bool>true</vt:bool>
  </property>
</Properties>
</file>